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1.xml" ContentType="application/vnd.openxmlformats-officedocument.spreadsheetml.worksheet+xml"/>
  <Override PartName="/xl/tables/table11.xml" ContentType="application/vnd.openxmlformats-officedocument.spreadsheetml.table+xml"/>
  <Override PartName="/xl/worksheets/sheet22.xml" ContentType="application/vnd.openxmlformats-officedocument.spreadsheetml.worksheet+xml"/>
  <Override PartName="/xl/tables/table12.xml" ContentType="application/vnd.openxmlformats-officedocument.spreadsheetml.table+xml"/>
  <Override PartName="/xl/worksheets/sheet23.xml" ContentType="application/vnd.openxmlformats-officedocument.spreadsheetml.worksheet+xml"/>
  <Override PartName="/xl/tables/table13.xml" ContentType="application/vnd.openxmlformats-officedocument.spreadsheetml.table+xml"/>
  <Override PartName="/xl/worksheets/sheet24.xml" ContentType="application/vnd.openxmlformats-officedocument.spreadsheetml.worksheet+xml"/>
  <Override PartName="/xl/tables/table14.xml" ContentType="application/vnd.openxmlformats-officedocument.spreadsheetml.table+xml"/>
  <Override PartName="/xl/worksheets/sheet25.xml" ContentType="application/vnd.openxmlformats-officedocument.spreadsheetml.worksheet+xml"/>
  <Override PartName="/xl/tables/table15.xml" ContentType="application/vnd.openxmlformats-officedocument.spreadsheetml.table+xml"/>
  <Override PartName="/xl/worksheets/sheet26.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8adc7a899384cd5" /></Relationships>
</file>

<file path=xl/workbook.xml><?xml version="1.0" encoding="utf-8"?>
<x:workbook xmlns:x="http://schemas.openxmlformats.org/spreadsheetml/2006/main">
  <x:sheets>
    <x:sheet xmlns:r="http://schemas.openxmlformats.org/officeDocument/2006/relationships" name="Dashboard" sheetId="1" r:id="Rc8e119cce0fe40a8"/>
    <x:sheet xmlns:r="http://schemas.openxmlformats.org/officeDocument/2006/relationships" name="Feature Index" sheetId="2" r:id="R92ce4cb1e2e74a48"/>
    <x:sheet xmlns:r="http://schemas.openxmlformats.org/officeDocument/2006/relationships" name="Requirements" sheetId="3" r:id="R0580fe0b5e5a456d"/>
    <x:sheet xmlns:r="http://schemas.openxmlformats.org/officeDocument/2006/relationships" name="Business Rules" sheetId="4" r:id="R231f747c1e3f433d"/>
    <x:sheet xmlns:r="http://schemas.openxmlformats.org/officeDocument/2006/relationships" name="Acceptance Criteria" sheetId="5" r:id="R032a6ffd1dd448c6"/>
    <x:sheet xmlns:r="http://schemas.openxmlformats.org/officeDocument/2006/relationships" name="ADR to Requirements" sheetId="6" r:id="R6d1eda9b4e8544f8"/>
    <x:sheet xmlns:r="http://schemas.openxmlformats.org/officeDocument/2006/relationships" name="Open Decisions" sheetId="7" r:id="Rf2424dd16f314170"/>
    <x:sheet xmlns:r="http://schemas.openxmlformats.org/officeDocument/2006/relationships" name="Completion Reports" sheetId="8" r:id="Rffff8029897a4967"/>
    <x:sheet xmlns:r="http://schemas.openxmlformats.org/officeDocument/2006/relationships" name="Orphan Report" sheetId="9" r:id="R7f7ebc26bf324fbe"/>
    <x:sheet xmlns:r="http://schemas.openxmlformats.org/officeDocument/2006/relationships" name="Unimplemented ADRs" sheetId="10" r:id="R2cf52b6cabc84a43"/>
    <x:sheet xmlns:r="http://schemas.openxmlformats.org/officeDocument/2006/relationships" name="Acceptance Gaps" sheetId="11" r:id="R773ed7f4f49642f9"/>
    <x:sheet xmlns:r="http://schemas.openxmlformats.org/officeDocument/2006/relationships" name="Release Blocker Gaps" sheetId="12" r:id="R565ee0dcb86d42e5"/>
    <x:sheet xmlns:r="http://schemas.openxmlformats.org/officeDocument/2006/relationships" name="Needs Decision" sheetId="13" r:id="R67ccfe8a66d94271"/>
    <x:sheet xmlns:r="http://schemas.openxmlformats.org/officeDocument/2006/relationships" name="Deferred Requirements" sheetId="14" r:id="R18ac5a8ce2924e9b"/>
    <x:sheet xmlns:r="http://schemas.openxmlformats.org/officeDocument/2006/relationships" name="Read Me" sheetId="15" r:id="R7a2cf9318dba4e86"/>
    <x:sheet xmlns:r="http://schemas.openxmlformats.org/officeDocument/2006/relationships" name="Phase 3 Approval Summary" sheetId="16" r:id="Rbc93cf69dfd14851"/>
    <x:sheet xmlns:r="http://schemas.openxmlformats.org/officeDocument/2006/relationships" name="OPD Approval Pass" sheetId="17" r:id="R108f0245833847ef"/>
    <x:sheet xmlns:r="http://schemas.openxmlformats.org/officeDocument/2006/relationships" name="OPD Reconciliation" sheetId="18" r:id="R2bf4e2ef3bfa4884"/>
    <x:sheet xmlns:r="http://schemas.openxmlformats.org/officeDocument/2006/relationships" name="Technical Verification Sources" sheetId="19" r:id="R589fd8bba7fa49c5"/>
    <x:sheet xmlns:r="http://schemas.openxmlformats.org/officeDocument/2006/relationships" name="Vertical Slice Dashboard" sheetId="20" r:id="R7361606eaddc4a37"/>
    <x:sheet xmlns:r="http://schemas.openxmlformats.org/officeDocument/2006/relationships" name="Vertical Slice Register" sheetId="21" r:id="R867bfb250cdc4a8b"/>
    <x:sheet xmlns:r="http://schemas.openxmlformats.org/officeDocument/2006/relationships" name="FR Slice Mapping" sheetId="22" r:id="R4f4ef400a2084d3f"/>
    <x:sheet xmlns:r="http://schemas.openxmlformats.org/officeDocument/2006/relationships" name="AC Slice Matrix" sheetId="23" r:id="R4a92bb2ed0724b38"/>
    <x:sheet xmlns:r="http://schemas.openxmlformats.org/officeDocument/2006/relationships" name="BR Slice Matrix" sheetId="24" r:id="R9b03a2d5966e4c36"/>
    <x:sheet xmlns:r="http://schemas.openxmlformats.org/officeDocument/2006/relationships" name="Decision Constraints" sheetId="25" r:id="R7d775d75b9654c31"/>
    <x:sheet xmlns:r="http://schemas.openxmlformats.org/officeDocument/2006/relationships" name="Implementation Gates" sheetId="26" r:id="R8404b257146846a7"/>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8"/>
      <x:color rgb="FFFFFFFF"/>
      <x:name val="Carlito"/>
    </x:font>
    <x:font>
      <x:b/>
      <x:sz val="11"/>
      <x:color rgb="FFFFFFFF"/>
      <x:name val="Carlito"/>
    </x:font>
    <x:font>
      <x:b/>
      <x:sz val="17"/>
      <x:color rgb="FFFFFFFF"/>
      <x:name val="Carlito"/>
    </x:font>
    <x:font>
      <x:b/>
      <x:sz val="11"/>
      <x:name val="Carlito"/>
    </x:font>
    <x:font>
      <x:sz val="12"/>
      <x:name val="Carlito"/>
    </x:font>
    <x:font>
      <x:b/>
      <x:sz val="18"/>
      <x:color rgb="FF1F1F1F"/>
      <x:name val="Aptos"/>
    </x:font>
    <x:font>
      <x:sz val="11"/>
      <x:color rgb="FF1F1F1F"/>
      <x:name val="Aptos"/>
    </x:font>
    <x:font>
      <x:b/>
      <x:sz val="11"/>
      <x:color rgb="FF1F1F1F"/>
      <x:name val="Aptos"/>
    </x:font>
    <x:font>
      <x:sz val="12"/>
      <x:color rgb="FF1F1F1F"/>
      <x:name val="Aptos"/>
    </x:font>
    <x:font>
      <x:b/>
      <x:sz val="18"/>
      <x:color rgb="FFFFFFFF"/>
      <x:name val="Aptos"/>
    </x:font>
    <x:font>
      <x:b/>
      <x:sz val="11"/>
      <x:color rgb="FFFFFFFF"/>
      <x:name val="Aptos"/>
    </x:font>
    <x:font>
      <x:b/>
      <x:sz val="16"/>
      <x:color rgb="FFFFFFFF"/>
      <x:name val="Carlito"/>
    </x:font>
  </x:fonts>
  <x:fills count="13">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EAF3F8"/>
      </x:patternFill>
    </x:fill>
    <x:fill>
      <x:patternFill patternType="solid">
        <x:fgColor rgb="FFFFF2CC"/>
      </x:patternFill>
    </x:fill>
    <x:fill>
      <x:patternFill patternType="solid">
        <x:fgColor rgb="FFD9EAF7"/>
      </x:patternFill>
    </x:fill>
    <x:fill>
      <x:patternFill patternType="solid">
        <x:fgColor rgb="FF1F4068"/>
      </x:patternFill>
    </x:fill>
    <x:fill>
      <x:patternFill patternType="solid">
        <x:fgColor rgb="FFD9EEF7"/>
      </x:patternFill>
    </x:fill>
    <x:fill>
      <x:patternFill patternType="solid">
        <x:fgColor rgb="FFF7FBFD"/>
      </x:patternFill>
    </x:fill>
    <x:fill>
      <x:patternFill patternType="solid">
        <x:fgColor rgb="FF2E5F8A"/>
      </x:patternFill>
    </x:fill>
    <x:fill>
      <x:patternFill patternType="solid">
        <x:fgColor rgb="FF16324F"/>
      </x:patternFill>
    </x:fill>
    <x:fill>
      <x:patternFill patternType="solid">
        <x:fgColor rgb="FF1F5A7A"/>
      </x:patternFill>
    </x:fill>
  </x:fills>
  <x:borders count="26">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34">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4"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2" borderId="11" xfId="0" applyNumberFormat="1" applyFont="1" applyFill="1" applyBorder="1" applyAlignment="1">
      <x:alignment wrapText="1"/>
    </x:xf>
    <x:xf numFmtId="0" fontId="2" fillId="2" borderId="12" xfId="0" applyNumberFormat="1" applyFont="1" applyFill="1" applyBorder="1" applyAlignment="1">
      <x:alignment wrapText="1"/>
    </x:xf>
    <x:xf numFmtId="0" fontId="2" fillId="2" borderId="13"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0" xfId="0" applyNumberFormat="1" applyFont="1" applyFill="1" applyBorder="1" applyAlignment="1">
      <x:alignment vertical="top" wrapText="1"/>
    </x:xf>
    <x:xf numFmtId="0" fontId="2" fillId="2" borderId="21" xfId="0" applyNumberFormat="1" applyFont="1" applyFill="1" applyBorder="1" applyAlignment="1">
      <x:alignment vertical="top" wrapText="1"/>
    </x:xf>
    <x:xf numFmtId="0" fontId="2" fillId="2" borderId="22" xfId="0" applyNumberFormat="1" applyFont="1" applyFill="1" applyBorder="1" applyAlignment="1">
      <x:alignment vertical="top" wrapText="1"/>
    </x:xf>
    <x:xf numFmtId="0" fontId="2" fillId="2" borderId="23" xfId="0" applyNumberFormat="1" applyFont="1" applyFill="1" applyBorder="1" applyAlignment="1">
      <x:alignment vertical="top" wrapText="1"/>
    </x:xf>
    <x:xf numFmtId="0" fontId="2" fillId="2" borderId="24" xfId="0" applyNumberFormat="1" applyFont="1" applyFill="1" applyBorder="1" applyAlignment="1">
      <x:alignment vertical="top" wrapText="1"/>
    </x:xf>
    <x:xf numFmtId="0" fontId="2" fillId="2" borderId="25"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4" fillId="6" borderId="0"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applyAlignment="1">
      <x:alignment vertical="top"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2" fillId="7" xfId="0" applyNumberFormat="1" applyFont="1" applyFill="1" applyBorder="0" applyAlignment="1">
      <x:alignment horizontal="center" vertical="center" wrapText="1"/>
    </x:xf>
    <x:xf numFmtId="0" fontId="4" fillId="0" xfId="0" applyNumberFormat="1" applyFont="1" applyFill="1" applyBorder="0" applyAlignment="1">
      <x:alignment vertical="top" wrapText="1"/>
    </x:xf>
    <x:xf numFmtId="0" fontId="0" fillId="0" xfId="0" applyNumberFormat="1" applyFont="1" applyFill="1" applyBorder="0" applyAlignment="1">
      <x:alignment vertical="top" wrapText="1"/>
    </x:xf>
    <x:xf numFmtId="0" fontId="0" fillId="0" xfId="0" applyNumberFormat="1" applyFont="1" applyFill="1" applyBorder="0" applyAlignment="1">
      <x:alignment horizontal="center" vertical="top" wrapText="1"/>
    </x:xf>
    <x:xf numFmtId="0" fontId="1" fillId="7" borderId="0" xfId="0" applyNumberFormat="1" applyFont="1" applyFill="1" applyBorder="1"/>
    <x:xf numFmtId="0" fontId="1" fillId="7" borderId="0" xfId="0" applyNumberFormat="1" applyFont="1" applyFill="1" applyBorder="1" applyAlignment="1">
      <x:alignment horizontal="center"/>
    </x:xf>
    <x:xf numFmtId="0" fontId="1" fillId="7" borderId="0" xfId="0" applyNumberFormat="1" applyFont="1" applyFill="1" applyBorder="1" applyAlignment="1">
      <x:alignment horizontal="center" vertical="center"/>
    </x:xf>
    <x:xf numFmtId="0" fontId="2" fillId="7" borderId="0" xfId="0" applyNumberFormat="1" applyFont="1" applyFill="1" applyBorder="1" applyAlignment="1">
      <x:alignment horizontal="left"/>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0" fillId="8" borderId="0" xfId="0" applyNumberFormat="1" applyFont="1" applyFill="1" applyBorder="1" applyAlignment="1">
      <x:alignment wrapText="1"/>
    </x:xf>
    <x:xf numFmtId="0" fontId="0" fillId="8" borderId="0" xfId="0" applyNumberFormat="1" applyFont="1" applyFill="1" applyBorder="1" applyAlignment="1">
      <x:alignment vertical="center"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center"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horizontal="center"/>
    </x:xf>
    <x:xf numFmtId="0" fontId="2" fillId="10" borderId="0" xfId="0" applyNumberFormat="1" applyFont="1" applyFill="1" applyBorder="1" applyAlignment="1">
      <x:alignment horizontal="center" vertical="center"/>
    </x:xf>
    <x:xf numFmtId="0" fontId="0" fillId="0" xfId="0" applyNumberFormat="1" applyFont="1" applyFill="1" applyBorder="0"/>
    <x:xf numFmtId="0" fontId="0" fillId="0" xfId="0" applyNumberFormat="1" applyFont="1" applyFill="1" applyBorder="0" applyAlignment="1">
      <x:alignment horizontal="center"/>
    </x:xf>
    <x:xf numFmtId="0" fontId="0" fillId="0"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7" fillId="0" borderId="0" xfId="0" applyNumberFormat="1" applyFont="1" applyFill="1" applyBorder="1"/>
    <x:xf numFmtId="0" fontId="8" fillId="10" borderId="0" xfId="0" applyNumberFormat="1" applyFont="1" applyFill="1" applyBorder="1" applyAlignment="1">
      <x:alignment horizontal="center" vertical="center"/>
    </x:xf>
    <x:xf numFmtId="0" fontId="7" fillId="0" xfId="0" applyNumberFormat="1" applyFont="1" applyFill="1" applyBorder="0"/>
    <x:xf numFmtId="0" fontId="7" fillId="0" xfId="0" applyNumberFormat="1" applyFont="1" applyFill="1" applyBorder="0" applyAlignment="1">
      <x:alignment horizontal="center"/>
    </x:xf>
    <x:xf numFmtId="0" fontId="7" fillId="0" borderId="0" xfId="0" applyNumberFormat="1" applyFont="1" applyFill="1" applyBorder="1" applyAlignment="1">
      <x:alignment horizontal="center"/>
    </x:xf>
    <x:xf numFmtId="0" fontId="8" fillId="7" borderId="0" xfId="0" applyNumberFormat="1" applyFont="1" applyFill="1" applyBorder="1" applyAlignment="1">
      <x:alignment horizontal="left"/>
    </x:xf>
    <x:xf numFmtId="0" fontId="9" fillId="8" borderId="0" xfId="0" applyNumberFormat="1" applyFont="1" applyFill="1" applyBorder="1" applyAlignment="1">
      <x:alignment vertical="top" wrapText="1"/>
    </x:xf>
    <x:xf numFmtId="0" fontId="8" fillId="7" borderId="0" xfId="0" applyNumberFormat="1" applyFont="1" applyFill="1" applyBorder="1"/>
    <x:xf numFmtId="0" fontId="7" fillId="8" borderId="0" xfId="0" applyNumberFormat="1" applyFont="1" applyFill="1" applyBorder="1" applyAlignment="1">
      <x:alignment vertical="center" wrapText="1"/>
    </x:xf>
    <x:xf numFmtId="0" fontId="7" fillId="9" borderId="0" xfId="0" applyNumberFormat="1" applyFont="1" applyFill="1" applyBorder="1" applyAlignment="1">
      <x:alignment vertical="center" wrapText="1"/>
    </x:xf>
    <x:xf numFmtId="0" fontId="10" fillId="7" borderId="0" xfId="0" applyNumberFormat="1" applyFont="1" applyFill="1" applyBorder="1" applyAlignment="1">
      <x:alignment horizontal="center" vertical="center"/>
    </x:xf>
    <x:xf numFmtId="0" fontId="11" fillId="10" borderId="0" xfId="0" applyNumberFormat="1" applyFont="1" applyFill="1" applyBorder="1" applyAlignment="1">
      <x:alignment horizontal="center" vertical="center"/>
    </x:xf>
    <x:xf numFmtId="0" fontId="11" fillId="7" borderId="0" xfId="0" applyNumberFormat="1" applyFont="1" applyFill="1" applyBorder="1" applyAlignment="1">
      <x:alignment horizontal="left"/>
    </x:xf>
    <x:xf numFmtId="0" fontId="11" fillId="7" borderId="0" xfId="0" applyNumberFormat="1" applyFont="1" applyFill="1" applyBorder="1"/>
    <x:xf numFmtId="0" fontId="7" fillId="0" xfId="0" applyNumberFormat="1" applyFont="1" applyFill="1" applyBorder="0" applyAlignment="1">
      <x:alignment wrapText="1"/>
    </x:xf>
    <x:xf numFmtId="0" fontId="0" fillId="11" borderId="0" xfId="0" applyNumberFormat="1" applyFont="1" applyFill="1" applyBorder="1"/>
    <x:xf numFmtId="0" fontId="12" fillId="11" borderId="0" xfId="0" applyNumberFormat="1" applyFont="1" applyFill="1" applyBorder="1"/>
    <x:xf numFmtId="0" fontId="12" fillId="11" borderId="0" xfId="0" applyNumberFormat="1" applyFont="1" applyFill="1" applyBorder="1" applyAlignment="1">
      <x:alignment vertical="center"/>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cellXfs>
  <x:cellStyles count="1">
    <x:cellStyle name="Normal" xfId="0"/>
  </x:cellStyles>
  <x:dxfs count="34">
    <x:dxf>
      <x:font>
        <x:b/>
      </x:font>
      <x:fill>
        <x:patternFill>
          <x:bgColor rgb="FFF4CCCC"/>
        </x:patternFill>
      </x:fill>
    </x:dxf>
    <x:dxf>
      <x:fill>
        <x:patternFill>
          <x:bgColor rgb="FFFFF2CC"/>
        </x:patternFill>
      </x:fill>
    </x:dxf>
    <x:dxf>
      <x:fill>
        <x:patternFill>
          <x:bgColor rgb="FFE7E6E6"/>
        </x:patternFill>
      </x:fill>
    </x:dxf>
    <x:dxf>
      <x:fill>
        <x:patternFill>
          <x:bgColor rgb="FFFFF2CC"/>
        </x:patternFill>
      </x:fill>
    </x:dxf>
    <x:dxf>
      <x:fill>
        <x:patternFill>
          <x:bgColor rgb="FFE2F0D9"/>
        </x:patternFill>
      </x:fill>
    </x:dxf>
    <x:dxf>
      <x:font>
        <x:b/>
      </x:font>
      <x:fill>
        <x:patternFill>
          <x:bgColor rgb="FFF4CCCC"/>
        </x:patternFill>
      </x:fill>
    </x:dxf>
    <x:dxf>
      <x:fill>
        <x:patternFill>
          <x:bgColor rgb="FFE2F0D9"/>
        </x:patternFill>
      </x:fill>
    </x:dxf>
    <x:dxf>
      <x:fill>
        <x:patternFill>
          <x:bgColor rgb="FFE7E6E6"/>
        </x:patternFill>
      </x:fill>
    </x:dxf>
    <x:dxf>
      <x:fill>
        <x:patternFill>
          <x:bgColor rgb="FFFFF2CC"/>
        </x:patternFill>
      </x:fill>
    </x:dxf>
    <x:dxf>
      <x:fill>
        <x:patternFill>
          <x:bgColor rgb="FFD9EEF7"/>
        </x:patternFill>
      </x:fill>
    </x:dxf>
    <x:dxf>
      <x:fill>
        <x:patternFill>
          <x:bgColor rgb="FFD9EAD3"/>
        </x:patternFill>
      </x:fill>
    </x:dxf>
    <x:dxf>
      <x:fill>
        <x:patternFill>
          <x:bgColor rgb="FFFFF2CC"/>
        </x:patternFill>
      </x:fill>
    </x:dxf>
    <x:dxf>
      <x:fill>
        <x:patternFill>
          <x:bgColor rgb="FFFCE5CD"/>
        </x:patternFill>
      </x:fill>
    </x:dxf>
    <x:dxf>
      <x:fill>
        <x:patternFill>
          <x:bgColor rgb="FFFFF2CC"/>
        </x:patternFill>
      </x:fill>
    </x:dxf>
    <x:dxf>
      <x:fill>
        <x:patternFill>
          <x:bgColor rgb="FFD9EEF7"/>
        </x:patternFill>
      </x:fill>
    </x:dxf>
    <x:dxf>
      <x:fill>
        <x:patternFill>
          <x:bgColor rgb="FFD9EAD3"/>
        </x:patternFill>
      </x:fill>
    </x:dxf>
    <x:dxf>
      <x:fill>
        <x:patternFill>
          <x:bgColor rgb="FFFFF2CC"/>
        </x:patternFill>
      </x:fill>
    </x:dxf>
    <x:dxf>
      <x:fill>
        <x:patternFill>
          <x:bgColor rgb="FFFCE5CD"/>
        </x:patternFill>
      </x:fill>
    </x:dxf>
    <x:dxf>
      <x:fill>
        <x:patternFill>
          <x:bgColor rgb="FFFFF2CC"/>
        </x:patternFill>
      </x:fill>
    </x:dxf>
    <x:dxf>
      <x:fill>
        <x:patternFill>
          <x:bgColor rgb="FFD9EEF7"/>
        </x:patternFill>
      </x:fill>
    </x:dxf>
    <x:dxf>
      <x:fill>
        <x:patternFill>
          <x:bgColor rgb="FFD9EEF7"/>
        </x:patternFill>
      </x:fill>
    </x:dxf>
    <x:dxf>
      <x:fill>
        <x:patternFill>
          <x:bgColor rgb="FFD9EEF7"/>
        </x:patternFill>
      </x:fill>
    </x:dxf>
    <x:dxf>
      <x:fill>
        <x:patternFill>
          <x:bgColor rgb="FFD9EEF7"/>
        </x:patternFill>
      </x:fill>
    </x:dxf>
    <x:dxf>
      <x:font>
        <x:color rgb="FF166534"/>
      </x:font>
      <x:fill>
        <x:patternFill patternType="solid">
          <x:bgColor rgb="FFDCFCE7"/>
        </x:patternFill>
      </x:fill>
    </x:dxf>
    <x:dxf>
      <x:font>
        <x:color rgb="FF991B1B"/>
      </x:font>
      <x:fill>
        <x:patternFill patternType="solid">
          <x:bgColor rgb="FFFEE2E2"/>
        </x:patternFill>
      </x:fill>
    </x:dxf>
    <x:dxf>
      <x:font>
        <x:b/>
      </x:font>
      <x:fill>
        <x:patternFill patternType="solid">
          <x:bgColor rgb="FFFEF3C7"/>
        </x:patternFill>
      </x:fill>
    </x:dxf>
    <x:dxf>
      <x:font>
        <x:color rgb="FF4B5563"/>
      </x:font>
      <x:fill>
        <x:patternFill patternType="solid">
          <x:bgColor rgb="FFE5E7EB"/>
        </x:patternFill>
      </x:fill>
    </x:dxf>
    <x:dxf>
      <x:font>
        <x:b/>
      </x:font>
      <x:fill>
        <x:patternFill patternType="solid">
          <x:bgColor rgb="FFFEF3C7"/>
        </x:patternFill>
      </x:fill>
    </x:dxf>
    <x:dxf>
      <x:font>
        <x:color rgb="FF166534"/>
      </x:font>
      <x:fill>
        <x:patternFill patternType="solid">
          <x:bgColor rgb="FFDCFCE7"/>
        </x:patternFill>
      </x:fill>
    </x:dxf>
    <x:dxf>
      <x:font>
        <x:color rgb="FF991B1B"/>
      </x:font>
      <x:fill>
        <x:patternFill patternType="solid">
          <x:bgColor rgb="FFFEE2E2"/>
        </x:patternFill>
      </x:fill>
    </x:dxf>
    <x:dxf>
      <x:font>
        <x:color rgb="FF166534"/>
      </x:font>
      <x:fill>
        <x:patternFill patternType="solid">
          <x:bgColor rgb="FFDCFCE7"/>
        </x:patternFill>
      </x:fill>
    </x:dxf>
    <x:dxf>
      <x:font>
        <x:color rgb="FF991B1B"/>
      </x:font>
      <x:fill>
        <x:patternFill patternType="solid">
          <x:bgColor rgb="FFFEE2E2"/>
        </x:patternFill>
      </x:fill>
    </x:dxf>
    <x:dxf>
      <x:font>
        <x:color rgb="FF166534"/>
      </x:font>
      <x:fill>
        <x:patternFill patternType="solid">
          <x:bgColor rgb="FFDCFCE7"/>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4553eed2274489" /><Relationship Type="http://schemas.openxmlformats.org/officeDocument/2006/relationships/theme" Target="/xl/theme/theme1.xml" Id="R2f9d37a679cc4a7a" /><Relationship Type="http://schemas.openxmlformats.org/officeDocument/2006/relationships/sharedStrings" Target="/xl/sharedStrings.xml" Id="R8994a70e51aa4c9f" /><Relationship Type="http://schemas.openxmlformats.org/officeDocument/2006/relationships/worksheet" Target="/xl/worksheets/sheet1.xml" Id="Rc8e119cce0fe40a8" /><Relationship Type="http://schemas.openxmlformats.org/officeDocument/2006/relationships/worksheet" Target="/xl/worksheets/sheet2.xml" Id="R92ce4cb1e2e74a48" /><Relationship Type="http://schemas.openxmlformats.org/officeDocument/2006/relationships/worksheet" Target="/xl/worksheets/sheet3.xml" Id="R0580fe0b5e5a456d" /><Relationship Type="http://schemas.openxmlformats.org/officeDocument/2006/relationships/worksheet" Target="/xl/worksheets/sheet4.xml" Id="R231f747c1e3f433d" /><Relationship Type="http://schemas.openxmlformats.org/officeDocument/2006/relationships/worksheet" Target="/xl/worksheets/sheet5.xml" Id="R032a6ffd1dd448c6" /><Relationship Type="http://schemas.openxmlformats.org/officeDocument/2006/relationships/worksheet" Target="/xl/worksheets/sheet6.xml" Id="R6d1eda9b4e8544f8" /><Relationship Type="http://schemas.openxmlformats.org/officeDocument/2006/relationships/worksheet" Target="/xl/worksheets/sheet7.xml" Id="Rf2424dd16f314170" /><Relationship Type="http://schemas.openxmlformats.org/officeDocument/2006/relationships/worksheet" Target="/xl/worksheets/sheet8.xml" Id="Rffff8029897a4967" /><Relationship Type="http://schemas.openxmlformats.org/officeDocument/2006/relationships/worksheet" Target="/xl/worksheets/sheet9.xml" Id="R7f7ebc26bf324fbe" /><Relationship Type="http://schemas.openxmlformats.org/officeDocument/2006/relationships/worksheet" Target="/xl/worksheets/sheet10.xml" Id="R2cf52b6cabc84a43" /><Relationship Type="http://schemas.openxmlformats.org/officeDocument/2006/relationships/worksheet" Target="/xl/worksheets/sheet11.xml" Id="R773ed7f4f49642f9" /><Relationship Type="http://schemas.openxmlformats.org/officeDocument/2006/relationships/worksheet" Target="/xl/worksheets/sheet12.xml" Id="R565ee0dcb86d42e5" /><Relationship Type="http://schemas.openxmlformats.org/officeDocument/2006/relationships/worksheet" Target="/xl/worksheets/sheet13.xml" Id="R67ccfe8a66d94271" /><Relationship Type="http://schemas.openxmlformats.org/officeDocument/2006/relationships/worksheet" Target="/xl/worksheets/sheet14.xml" Id="R18ac5a8ce2924e9b" /><Relationship Type="http://schemas.openxmlformats.org/officeDocument/2006/relationships/worksheet" Target="/xl/worksheets/sheet15.xml" Id="R7a2cf9318dba4e86" /><Relationship Type="http://schemas.openxmlformats.org/officeDocument/2006/relationships/worksheet" Target="/xl/worksheets/sheet16.xml" Id="Rbc93cf69dfd14851" /><Relationship Type="http://schemas.openxmlformats.org/officeDocument/2006/relationships/worksheet" Target="/xl/worksheets/sheet17.xml" Id="R108f0245833847ef" /><Relationship Type="http://schemas.openxmlformats.org/officeDocument/2006/relationships/worksheet" Target="/xl/worksheets/sheet18.xml" Id="R2bf4e2ef3bfa4884" /><Relationship Type="http://schemas.openxmlformats.org/officeDocument/2006/relationships/worksheet" Target="/xl/worksheets/sheet19.xml" Id="R589fd8bba7fa49c5" /><Relationship Type="http://schemas.openxmlformats.org/officeDocument/2006/relationships/worksheet" Target="/xl/worksheets/sheet20.xml" Id="R7361606eaddc4a37" /><Relationship Type="http://schemas.openxmlformats.org/officeDocument/2006/relationships/worksheet" Target="/xl/worksheets/sheet21.xml" Id="R867bfb250cdc4a8b" /><Relationship Type="http://schemas.openxmlformats.org/officeDocument/2006/relationships/worksheet" Target="/xl/worksheets/sheet22.xml" Id="R4f4ef400a2084d3f" /><Relationship Type="http://schemas.openxmlformats.org/officeDocument/2006/relationships/worksheet" Target="/xl/worksheets/sheet23.xml" Id="R4a92bb2ed0724b38" /><Relationship Type="http://schemas.openxmlformats.org/officeDocument/2006/relationships/worksheet" Target="/xl/worksheets/sheet24.xml" Id="R9b03a2d5966e4c36" /><Relationship Type="http://schemas.openxmlformats.org/officeDocument/2006/relationships/worksheet" Target="/xl/worksheets/sheet25.xml" Id="R7d775d75b9654c31" /><Relationship Type="http://schemas.openxmlformats.org/officeDocument/2006/relationships/worksheet" Target="/xl/worksheets/sheet26.xml" Id="R8404b257146846a7" /></Relationships>
</file>

<file path=xl/drawings/_rels/drawing1.xml.rels>&#65279;<?xml version="1.0" encoding="utf-8"?><Relationships xmlns="http://schemas.openxmlformats.org/package/2006/relationships"><Relationship Type="http://schemas.openxmlformats.org/officeDocument/2006/relationships/chart" Target="/xl/drawings/charts/chart1.xml" Id="Raeed04057c784b0f"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Functional Requirements</c:v>
          </c:tx>
          <c:cat>
            <c:strRef>
              <c:f>'Vertical Slice Dashboard'!$A$11:$A$30</c:f>
              <c:strCache>
                <c:ptCount val="0"/>
              </c:strCache>
            </c:strRef>
          </c:cat>
          <c:val>
            <c:numRef>
              <c:f>'Vertical Slice Dashboard'!$D$11:$D$30</c:f>
              <c:numCache>
                <c:formatCode>0</c:formatCode>
                <c:ptCount val="0"/>
              </c:numCache>
            </c:numRef>
          </c:val>
        </c:ser>
        <c:ser>
          <c:idx val="1"/>
          <c:order val="1"/>
          <c:tx>
            <c:v>Release Blockers</c:v>
          </c:tx>
          <c:cat>
            <c:strRef>
              <c:f>'Vertical Slice Dashboard'!$A$11:$A$30</c:f>
              <c:strCache>
                <c:ptCount val="0"/>
              </c:strCache>
            </c:strRef>
          </c:cat>
          <c:val>
            <c:numRef>
              <c:f>'Vertical Slice Dashboard'!$E$11:$E$30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17</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eed04057c784b0f"/>
        </a:graphicData>
      </a:graphic>
    </xdr:graphicFrame>
    <xdr:clientData/>
  </xdr:twoCellAnchor>
</xdr:wsDr>
</file>

<file path=xl/tables/table1.xml><?xml version="1.0" encoding="utf-8"?>
<x:table xmlns:x="http://schemas.openxmlformats.org/spreadsheetml/2006/main" id="1" name="FeatureIndexTable" displayName="FeatureIndexTable" ref="A1:C25" headerRowCount="1">
  <x:tableColumns count="3">
    <x:tableColumn id="1" name="Feature Letter"/>
    <x:tableColumn id="2" name="Feature Group"/>
    <x:tableColumn id="3" name="Requirement Count"/>
  </x:tableColumns>
  <x:tableStyleInfo name="TableStyleMedium2" showRowStripes="1"/>
</x:table>
</file>

<file path=xl/tables/table2.xml><?xml version="1.0" encoding="utf-8"?>
<x:table xmlns:x="http://schemas.openxmlformats.org/spreadsheetml/2006/main" id="2" name="RequirementsTable" displayName="RequirementsTable" ref="A1:L484" headerRowCount="1">
  <x:tableColumns count="12">
    <x:tableColumn id="1" name="Requirement ID"/>
    <x:tableColumn id="2" name="Feature Group"/>
    <x:tableColumn id="3" name="Requirement summary"/>
    <x:tableColumn id="4" name="Business Rule IDs"/>
    <x:tableColumn id="5" name="Source ADR number and title"/>
    <x:tableColumn id="6" name="Acceptance Criterion IDs"/>
    <x:tableColumn id="7" name="Release-blocking status"/>
    <x:tableColumn id="8" name="V1 / V1.1 / Deferred"/>
    <x:tableColumn id="9" name="Primary vertical slice"/>
    <x:tableColumn id="10" name="Verification level"/>
    <x:tableColumn id="11" name="Traceability status"/>
    <x:tableColumn id="12" name="Open Decision IDs"/>
  </x:tableColumns>
  <x:tableStyleInfo name="TableStyleMedium2" showRowStripes="1"/>
</x:table>
</file>

<file path=xl/tables/table3.xml><?xml version="1.0" encoding="utf-8"?>
<x:table xmlns:x="http://schemas.openxmlformats.org/spreadsheetml/2006/main" id="3" name="BusinessRulesTable" displayName="BusinessRulesTable" ref="A1:C252" headerRowCount="1">
  <x:tableColumns count="3">
    <x:tableColumn id="1" name="Business Rule ID"/>
    <x:tableColumn id="2" name="Feature Group"/>
    <x:tableColumn id="3" name="Business Rule"/>
  </x:tableColumns>
  <x:tableStyleInfo name="TableStyleMedium2" showRowStripes="1"/>
</x:table>
</file>

<file path=xl/tables/table4.xml><?xml version="1.0" encoding="utf-8"?>
<x:table xmlns:x="http://schemas.openxmlformats.org/spreadsheetml/2006/main" id="4" name="AcceptanceCriteriaTable" displayName="AcceptanceCriteriaTable" ref="A1:H484" headerRowCount="1">
  <x:tableColumns count="8">
    <x:tableColumn id="1" name="Acceptance Criterion ID"/>
    <x:tableColumn id="2" name="Feature Group"/>
    <x:tableColumn id="3" name="Verifies Requirement IDs"/>
    <x:tableColumn id="4" name="Given"/>
    <x:tableColumn id="5" name="When"/>
    <x:tableColumn id="6" name="Then"/>
    <x:tableColumn id="7" name="Release-blocking"/>
    <x:tableColumn id="8" name="Verification level"/>
  </x:tableColumns>
  <x:tableStyleInfo name="TableStyleMedium2" showRowStripes="1"/>
</x:table>
</file>

<file path=xl/tables/table5.xml><?xml version="1.0" encoding="utf-8"?>
<x:table xmlns:x="http://schemas.openxmlformats.org/spreadsheetml/2006/main" id="5" name="ADRTraceabilityTable" displayName="ADRTraceabilityTable" ref="A1:F26" headerRowCount="1">
  <x:tableColumns count="6">
    <x:tableColumn id="1" name="ADR number"/>
    <x:tableColumn id="2" name="ADR title"/>
    <x:tableColumn id="3" name="Mapped Requirement IDs"/>
    <x:tableColumn id="4" name="Requirement count"/>
    <x:tableColumn id="5" name="Traceability status"/>
    <x:tableColumn id="6" name="Notes"/>
  </x:tableColumns>
  <x:tableStyleInfo name="TableStyleMedium2" showRowStripes="1"/>
</x:table>
</file>

<file path=xl/tables/table6.xml><?xml version="1.0" encoding="utf-8"?>
<x:table xmlns:x="http://schemas.openxmlformats.org/spreadsheetml/2006/main" id="6" name="OpenDecisionsTable" displayName="OpenDecisionsTable" ref="A1:E96" headerRowCount="1">
  <x:tableColumns count="5">
    <x:tableColumn id="1" name="Decision ID"/>
    <x:tableColumn id="2" name="Feature Group"/>
    <x:tableColumn id="3" name="Decision"/>
    <x:tableColumn id="4" name="Recommended position"/>
    <x:tableColumn id="5" name="Status"/>
  </x:tableColumns>
  <x:tableStyleInfo name="TableStyleMedium2" showRowStripes="1"/>
</x:table>
</file>

<file path=xl/tables/table7.xml><?xml version="1.0" encoding="utf-8"?>
<x:table xmlns:x="http://schemas.openxmlformats.org/spreadsheetml/2006/main" id="7" name="CompletionReportsTable" displayName="CompletionReportsTable" ref="A1:D11" headerRowCount="1">
  <x:tableColumns count="4">
    <x:tableColumn id="1" name="Report"/>
    <x:tableColumn id="2" name="Count"/>
    <x:tableColumn id="3" name="Status"/>
    <x:tableColumn id="4" name="Notes"/>
  </x:tableColumns>
  <x:tableStyleInfo name="TableStyleMedium2" showRowStripes="1"/>
</x:table>
</file>

<file path=xl/tables/table8.xml><?xml version="1.0" encoding="utf-8"?>
<x:table xmlns:x="http://schemas.openxmlformats.org/spreadsheetml/2006/main" id="8" name="UnimplementedADRsTable" displayName="UnimplementedADRsTable" ref="A1:F4" headerRowCount="1">
  <x:tableColumns count="6">
    <x:tableColumn id="1" name="ADR number"/>
    <x:tableColumn id="2" name="ADR title"/>
    <x:tableColumn id="3" name="Mapped Requirement IDs"/>
    <x:tableColumn id="4" name="Requirement count"/>
    <x:tableColumn id="5" name="Traceability status"/>
    <x:tableColumn id="6" name="Notes"/>
  </x:tableColumns>
  <x:tableStyleInfo name="TableStyleMedium2" showRowStripes="1"/>
</x:table>
</file>

<file path=xl/tables/table9.xml><?xml version="1.0" encoding="utf-8"?>
<x:table xmlns:x="http://schemas.openxmlformats.org/spreadsheetml/2006/main" id="9" name="NeedsDecisionTable" displayName="NeedsDecisionTable" ref="A1:L130" headerRowCount="1">
  <x:tableColumns count="12">
    <x:tableColumn id="1" name="Requirement ID"/>
    <x:tableColumn id="2" name="Feature Group"/>
    <x:tableColumn id="3" name="Requirement summary"/>
    <x:tableColumn id="4" name="Business Rule IDs"/>
    <x:tableColumn id="5" name="Source ADR number and title"/>
    <x:tableColumn id="6" name="Acceptance Criterion IDs"/>
    <x:tableColumn id="7" name="Release-blocking status"/>
    <x:tableColumn id="8" name="V1 / V1.1 / Deferred"/>
    <x:tableColumn id="9" name="Primary vertical slice"/>
    <x:tableColumn id="10" name="Verification level"/>
    <x:tableColumn id="11" name="Traceability status"/>
    <x:tableColumn id="12" name="Open Decision IDs"/>
  </x:tableColumns>
  <x:tableStyleInfo name="TableStyleMedium2" showRowStripes="1"/>
</x:table>
</file>

<file path=xl/tables/table10.xml><?xml version="1.0" encoding="utf-8"?>
<x:table xmlns:x="http://schemas.openxmlformats.org/spreadsheetml/2006/main" id="10" name="DeferredRequirementsTable" displayName="DeferredRequirementsTable" ref="A1:L6" headerRowCount="1">
  <x:tableColumns count="12">
    <x:tableColumn id="1" name="Requirement ID"/>
    <x:tableColumn id="2" name="Feature Group"/>
    <x:tableColumn id="3" name="Requirement summary"/>
    <x:tableColumn id="4" name="Business Rule IDs"/>
    <x:tableColumn id="5" name="Source ADR number and title"/>
    <x:tableColumn id="6" name="Acceptance Criterion IDs"/>
    <x:tableColumn id="7" name="Release-blocking status"/>
    <x:tableColumn id="8" name="V1 / V1.1 / Deferred"/>
    <x:tableColumn id="9" name="Primary vertical slice"/>
    <x:tableColumn id="10" name="Verification level"/>
    <x:tableColumn id="11" name="Traceability status"/>
    <x:tableColumn id="12" name="Open Decision IDs"/>
  </x:tableColumns>
  <x:tableStyleInfo name="TableStyleMedium2" showRowStripes="1"/>
</x:table>
</file>

<file path=xl/tables/table11.xml><?xml version="1.0" encoding="utf-8"?>
<x:table xmlns:x="http://schemas.openxmlformats.org/spreadsheetml/2006/main" id="11" name="VerticalSliceRegisterTable" displayName="VerticalSliceRegisterTable" ref="A3:S23" headerRowCount="1">
  <x:tableColumns count="19">
    <x:tableColumn id="1" name="Slice ID"/>
    <x:tableColumn id="2" name="Sequence"/>
    <x:tableColumn id="3" name="Wave"/>
    <x:tableColumn id="4" name="Title"/>
    <x:tableColumn id="5" name="User Outcome"/>
    <x:tableColumn id="6" name="Feature Groups"/>
    <x:tableColumn id="7" name="Dependencies"/>
    <x:tableColumn id="8" name="Primary Routes / Entry Points"/>
    <x:tableColumn id="9" name="Domain Entities"/>
    <x:tableColumn id="10" name="Requirement Count"/>
    <x:tableColumn id="11" name="Release-Blocking Count"/>
    <x:tableColumn id="12" name="V1 Count"/>
    <x:tableColumn id="13" name="V1.1 Count"/>
    <x:tableColumn id="14" name="Deferred Count"/>
    <x:tableColumn id="15" name="Approved OPD Count"/>
    <x:tableColumn id="16" name="Source ADRs"/>
    <x:tableColumn id="17" name="Exit Gate"/>
    <x:tableColumn id="18" name="Specification Status"/>
    <x:tableColumn id="19" name="Implementation Status"/>
  </x:tableColumns>
  <x:tableStyleInfo name="TableStyleMedium2" showRowStripes="1"/>
</x:table>
</file>

<file path=xl/tables/table12.xml><?xml version="1.0" encoding="utf-8"?>
<x:table xmlns:x="http://schemas.openxmlformats.org/spreadsheetml/2006/main" id="12" name="FRSliceMappingTable" displayName="FRSliceMappingTable" ref="A3:Q486" headerRowCount="1">
  <x:tableColumns count="17">
    <x:tableColumn id="1" name="Slice ID"/>
    <x:tableColumn id="2" name="Sequence"/>
    <x:tableColumn id="3" name="Wave"/>
    <x:tableColumn id="4" name="Feature Group"/>
    <x:tableColumn id="5" name="Requirement ID"/>
    <x:tableColumn id="6" name="Requirement Summary"/>
    <x:tableColumn id="7" name="Business Rule IDs"/>
    <x:tableColumn id="8" name="Source ADRs"/>
    <x:tableColumn id="9" name="Acceptance Criterion IDs"/>
    <x:tableColumn id="10" name="Release Blocker"/>
    <x:tableColumn id="11" name="Scope"/>
    <x:tableColumn id="12" name="Verification Level"/>
    <x:tableColumn id="13" name="Approved Decision IDs"/>
    <x:tableColumn id="14" name="Approved Decision Constraints"/>
    <x:tableColumn id="15" name="Slice Dependencies"/>
    <x:tableColumn id="16" name="Implementation Status"/>
    <x:tableColumn id="17" name="Notes"/>
  </x:tableColumns>
  <x:tableStyleInfo name="TableStyleMedium2" showRowStripes="1"/>
</x:table>
</file>

<file path=xl/tables/table13.xml><?xml version="1.0" encoding="utf-8"?>
<x:table xmlns:x="http://schemas.openxmlformats.org/spreadsheetml/2006/main" id="13" name="ACSliceMatrixTable" displayName="ACSliceMatrixTable" ref="A3:M486" headerRowCount="1">
  <x:tableColumns count="13">
    <x:tableColumn id="1" name="Slice ID"/>
    <x:tableColumn id="2" name="Sequence"/>
    <x:tableColumn id="3" name="Wave"/>
    <x:tableColumn id="4" name="Feature Group"/>
    <x:tableColumn id="5" name="Acceptance Criterion ID"/>
    <x:tableColumn id="6" name="Verifies Requirement IDs"/>
    <x:tableColumn id="7" name="Given"/>
    <x:tableColumn id="8" name="When"/>
    <x:tableColumn id="9" name="Then"/>
    <x:tableColumn id="10" name="Release Blocker"/>
    <x:tableColumn id="11" name="Verification Level"/>
    <x:tableColumn id="12" name="Test Status"/>
    <x:tableColumn id="13" name="Evidence / Notes"/>
  </x:tableColumns>
  <x:tableStyleInfo name="TableStyleMedium2" showRowStripes="1"/>
</x:table>
</file>

<file path=xl/tables/table14.xml><?xml version="1.0" encoding="utf-8"?>
<x:table xmlns:x="http://schemas.openxmlformats.org/spreadsheetml/2006/main" id="14" name="BRSliceMatrixTable" displayName="BRSliceMatrixTable" ref="A3:H254" headerRowCount="1">
  <x:tableColumns count="8">
    <x:tableColumn id="1" name="Slice ID"/>
    <x:tableColumn id="2" name="Sequence"/>
    <x:tableColumn id="3" name="Wave"/>
    <x:tableColumn id="4" name="Feature Group"/>
    <x:tableColumn id="5" name="Business Rule ID"/>
    <x:tableColumn id="6" name="Rule"/>
    <x:tableColumn id="7" name="Validation Status"/>
    <x:tableColumn id="8" name="Notes"/>
  </x:tableColumns>
  <x:tableStyleInfo name="TableStyleMedium2" showRowStripes="1"/>
</x:table>
</file>

<file path=xl/tables/table15.xml><?xml version="1.0" encoding="utf-8"?>
<x:table xmlns:x="http://schemas.openxmlformats.org/spreadsheetml/2006/main" id="15" name="DecisionConstraintsTable" displayName="DecisionConstraintsTable" ref="A3:K98" headerRowCount="1">
  <x:tableColumns count="11">
    <x:tableColumn id="1" name="Slice ID"/>
    <x:tableColumn id="2" name="Sequence"/>
    <x:tableColumn id="3" name="Wave"/>
    <x:tableColumn id="4" name="Decision ID"/>
    <x:tableColumn id="5" name="Feature Group"/>
    <x:tableColumn id="6" name="Decision"/>
    <x:tableColumn id="7" name="Approved Final Position"/>
    <x:tableColumn id="8" name="Disposition"/>
    <x:tableColumn id="9" name="Linked Requirement IDs"/>
    <x:tableColumn id="10" name="Traceability Treatment"/>
    <x:tableColumn id="11" name="Approval Status"/>
  </x:tableColumns>
  <x:tableStyleInfo name="TableStyleMedium2" showRowStripes="1"/>
</x:table>
</file>

<file path=xl/tables/table16.xml><?xml version="1.0" encoding="utf-8"?>
<x:table xmlns:x="http://schemas.openxmlformats.org/spreadsheetml/2006/main" id="16" name="ImplementationGatesTable" displayName="ImplementationGatesTable" ref="A3:F9" headerRowCount="1">
  <x:tableColumns count="6">
    <x:tableColumn id="1" name="Gate ID"/>
    <x:tableColumn id="2" name="Gate"/>
    <x:tableColumn id="3" name="Applies To"/>
    <x:tableColumn id="4" name="Required Evidence"/>
    <x:tableColumn id="5" name="Current Status"/>
    <x:tableColumn id="6" name="Approval Authorit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63eb4cb88fc4b0e" /></Relationships>
</file>

<file path=xl/worksheets/_rels/sheet3.xml.rels>&#65279;<?xml version="1.0" encoding="utf-8"?><Relationships xmlns="http://schemas.openxmlformats.org/package/2006/relationships"><Relationship Type="http://schemas.openxmlformats.org/officeDocument/2006/relationships/table" Target="/xl/tables/table2.xml" Id="Rb9e49ea549354219" /></Relationships>
</file>

<file path=xl/worksheets/_rels/sheet4.xml.rels>&#65279;<?xml version="1.0" encoding="utf-8"?><Relationships xmlns="http://schemas.openxmlformats.org/package/2006/relationships"><Relationship Type="http://schemas.openxmlformats.org/officeDocument/2006/relationships/table" Target="/xl/tables/table3.xml" Id="R9b15181f20a64d48" /></Relationships>
</file>

<file path=xl/worksheets/_rels/sheet5.xml.rels>&#65279;<?xml version="1.0" encoding="utf-8"?><Relationships xmlns="http://schemas.openxmlformats.org/package/2006/relationships"><Relationship Type="http://schemas.openxmlformats.org/officeDocument/2006/relationships/table" Target="/xl/tables/table4.xml" Id="R4ba52628ebb947a4" /></Relationships>
</file>

<file path=xl/worksheets/_rels/sheet6.xml.rels>&#65279;<?xml version="1.0" encoding="utf-8"?><Relationships xmlns="http://schemas.openxmlformats.org/package/2006/relationships"><Relationship Type="http://schemas.openxmlformats.org/officeDocument/2006/relationships/table" Target="/xl/tables/table5.xml" Id="R54f2a506df1a4684" /></Relationships>
</file>

<file path=xl/worksheets/_rels/sheet7.xml.rels>&#65279;<?xml version="1.0" encoding="utf-8"?><Relationships xmlns="http://schemas.openxmlformats.org/package/2006/relationships"><Relationship Type="http://schemas.openxmlformats.org/officeDocument/2006/relationships/table" Target="/xl/tables/table6.xml" Id="Ra72b4a37871c491f" /></Relationships>
</file>

<file path=xl/worksheets/_rels/sheet8.xml.rels>&#65279;<?xml version="1.0" encoding="utf-8"?><Relationships xmlns="http://schemas.openxmlformats.org/package/2006/relationships"><Relationship Type="http://schemas.openxmlformats.org/officeDocument/2006/relationships/table" Target="/xl/tables/table7.xml" Id="R694438b0a89e45f9" /></Relationships>
</file>

<file path=xl/worksheets/_rels/sheet10.xml.rels>&#65279;<?xml version="1.0" encoding="utf-8"?><Relationships xmlns="http://schemas.openxmlformats.org/package/2006/relationships"><Relationship Type="http://schemas.openxmlformats.org/officeDocument/2006/relationships/table" Target="/xl/tables/table8.xml" Id="R1f661c272077418a" /></Relationships>
</file>

<file path=xl/worksheets/_rels/sheet13.xml.rels>&#65279;<?xml version="1.0" encoding="utf-8"?><Relationships xmlns="http://schemas.openxmlformats.org/package/2006/relationships"><Relationship Type="http://schemas.openxmlformats.org/officeDocument/2006/relationships/table" Target="/xl/tables/table9.xml" Id="R80ff85e6a38e4e87" /></Relationships>
</file>

<file path=xl/worksheets/_rels/sheet14.xml.rels>&#65279;<?xml version="1.0" encoding="utf-8"?><Relationships xmlns="http://schemas.openxmlformats.org/package/2006/relationships"><Relationship Type="http://schemas.openxmlformats.org/officeDocument/2006/relationships/table" Target="/xl/tables/table10.xml" Id="R8df17f864f0243fe" /></Relationships>
</file>

<file path=xl/worksheets/_rels/sheet20.xml.rels>&#65279;<?xml version="1.0" encoding="utf-8"?><Relationships xmlns="http://schemas.openxmlformats.org/package/2006/relationships"><Relationship Type="http://schemas.openxmlformats.org/officeDocument/2006/relationships/drawing" Target="/xl/drawings/drawing1.xml" Id="Ra7d8a4d2197843e2" /></Relationships>
</file>

<file path=xl/worksheets/_rels/sheet21.xml.rels>&#65279;<?xml version="1.0" encoding="utf-8"?><Relationships xmlns="http://schemas.openxmlformats.org/package/2006/relationships"><Relationship Type="http://schemas.openxmlformats.org/officeDocument/2006/relationships/table" Target="/xl/tables/table11.xml" Id="Rf48590b2c900472b" /></Relationships>
</file>

<file path=xl/worksheets/_rels/sheet22.xml.rels>&#65279;<?xml version="1.0" encoding="utf-8"?><Relationships xmlns="http://schemas.openxmlformats.org/package/2006/relationships"><Relationship Type="http://schemas.openxmlformats.org/officeDocument/2006/relationships/table" Target="/xl/tables/table12.xml" Id="R0dde0402cc734c9e" /></Relationships>
</file>

<file path=xl/worksheets/_rels/sheet23.xml.rels>&#65279;<?xml version="1.0" encoding="utf-8"?><Relationships xmlns="http://schemas.openxmlformats.org/package/2006/relationships"><Relationship Type="http://schemas.openxmlformats.org/officeDocument/2006/relationships/table" Target="/xl/tables/table13.xml" Id="Rb7fd504b658346e1" /></Relationships>
</file>

<file path=xl/worksheets/_rels/sheet24.xml.rels>&#65279;<?xml version="1.0" encoding="utf-8"?><Relationships xmlns="http://schemas.openxmlformats.org/package/2006/relationships"><Relationship Type="http://schemas.openxmlformats.org/officeDocument/2006/relationships/table" Target="/xl/tables/table14.xml" Id="Ree386c1b45674e00" /></Relationships>
</file>

<file path=xl/worksheets/_rels/sheet25.xml.rels>&#65279;<?xml version="1.0" encoding="utf-8"?><Relationships xmlns="http://schemas.openxmlformats.org/package/2006/relationships"><Relationship Type="http://schemas.openxmlformats.org/officeDocument/2006/relationships/table" Target="/xl/tables/table15.xml" Id="R7f71d38105d64040" /></Relationships>
</file>

<file path=xl/worksheets/_rels/sheet26.xml.rels>&#65279;<?xml version="1.0" encoding="utf-8"?><Relationships xmlns="http://schemas.openxmlformats.org/package/2006/relationships"><Relationship Type="http://schemas.openxmlformats.org/officeDocument/2006/relationships/table" Target="/xl/tables/table16.xml" Id="R9c04d968de774f70" /></Relationships>
</file>

<file path=xl/worksheets/sheet1.xml><?xml version="1.0" encoding="utf-8"?>
<x:worksheet xmlns:x="http://schemas.openxmlformats.org/spreadsheetml/2006/main">
  <x:sheetFormatPr defaultRowHeight="15"/>
  <x:cols>
    <x:col min="1" max="1" width="31" hidden="0" customWidth="1"/>
    <x:col min="2" max="2" width="11" hidden="0" customWidth="1"/>
    <x:col min="3" max="3" width="16" hidden="0" customWidth="1"/>
    <x:col min="4" max="4" width="44" hidden="0" customWidth="1"/>
    <x:col min="6" max="6" width="14" hidden="0" customWidth="1"/>
    <x:col min="7" max="7" width="10" hidden="0" customWidth="1"/>
    <x:col min="8" max="8" width="32" hidden="0" customWidth="1"/>
  </x:cols>
  <x:sheetData>
    <x:row r="1" ht="34" customHeight="1">
      <x:c r="A1" s="6" t="str">
        <x:v>Next Transfer - Phase 3 Approved Baseline</x:v>
      </x:c>
    </x:row>
    <x:row r="3">
      <x:c r="A3" s="16" t="str">
        <x:v>Completion report</x:v>
      </x:c>
      <x:c r="B3" s="17" t="str">
        <x:v>Count</x:v>
      </x:c>
      <x:c r="C3" s="17" t="str">
        <x:v>Status</x:v>
      </x:c>
      <x:c r="D3" s="18" t="str">
        <x:v>Notes</x:v>
      </x:c>
      <x:c r="F3" s="16" t="str">
        <x:v>Scope</x:v>
      </x:c>
      <x:c r="G3" s="17" t="str">
        <x:v>Count</x:v>
      </x:c>
      <x:c r="H3" s="18" t="str">
        <x:v>Meaning</x:v>
      </x:c>
    </x:row>
    <x:row r="4">
      <x:c r="A4" s="19" t="str">
        <x:v>Total Functional Requirements</x:v>
      </x:c>
      <x:c r="B4" s="20" t="n">
        <x:v>483</x:v>
      </x:c>
      <x:c r="C4" s="20" t="str">
        <x:v>Complete</x:v>
      </x:c>
      <x:c r="D4" s="21" t="str">
        <x:v>A–X normalized to canonical FR IDs.</x:v>
      </x:c>
      <x:c r="F4" s="19" t="str">
        <x:v>V1</x:v>
      </x:c>
      <x:c r="G4" s="20" t="n">
        <x:v>478</x:v>
      </x:c>
      <x:c r="H4" s="21" t="str">
        <x:v>Launch requirements</x:v>
      </x:c>
    </x:row>
    <x:row r="5">
      <x:c r="A5" s="19" t="str">
        <x:v>Total Business Rules</x:v>
      </x:c>
      <x:c r="B5" s="20" t="n">
        <x:v>251</x:v>
      </x:c>
      <x:c r="C5" s="20" t="str">
        <x:v>Complete</x:v>
      </x:c>
      <x:c r="D5" s="21" t="str">
        <x:v>A–X normalized to canonical BR IDs.</x:v>
      </x:c>
      <x:c r="F5" s="19" t="str">
        <x:v>V1.1</x:v>
      </x:c>
      <x:c r="G5" s="20" t="n">
        <x:v>4</x:v>
      </x:c>
      <x:c r="H5" s="21" t="str">
        <x:v>Post-launch candidates</x:v>
      </x:c>
    </x:row>
    <x:row r="6">
      <x:c r="A6" s="19" t="str">
        <x:v>Total Acceptance Criteria</x:v>
      </x:c>
      <x:c r="B6" s="20" t="n">
        <x:v>483</x:v>
      </x:c>
      <x:c r="C6" s="20" t="str">
        <x:v>Complete</x:v>
      </x:c>
      <x:c r="D6" s="21" t="str">
        <x:v>Every FR has a linked AC in the consolidated matrix.</x:v>
      </x:c>
      <x:c r="F6" s="22" t="str">
        <x:v>Deferred</x:v>
      </x:c>
      <x:c r="G6" s="23" t="n">
        <x:v>1</x:v>
      </x:c>
      <x:c r="H6" s="24" t="str">
        <x:v>Explicitly outside current scope</x:v>
      </x:c>
    </x:row>
    <x:row r="7">
      <x:c r="A7" s="19" t="str">
        <x:v>Orphan requirements</x:v>
      </x:c>
      <x:c r="B7" s="20" t="n">
        <x:v>0</x:v>
      </x:c>
      <x:c r="C7" s="20" t="str">
        <x:v>Pass</x:v>
      </x:c>
      <x:c r="D7" s="21" t="str">
        <x:v>Requirements with no direct ADR mapping.</x:v>
      </x:c>
    </x:row>
    <x:row r="8">
      <x:c r="A8" s="19" t="str">
        <x:v>ADRs with no mapped Product Requirement</x:v>
      </x:c>
      <x:c r="B8" s="20" t="n">
        <x:v>1</x:v>
      </x:c>
      <x:c r="C8" s="20" t="str">
        <x:v>Review</x:v>
      </x:c>
      <x:c r="D8" s="21" t="str">
        <x:v>Architecture-only ADRs may be Not product-facing.</x:v>
      </x:c>
    </x:row>
    <x:row r="9">
      <x:c r="A9" s="19" t="str">
        <x:v>Functional Requirements without AC</x:v>
      </x:c>
      <x:c r="B9" s="20" t="n">
        <x:v>0</x:v>
      </x:c>
      <x:c r="C9" s="20" t="str">
        <x:v>Pass</x:v>
      </x:c>
      <x:c r="D9" s="21" t="str">
        <x:v>Acceptance coverage report.</x:v>
      </x:c>
    </x:row>
    <x:row r="10">
      <x:c r="A10" s="19" t="str">
        <x:v>Release blockers without AC</x:v>
      </x:c>
      <x:c r="B10" s="20" t="n">
        <x:v>0</x:v>
      </x:c>
      <x:c r="C10" s="20" t="str">
        <x:v>Pass</x:v>
      </x:c>
      <x:c r="D10" s="21" t="str">
        <x:v>Release-blocker coverage report.</x:v>
      </x:c>
    </x:row>
    <x:row r="11">
      <x:c r="A11" s="19" t="str">
        <x:v>Requirements needing decision</x:v>
      </x:c>
      <x:c r="B11" s="20" t="n">
        <x:v>0</x:v>
      </x:c>
      <x:c r="C11" s="20" t="str">
        <x:v>Pass</x:v>
      </x:c>
      <x:c r="D11" s="21" t="str">
        <x:v>All Open Product Decisions approved; no Needs Decision rows remain.</x:v>
      </x:c>
    </x:row>
    <x:row r="12">
      <x:c r="A12" s="19" t="str">
        <x:v>V1.1 or Deferred requirements</x:v>
      </x:c>
      <x:c r="B12" s="20" t="n">
        <x:v>5</x:v>
      </x:c>
      <x:c r="C12" s="20" t="str">
        <x:v>Labeled</x:v>
      </x:c>
      <x:c r="D12" s="21" t="str">
        <x:v>Not treated as missing V1 scope.</x:v>
      </x:c>
    </x:row>
    <x:row r="13">
      <x:c r="A13" s="22" t="str">
        <x:v>Contradictions with ADR baseline</x:v>
      </x:c>
      <x:c r="B13" s="23" t="n">
        <x:v>0</x:v>
      </x:c>
      <x:c r="C13" s="23" t="str">
        <x:v>Pass</x:v>
      </x:c>
      <x:c r="D13" s="24" t="str">
        <x:v>No silent contradiction identified in normalization review.</x:v>
      </x:c>
    </x:row>
    <x:row r="16">
      <x:c r="A16" s="34" t="str">
        <x:v>Completion gate</x:v>
      </x:c>
    </x:row>
    <x:row r="17">
      <x:c r="A17" s="36" t="str">
        <x:v>Every V1 FR maps to at least one ADR or documented justification.</x:v>
      </x:c>
      <x:c r="B17" s="36" t="str"/>
      <x:c r="C17" s="36" t="str"/>
      <x:c r="D17" s="36" t="str"/>
      <x:c r="E17" s="36" t="str"/>
      <x:c r="F17" s="36" t="str"/>
      <x:c r="G17" s="36" t="str"/>
      <x:c r="H17" s="36" t="str"/>
    </x:row>
    <x:row r="18">
      <x:c r="A18" s="36" t="str">
        <x:v>Every release-blocking FR has Acceptance Criterion coverage.</x:v>
      </x:c>
      <x:c r="B18" s="36" t="str"/>
      <x:c r="C18" s="36" t="str"/>
      <x:c r="D18" s="36" t="str"/>
      <x:c r="E18" s="36" t="str"/>
      <x:c r="F18" s="36" t="str"/>
      <x:c r="G18" s="36" t="str"/>
      <x:c r="H18" s="36" t="str"/>
    </x:row>
    <x:row r="19">
      <x:c r="A19" s="36" t="str">
        <x:v>Every relevant ADR maps to requirements or is labeled Not product-facing.</x:v>
      </x:c>
      <x:c r="B19" s="36" t="str"/>
      <x:c r="C19" s="36" t="str"/>
      <x:c r="D19" s="36" t="str"/>
      <x:c r="E19" s="36" t="str"/>
      <x:c r="F19" s="36" t="str"/>
      <x:c r="G19" s="36" t="str"/>
      <x:c r="H19" s="36" t="str"/>
    </x:row>
    <x:row r="20">
      <x:c r="A20" s="36" t="str">
        <x:v>Deferred capabilities are explicitly labeled.</x:v>
      </x:c>
      <x:c r="B20" s="36" t="str"/>
      <x:c r="C20" s="36" t="str"/>
      <x:c r="D20" s="36" t="str"/>
      <x:c r="E20" s="36" t="str"/>
      <x:c r="F20" s="36" t="str"/>
      <x:c r="G20" s="36" t="str"/>
      <x:c r="H20" s="36" t="str"/>
    </x:row>
    <x:row r="21">
      <x:c r="A21" s="36" t="str">
        <x:v>No silent contradiction with ADR-001 through ADR-025 is present.</x:v>
      </x:c>
      <x:c r="B21" s="36" t="str"/>
      <x:c r="C21" s="36" t="str"/>
      <x:c r="D21" s="36" t="str"/>
      <x:c r="E21" s="36" t="str"/>
      <x:c r="F21" s="36" t="str"/>
      <x:c r="G21" s="36" t="str"/>
      <x:c r="H21" s="36" t="str"/>
    </x:row>
  </x:sheetData>
  <x:mergeCells>
    <x:mergeCell ref="A1:H1"/>
    <x:mergeCell ref="A16:H16"/>
    <x:mergeCell ref="A17:H17"/>
    <x:mergeCell ref="A18:H18"/>
    <x:mergeCell ref="A19:H19"/>
    <x:mergeCell ref="A20:H20"/>
    <x:mergeCell ref="A21:H21"/>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46" hidden="0" customWidth="1"/>
    <x:col min="3" max="3" width="18" hidden="0" customWidth="1"/>
  </x:cols>
  <x:sheetData>
    <x:row r="1" ht="34" customHeight="1">
      <x:c r="A1" s="42" t="str">
        <x:v>Feature Letter</x:v>
      </x:c>
      <x:c r="B1" s="43" t="str">
        <x:v>Feature Group</x:v>
      </x:c>
      <x:c r="C1" s="44" t="str">
        <x:v>Requirement Count</x:v>
      </x:c>
    </x:row>
    <x:row r="2" ht="42" customHeight="1">
      <x:c r="A2" s="45" t="str">
        <x:v>A</x:v>
      </x:c>
      <x:c r="B2" s="46" t="str">
        <x:v>App Startup and Guest Onboarding</x:v>
      </x:c>
      <x:c r="C2" s="47" t="n">
        <x:v>20</x:v>
      </x:c>
    </x:row>
    <x:row r="3" ht="42" customHeight="1">
      <x:c r="A3" s="45" t="str">
        <x:v>B</x:v>
      </x:c>
      <x:c r="B3" s="46" t="str">
        <x:v>Home and Life Indicators</x:v>
      </x:c>
      <x:c r="C3" s="47" t="n">
        <x:v>20</x:v>
      </x:c>
    </x:row>
    <x:row r="4" ht="42" customHeight="1">
      <x:c r="A4" s="45" t="str">
        <x:v>C</x:v>
      </x:c>
      <x:c r="B4" s="46" t="str">
        <x:v>Planner Day View</x:v>
      </x:c>
      <x:c r="C4" s="47" t="n">
        <x:v>20</x:v>
      </x:c>
    </x:row>
    <x:row r="5" ht="42" customHeight="1">
      <x:c r="A5" s="45" t="str">
        <x:v>D</x:v>
      </x:c>
      <x:c r="B5" s="46" t="str">
        <x:v>Tasks</x:v>
      </x:c>
      <x:c r="C5" s="47" t="n">
        <x:v>20</x:v>
      </x:c>
    </x:row>
    <x:row r="6" ht="42" customHeight="1">
      <x:c r="A6" s="45" t="str">
        <x:v>E</x:v>
      </x:c>
      <x:c r="B6" s="46" t="str">
        <x:v>Calendar Events and Recurrence</x:v>
      </x:c>
      <x:c r="C6" s="47" t="n">
        <x:v>24</x:v>
      </x:c>
    </x:row>
    <x:row r="7" ht="42" customHeight="1">
      <x:c r="A7" s="45" t="str">
        <x:v>F</x:v>
      </x:c>
      <x:c r="B7" s="46" t="str">
        <x:v>Task–Event Linking</x:v>
      </x:c>
      <x:c r="C7" s="47" t="n">
        <x:v>18</x:v>
      </x:c>
    </x:row>
    <x:row r="8" ht="42" customHeight="1">
      <x:c r="A8" s="45" t="str">
        <x:v>G</x:v>
      </x:c>
      <x:c r="B8" s="46" t="str">
        <x:v>Event and Task Outcome Reporting</x:v>
      </x:c>
      <x:c r="C8" s="47" t="n">
        <x:v>20</x:v>
      </x:c>
    </x:row>
    <x:row r="9" ht="42" customHeight="1">
      <x:c r="A9" s="45" t="str">
        <x:v>H</x:v>
      </x:c>
      <x:c r="B9" s="46" t="str">
        <x:v>Activity Ledger and Contribution History</x:v>
      </x:c>
      <x:c r="C9" s="47" t="n">
        <x:v>20</x:v>
      </x:c>
    </x:row>
    <x:row r="10" ht="42" customHeight="1">
      <x:c r="A10" s="45" t="str">
        <x:v>I</x:v>
      </x:c>
      <x:c r="B10" s="46" t="str">
        <x:v>Weekly Planning</x:v>
      </x:c>
      <x:c r="C10" s="47" t="n">
        <x:v>20</x:v>
      </x:c>
    </x:row>
    <x:row r="11" ht="42" customHeight="1">
      <x:c r="A11" s="45" t="str">
        <x:v>J</x:v>
      </x:c>
      <x:c r="B11" s="46" t="str">
        <x:v>Pathways, Goals, and Milestones</x:v>
      </x:c>
      <x:c r="C11" s="47" t="n">
        <x:v>22</x:v>
      </x:c>
    </x:row>
    <x:row r="12" ht="42" customHeight="1">
      <x:c r="A12" s="45" t="str">
        <x:v>K</x:v>
      </x:c>
      <x:c r="B12" s="46" t="str">
        <x:v>Covenant Path</x:v>
      </x:c>
      <x:c r="C12" s="47" t="n">
        <x:v>20</x:v>
      </x:c>
    </x:row>
    <x:row r="13" ht="42" customHeight="1">
      <x:c r="A13" s="45" t="str">
        <x:v>L</x:v>
      </x:c>
      <x:c r="B13" s="46" t="str">
        <x:v>Contacts and Follow-Ups</x:v>
      </x:c>
      <x:c r="C13" s="47" t="n">
        <x:v>20</x:v>
      </x:c>
    </x:row>
    <x:row r="14" ht="42" customHeight="1">
      <x:c r="A14" s="45" t="str">
        <x:v>M</x:v>
      </x:c>
      <x:c r="B14" s="46" t="str">
        <x:v>Employment Applications</x:v>
      </x:c>
      <x:c r="C14" s="47" t="n">
        <x:v>20</x:v>
      </x:c>
    </x:row>
    <x:row r="15" ht="42" customHeight="1">
      <x:c r="A15" s="45" t="str">
        <x:v>N</x:v>
      </x:c>
      <x:c r="B15" s="46" t="str">
        <x:v>Education Planning</x:v>
      </x:c>
      <x:c r="C15" s="47" t="n">
        <x:v>20</x:v>
      </x:c>
    </x:row>
    <x:row r="16" ht="42" customHeight="1">
      <x:c r="A16" s="45" t="str">
        <x:v>O</x:v>
      </x:c>
      <x:c r="B16" s="46" t="str">
        <x:v>Government Document Requirements</x:v>
      </x:c>
      <x:c r="C16" s="47" t="n">
        <x:v>20</x:v>
      </x:c>
    </x:row>
    <x:row r="17" ht="42" customHeight="1">
      <x:c r="A17" s="45" t="str">
        <x:v>P</x:v>
      </x:c>
      <x:c r="B17" s="46" t="str">
        <x:v>Maps and Locations</x:v>
      </x:c>
      <x:c r="C17" s="47" t="n">
        <x:v>15</x:v>
      </x:c>
    </x:row>
    <x:row r="18" ht="42" customHeight="1">
      <x:c r="A18" s="45" t="str">
        <x:v>Q</x:v>
      </x:c>
      <x:c r="B18" s="46" t="str">
        <x:v>Notifications and Reminders</x:v>
      </x:c>
      <x:c r="C18" s="47" t="n">
        <x:v>16</x:v>
      </x:c>
    </x:row>
    <x:row r="19" ht="42" customHeight="1">
      <x:c r="A19" s="45" t="str">
        <x:v>R</x:v>
      </x:c>
      <x:c r="B19" s="46" t="str">
        <x:v>BetterCalendar Import</x:v>
      </x:c>
      <x:c r="C19" s="47" t="n">
        <x:v>20</x:v>
      </x:c>
    </x:row>
    <x:row r="20" ht="42" customHeight="1">
      <x:c r="A20" s="45" t="str">
        <x:v>S</x:v>
      </x:c>
      <x:c r="B20" s="46" t="str">
        <x:v>Backup, Export, and Restore</x:v>
      </x:c>
      <x:c r="C20" s="47" t="n">
        <x:v>20</x:v>
      </x:c>
    </x:row>
    <x:row r="21" ht="42" customHeight="1">
      <x:c r="A21" s="45" t="str">
        <x:v>T</x:v>
      </x:c>
      <x:c r="B21" s="46" t="str">
        <x:v>Account and Synchronization</x:v>
      </x:c>
      <x:c r="C21" s="47" t="n">
        <x:v>22</x:v>
      </x:c>
    </x:row>
    <x:row r="22" ht="42" customHeight="1">
      <x:c r="A22" s="45" t="str">
        <x:v>U</x:v>
      </x:c>
      <x:c r="B22" s="46" t="str">
        <x:v>Notifications and Background Work</x:v>
      </x:c>
      <x:c r="C22" s="47" t="n">
        <x:v>20</x:v>
      </x:c>
    </x:row>
    <x:row r="23" ht="42" customHeight="1">
      <x:c r="A23" s="45" t="str">
        <x:v>V</x:v>
      </x:c>
      <x:c r="B23" s="46" t="str">
        <x:v>Device-Calendar Manual Import and Export</x:v>
      </x:c>
      <x:c r="C23" s="47" t="n">
        <x:v>20</x:v>
      </x:c>
    </x:row>
    <x:row r="24" ht="42" customHeight="1">
      <x:c r="A24" s="45" t="str">
        <x:v>W</x:v>
      </x:c>
      <x:c r="B24" s="46" t="str">
        <x:v>Privacy Lock, Permissions, and Privacy Center</x:v>
      </x:c>
      <x:c r="C24" s="47" t="n">
        <x:v>22</x:v>
      </x:c>
    </x:row>
    <x:row r="25" ht="42" customHeight="1">
      <x:c r="A25" s="48" t="str">
        <x:v>X</x:v>
      </x:c>
      <x:c r="B25" s="49" t="str">
        <x:v>Settings, Account and Sync Center, and More Screen</x:v>
      </x:c>
      <x:c r="C25" s="50" t="n">
        <x:v>24</x:v>
      </x:c>
    </x:row>
  </x:sheetData>
  <x:pageMargins left="0.7" right="0.7" top="0.75" bottom="0.75" header="0.3" footer="0.3"/>
  <x:tableParts count="1">
    <x:tablePart xmlns:r="http://schemas.openxmlformats.org/officeDocument/2006/relationships" r:id="Re63eb4cb88fc4b0e"/>
  </x:tableParts>
</x:worksheet>
</file>

<file path=xl/worksheets/sheet3.xml><?xml version="1.0" encoding="utf-8"?>
<x:worksheet xmlns:x="http://schemas.openxmlformats.org/spreadsheetml/2006/main">
  <x:sheetFormatPr defaultRowHeight="15"/>
  <x:cols>
    <x:col min="1" max="1" width="15" hidden="0" customWidth="1"/>
    <x:col min="2" max="2" width="39" hidden="0" customWidth="1"/>
    <x:col min="3" max="3" width="58" hidden="0" customWidth="1"/>
    <x:col min="4" max="4" width="28" hidden="0" customWidth="1"/>
    <x:col min="5" max="5" width="54" hidden="0" customWidth="1"/>
    <x:col min="6" max="6" width="24" hidden="0" customWidth="1"/>
    <x:col min="7" max="7" width="18" hidden="0" customWidth="1"/>
    <x:col min="8" max="8" width="18" hidden="0" customWidth="1"/>
    <x:col min="9" max="9" width="36" hidden="0" customWidth="1"/>
    <x:col min="10" max="10" width="34" hidden="0" customWidth="1"/>
    <x:col min="11" max="11" width="20" hidden="0" customWidth="1"/>
    <x:col min="12" max="12" width="24" hidden="0" customWidth="1"/>
  </x:cols>
  <x:sheetData>
    <x:row r="1" ht="34" customHeight="1">
      <x:c r="A1" s="42" t="str">
        <x:v>Requirement ID</x:v>
      </x:c>
      <x:c r="B1" s="43" t="str">
        <x:v>Feature Group</x:v>
      </x:c>
      <x:c r="C1" s="43" t="str">
        <x:v>Requirement summary</x:v>
      </x:c>
      <x:c r="D1" s="43" t="str">
        <x:v>Business Rule IDs</x:v>
      </x:c>
      <x:c r="E1" s="43" t="str">
        <x:v>Source ADR number and title</x:v>
      </x:c>
      <x:c r="F1" s="43" t="str">
        <x:v>Acceptance Criterion IDs</x:v>
      </x:c>
      <x:c r="G1" s="43" t="str">
        <x:v>Release-blocking status</x:v>
      </x:c>
      <x:c r="H1" s="43" t="str">
        <x:v>V1 / V1.1 / Deferred</x:v>
      </x:c>
      <x:c r="I1" s="43" t="str">
        <x:v>Primary vertical slice</x:v>
      </x:c>
      <x:c r="J1" s="43" t="str">
        <x:v>Verification level</x:v>
      </x:c>
      <x:c r="K1" s="43" t="str">
        <x:v>Traceability status</x:v>
      </x:c>
      <x:c r="L1" s="44" t="str">
        <x:v>Open Decision IDs</x:v>
      </x:c>
    </x:row>
    <x:row r="2" ht="42" customHeight="1">
      <x:c r="A2" s="45" t="str">
        <x:v>FR-A-001</x:v>
      </x:c>
      <x:c r="B2" s="46" t="str">
        <x:v>A. App Startup and Guest Onboarding</x:v>
      </x:c>
      <x:c r="C2" s="46" t="str">
        <x:v>determine whether a usable Local Profile exists.</x:v>
      </x:c>
      <x:c r="D2" s="46" t="str">
        <x:v>BR-A-001, BR-A-004, BR-A-009</x:v>
      </x:c>
      <x:c r="E2" s="46" t="str">
        <x:v>ADR-006 — Local-First Operation with Background Synchronization; ADR-013 — Local Drift Database Architecture; ADR-002 — Guest-First Identity and Optional Accounts</x:v>
      </x:c>
      <x:c r="F2" s="46" t="str">
        <x:v>AC-A-001</x:v>
      </x:c>
      <x:c r="G2" s="46" t="str">
        <x:v>Yes</x:v>
      </x:c>
      <x:c r="H2" s="46" t="str">
        <x:v>V1</x:v>
      </x:c>
      <x:c r="I2" s="46" t="str">
        <x:v>App Startup and Guest Onboarding</x:v>
      </x:c>
      <x:c r="J2" s="46" t="str">
        <x:v>Domain test</x:v>
      </x:c>
      <x:c r="K2" s="46" t="str">
        <x:v>Complete</x:v>
      </x:c>
      <x:c r="L2" s="47" t="str">
        <x:v>OPD-1-001</x:v>
      </x:c>
    </x:row>
    <x:row r="3" ht="42" customHeight="1">
      <x:c r="A3" s="45" t="str">
        <x:v>FR-A-002</x:v>
      </x:c>
      <x:c r="B3" s="46" t="str">
        <x:v>A. App Startup and Guest Onboarding</x:v>
      </x:c>
      <x:c r="C3" s="46" t="str">
        <x:v>provide a first-run guest path that does not require connectivity.</x:v>
      </x:c>
      <x:c r="D3" s="46" t="str">
        <x:v>BR-A-002, BR-A-009</x:v>
      </x:c>
      <x:c r="E3" s="46" t="str">
        <x:v>ADR-006 — Local-First Operation with Background Synchronization; ADR-013 — Local Drift Database Architecture; ADR-002 — Guest-First Identity and Optional Accounts</x:v>
      </x:c>
      <x:c r="F3" s="46" t="str">
        <x:v>AC-A-002</x:v>
      </x:c>
      <x:c r="G3" s="46" t="str">
        <x:v>Yes</x:v>
      </x:c>
      <x:c r="H3" s="46" t="str">
        <x:v>V1</x:v>
      </x:c>
      <x:c r="I3" s="46" t="str">
        <x:v>App Startup and Guest Onboarding</x:v>
      </x:c>
      <x:c r="J3" s="46" t="str">
        <x:v>Domain test</x:v>
      </x:c>
      <x:c r="K3" s="46" t="str">
        <x:v>Complete</x:v>
      </x:c>
      <x:c r="L3" s="47"/>
    </x:row>
    <x:row r="4" ht="42" customHeight="1">
      <x:c r="A4" s="45" t="str">
        <x:v>FR-A-003</x:v>
      </x:c>
      <x:c r="B4" s="46" t="str">
        <x:v>A. App Startup and Guest Onboarding</x:v>
      </x:c>
      <x:c r="C4" s="46" t="str">
        <x:v>present account creation or sign-in as optional.</x:v>
      </x:c>
      <x:c r="D4" s="46" t="str">
        <x:v>BR-A-001, BR-A-003</x:v>
      </x:c>
      <x:c r="E4" s="46" t="str">
        <x:v>ADR-006 — Local-First Operation with Background Synchronization; ADR-013 — Local Drift Database Architecture; ADR-002 — Guest-First Identity and Optional Accounts</x:v>
      </x:c>
      <x:c r="F4" s="46" t="str">
        <x:v>AC-A-003</x:v>
      </x:c>
      <x:c r="G4" s="46" t="str">
        <x:v>Yes</x:v>
      </x:c>
      <x:c r="H4" s="46" t="str">
        <x:v>V1</x:v>
      </x:c>
      <x:c r="I4" s="46" t="str">
        <x:v>App Startup and Guest Onboarding</x:v>
      </x:c>
      <x:c r="J4" s="46" t="str">
        <x:v>Domain test</x:v>
      </x:c>
      <x:c r="K4" s="46" t="str">
        <x:v>Complete</x:v>
      </x:c>
      <x:c r="L4" s="47"/>
    </x:row>
    <x:row r="5" ht="42" customHeight="1">
      <x:c r="A5" s="45" t="str">
        <x:v>FR-A-004</x:v>
      </x:c>
      <x:c r="B5" s="46" t="str">
        <x:v>A. App Startup and Guest Onboarding</x:v>
      </x:c>
      <x:c r="C5" s="46" t="str">
        <x:v>explain the difference between local-only use and optional synchronization.</x:v>
      </x:c>
      <x:c r="D5" s="46" t="str">
        <x:v>BR-A-001, BR-A-004, BR-A-009</x:v>
      </x:c>
      <x:c r="E5" s="46" t="str">
        <x:v>ADR-016 — Offline Outbox Synchronization and Conflict Resolution; ADR-006 — Local-First Operation with Background Synchronization; ADR-013 — Local Drift Database Architecture; ADR-002 — Guest-First Identity and Optional Accounts</x:v>
      </x:c>
      <x:c r="F5" s="46" t="str">
        <x:v>AC-A-004</x:v>
      </x:c>
      <x:c r="G5" s="46" t="str">
        <x:v>Yes</x:v>
      </x:c>
      <x:c r="H5" s="46" t="str">
        <x:v>V1</x:v>
      </x:c>
      <x:c r="I5" s="46" t="str">
        <x:v>App Startup and Guest Onboarding</x:v>
      </x:c>
      <x:c r="J5" s="46" t="str">
        <x:v>Integration test</x:v>
      </x:c>
      <x:c r="K5" s="46" t="str">
        <x:v>Complete</x:v>
      </x:c>
      <x:c r="L5" s="47" t="str">
        <x:v>OPD-1-001</x:v>
      </x:c>
    </x:row>
    <x:row r="6" ht="42" customHeight="1">
      <x:c r="A6" s="45" t="str">
        <x:v>FR-A-005</x:v>
      </x:c>
      <x:c r="B6" s="46" t="str">
        <x:v>A. App Startup and Guest Onboarding</x:v>
      </x:c>
      <x:c r="C6" s="46" t="str">
        <x:v>initialize the six approved Life Indicators without creating Actual contributions.</x:v>
      </x:c>
      <x:c r="D6" s="46" t="str">
        <x:v>BR-A-005</x:v>
      </x:c>
      <x:c r="E6" s="46" t="str">
        <x:v>ADR-005 — Confirmed-Source Progress and Read-Only Actuals; ADR-012 — Activity Ledger and Contribution Engine; ADR-006 — Local-First Operation with Background Synchronization; ADR-013 — Local Drift Database Architecture</x:v>
      </x:c>
      <x:c r="F6" s="46" t="str">
        <x:v>AC-A-005</x:v>
      </x:c>
      <x:c r="G6" s="46" t="str">
        <x:v>Yes</x:v>
      </x:c>
      <x:c r="H6" s="46" t="str">
        <x:v>V1</x:v>
      </x:c>
      <x:c r="I6" s="46" t="str">
        <x:v>App Startup and Guest Onboarding</x:v>
      </x:c>
      <x:c r="J6" s="46" t="str">
        <x:v>Domain test</x:v>
      </x:c>
      <x:c r="K6" s="46" t="str">
        <x:v>Complete</x:v>
      </x:c>
      <x:c r="L6" s="47"/>
    </x:row>
    <x:row r="7" ht="42" customHeight="1">
      <x:c r="A7" s="45" t="str">
        <x:v>FR-A-006</x:v>
      </x:c>
      <x:c r="B7" s="46" t="str">
        <x:v>A. App Startup and Guest Onboarding</x:v>
      </x:c>
      <x:c r="C7" s="46" t="str">
        <x:v>open local Drift state before waiting for Supabase.</x:v>
      </x:c>
      <x:c r="D7" s="46" t="str">
        <x:v>BR-A-003, BR-A-007, BR-A-009</x:v>
      </x:c>
      <x:c r="E7" s="46" t="str">
        <x:v>ADR-015 — Supabase PostgreSQL Schema and Row Level Security; ADR-006 — Local-First Operation with Background Synchronization; ADR-013 — Local Drift Database Architecture; ADR-002 — Guest-First Identity and Optional Accounts</x:v>
      </x:c>
      <x:c r="F7" s="46" t="str">
        <x:v>AC-A-006</x:v>
      </x:c>
      <x:c r="G7" s="46" t="str">
        <x:v>Yes</x:v>
      </x:c>
      <x:c r="H7" s="46" t="str">
        <x:v>V1</x:v>
      </x:c>
      <x:c r="I7" s="46" t="str">
        <x:v>App Startup and Guest Onboarding</x:v>
      </x:c>
      <x:c r="J7" s="46" t="str">
        <x:v>Database test / RLS test</x:v>
      </x:c>
      <x:c r="K7" s="46" t="str">
        <x:v>Complete</x:v>
      </x:c>
      <x:c r="L7" s="47"/>
    </x:row>
    <x:row r="8" ht="42" customHeight="1">
      <x:c r="A8" s="45" t="str">
        <x:v>FR-A-007</x:v>
      </x:c>
      <x:c r="B8" s="46" t="str">
        <x:v>A. App Startup and Guest Onboarding</x:v>
      </x:c>
      <x:c r="C8" s="46" t="str">
        <x:v>support returning guest and returning signed-in startup.</x:v>
      </x:c>
      <x:c r="D8" s="46" t="str">
        <x:v>BR-A-002</x:v>
      </x:c>
      <x:c r="E8" s="46" t="str">
        <x:v>ADR-006 — Local-First Operation with Background Synchronization; ADR-013 — Local Drift Database Architecture; ADR-002 — Guest-First Identity and Optional Accounts</x:v>
      </x:c>
      <x:c r="F8" s="46" t="str">
        <x:v>AC-A-007</x:v>
      </x:c>
      <x:c r="G8" s="46" t="str">
        <x:v>Yes</x:v>
      </x:c>
      <x:c r="H8" s="46" t="str">
        <x:v>V1</x:v>
      </x:c>
      <x:c r="I8" s="46" t="str">
        <x:v>App Startup and Guest Onboarding</x:v>
      </x:c>
      <x:c r="J8" s="46" t="str">
        <x:v>Domain test</x:v>
      </x:c>
      <x:c r="K8" s="46" t="str">
        <x:v>Complete</x:v>
      </x:c>
      <x:c r="L8" s="47"/>
    </x:row>
    <x:row r="9" ht="42" customHeight="1">
      <x:c r="A9" s="45" t="str">
        <x:v>FR-A-008</x:v>
      </x:c>
      <x:c r="B9" s="46" t="str">
        <x:v>A. App Startup and Guest Onboarding</x:v>
      </x:c>
      <x:c r="C9" s="46" t="str">
        <x:v>protect content before privacy-lock authentication.</x:v>
      </x:c>
      <x:c r="D9" s="46" t="str">
        <x:v>BR-A-003, BR-A-007, BR-A-010</x:v>
      </x:c>
      <x:c r="E9" s="46" t="str">
        <x:v>ADR-021 — Security, Privacy, Permissions, and Sensitive Data; ADR-006 — Local-First Operation with Background Synchronization; ADR-013 — Local Drift Database Architecture; ADR-002 — Guest-First Identity and Optional Accounts</x:v>
      </x:c>
      <x:c r="F9" s="46" t="str">
        <x:v>AC-A-008</x:v>
      </x:c>
      <x:c r="G9" s="46" t="str">
        <x:v>Yes</x:v>
      </x:c>
      <x:c r="H9" s="46" t="str">
        <x:v>V1</x:v>
      </x:c>
      <x:c r="I9" s="46" t="str">
        <x:v>App Startup and Guest Onboarding</x:v>
      </x:c>
      <x:c r="J9" s="46" t="str">
        <x:v>Domain test</x:v>
      </x:c>
      <x:c r="K9" s="46" t="str">
        <x:v>Complete</x:v>
      </x:c>
      <x:c r="L9" s="47" t="str">
        <x:v>OPD-1-002, OPD-1-003</x:v>
      </x:c>
    </x:row>
    <x:row r="10" ht="42" customHeight="1">
      <x:c r="A10" s="45" t="str">
        <x:v>FR-A-009</x:v>
      </x:c>
      <x:c r="B10" s="46" t="str">
        <x:v>A. App Startup and Guest Onboarding</x:v>
      </x:c>
      <x:c r="C10" s="46" t="str">
        <x:v>support recovery from an interrupted or failed migration.</x:v>
      </x:c>
      <x:c r="D10" s="46" t="str">
        <x:v>BR-A-008, BR-A-010</x:v>
      </x:c>
      <x:c r="E10" s="46" t="str">
        <x:v>ADR-006 — Local-First Operation with Background Synchronization; ADR-013 — Local Drift Database Architecture; ADR-002 — Guest-First Identity and Optional Accounts</x:v>
      </x:c>
      <x:c r="F10" s="46" t="str">
        <x:v>AC-A-009</x:v>
      </x:c>
      <x:c r="G10" s="46" t="str">
        <x:v>No</x:v>
      </x:c>
      <x:c r="H10" s="46" t="str">
        <x:v>V1</x:v>
      </x:c>
      <x:c r="I10" s="46" t="str">
        <x:v>App Startup and Guest Onboarding</x:v>
      </x:c>
      <x:c r="J10" s="46" t="str">
        <x:v>Integration test</x:v>
      </x:c>
      <x:c r="K10" s="46" t="str">
        <x:v>Complete</x:v>
      </x:c>
      <x:c r="L10" s="47"/>
    </x:row>
    <x:row r="11" ht="42" customHeight="1">
      <x:c r="A11" s="45" t="str">
        <x:v>FR-A-010</x:v>
      </x:c>
      <x:c r="B11" s="46" t="str">
        <x:v>A. App Startup and Guest Onboarding</x:v>
      </x:c>
      <x:c r="C11" s="46" t="str">
        <x:v>not silently destroy or recreate local data following migration failure.</x:v>
      </x:c>
      <x:c r="D11" s="46" t="str">
        <x:v>BR-A-004, BR-A-008, BR-A-009</x:v>
      </x:c>
      <x:c r="E11" s="46" t="str">
        <x:v>ADR-006 — Local-First Operation with Background Synchronization; ADR-013 — Local Drift Database Architecture; ADR-002 — Guest-First Identity and Optional Accounts; ADR-023 — Testing, Observability, Diagnostics, and Quality Strategy</x:v>
      </x:c>
      <x:c r="F11" s="46" t="str">
        <x:v>AC-A-010</x:v>
      </x:c>
      <x:c r="G11" s="46" t="str">
        <x:v>Yes</x:v>
      </x:c>
      <x:c r="H11" s="46" t="str">
        <x:v>V1</x:v>
      </x:c>
      <x:c r="I11" s="46" t="str">
        <x:v>App Startup and Guest Onboarding</x:v>
      </x:c>
      <x:c r="J11" s="46" t="str">
        <x:v>Domain test</x:v>
      </x:c>
      <x:c r="K11" s="46" t="str">
        <x:v>Complete</x:v>
      </x:c>
      <x:c r="L11" s="47"/>
    </x:row>
    <x:row r="12" ht="42" customHeight="1">
      <x:c r="A12" s="45" t="str">
        <x:v>FR-A-011</x:v>
      </x:c>
      <x:c r="B12" s="46" t="str">
        <x:v>A. App Startup and Guest Onboarding</x:v>
      </x:c>
      <x:c r="C12" s="46" t="str">
        <x:v>display a clear distinction between local readiness, account state, and sync state.</x:v>
      </x:c>
      <x:c r="D12" s="46" t="str">
        <x:v>BR-A-001, BR-A-004, BR-A-009</x:v>
      </x:c>
      <x:c r="E12" s="46" t="str">
        <x:v>ADR-006 — Local-First Operation with Background Synchronization; ADR-013 — Local Drift Database Architecture; ADR-002 — Guest-First Identity and Optional Accounts</x:v>
      </x:c>
      <x:c r="F12" s="46" t="str">
        <x:v>AC-A-011</x:v>
      </x:c>
      <x:c r="G12" s="46" t="str">
        <x:v>No</x:v>
      </x:c>
      <x:c r="H12" s="46" t="str">
        <x:v>V1</x:v>
      </x:c>
      <x:c r="I12" s="46" t="str">
        <x:v>App Startup and Guest Onboarding</x:v>
      </x:c>
      <x:c r="J12" s="46" t="str">
        <x:v>Widget test / Integration test</x:v>
      </x:c>
      <x:c r="K12" s="46" t="str">
        <x:v>Complete</x:v>
      </x:c>
      <x:c r="L12" s="47" t="str">
        <x:v>OPD-1-001</x:v>
      </x:c>
    </x:row>
    <x:row r="13" ht="42" customHeight="1">
      <x:c r="A13" s="45" t="str">
        <x:v>FR-A-012</x:v>
      </x:c>
      <x:c r="B13" s="46" t="str">
        <x:v>A. App Startup and Guest Onboarding</x:v>
      </x:c>
      <x:c r="C13" s="46" t="str">
        <x:v>allow local use when an account session expires.</x:v>
      </x:c>
      <x:c r="D13" s="46" t="str">
        <x:v>BR-A-001, BR-A-004, BR-A-009</x:v>
      </x:c>
      <x:c r="E13" s="46" t="str">
        <x:v>ADR-006 — Local-First Operation with Background Synchronization; ADR-013 — Local Drift Database Architecture; ADR-002 — Guest-First Identity and Optional Accounts</x:v>
      </x:c>
      <x:c r="F13" s="46" t="str">
        <x:v>AC-A-012</x:v>
      </x:c>
      <x:c r="G13" s="46" t="str">
        <x:v>No</x:v>
      </x:c>
      <x:c r="H13" s="46" t="str">
        <x:v>V1</x:v>
      </x:c>
      <x:c r="I13" s="46" t="str">
        <x:v>App Startup and Guest Onboarding</x:v>
      </x:c>
      <x:c r="J13" s="46" t="str">
        <x:v>Domain test</x:v>
      </x:c>
      <x:c r="K13" s="46" t="str">
        <x:v>Complete</x:v>
      </x:c>
      <x:c r="L13" s="47" t="str">
        <x:v>OPD-1-001</x:v>
      </x:c>
    </x:row>
    <x:row r="14" ht="42" customHeight="1">
      <x:c r="A14" s="45" t="str">
        <x:v>FR-A-013</x:v>
      </x:c>
      <x:c r="B14" s="46" t="str">
        <x:v>A. App Startup and Guest Onboarding</x:v>
      </x:c>
      <x:c r="C14" s="46" t="str">
        <x:v>provide safe handling of invalid startup links.</x:v>
      </x:c>
      <x:c r="D14" s="46" t="str">
        <x:v>BR-A-010</x:v>
      </x:c>
      <x:c r="E14" s="46" t="str">
        <x:v>ADR-009 — Domain Ownership and Relationship Model; ADR-006 — Local-First Operation with Background Synchronization; ADR-013 — Local Drift Database Architecture; ADR-002 — Guest-First Identity and Optional Accounts</x:v>
      </x:c>
      <x:c r="F14" s="46" t="str">
        <x:v>AC-A-013</x:v>
      </x:c>
      <x:c r="G14" s="46" t="str">
        <x:v>No</x:v>
      </x:c>
      <x:c r="H14" s="46" t="str">
        <x:v>V1</x:v>
      </x:c>
      <x:c r="I14" s="46" t="str">
        <x:v>App Startup and Guest Onboarding</x:v>
      </x:c>
      <x:c r="J14" s="46" t="str">
        <x:v>Domain test</x:v>
      </x:c>
      <x:c r="K14" s="46" t="str">
        <x:v>Complete</x:v>
      </x:c>
      <x:c r="L14" s="47"/>
    </x:row>
    <x:row r="15" ht="42" customHeight="1">
      <x:c r="A15" s="45" t="str">
        <x:v>FR-A-014</x:v>
      </x:c>
      <x:c r="B15" s="46" t="str">
        <x:v>A. App Startup and Guest Onboarding</x:v>
      </x:c>
      <x:c r="C15" s="46" t="str">
        <x:v>preserve an interrupted onboarding state where safe.</x:v>
      </x:c>
      <x:c r="D15" s="46" t="str">
        <x:v>BR-A-005, BR-A-006, BR-A-010</x:v>
      </x:c>
      <x:c r="E15" s="46" t="str">
        <x:v>ADR-006 — Local-First Operation with Background Synchronization; ADR-013 — Local Drift Database Architecture; ADR-002 — Guest-First Identity and Optional Accounts</x:v>
      </x:c>
      <x:c r="F15" s="46" t="str">
        <x:v>AC-A-014</x:v>
      </x:c>
      <x:c r="G15" s="46" t="str">
        <x:v>Yes</x:v>
      </x:c>
      <x:c r="H15" s="46" t="str">
        <x:v>V1</x:v>
      </x:c>
      <x:c r="I15" s="46" t="str">
        <x:v>App Startup and Guest Onboarding</x:v>
      </x:c>
      <x:c r="J15" s="46" t="str">
        <x:v>Domain test</x:v>
      </x:c>
      <x:c r="K15" s="46" t="str">
        <x:v>Complete</x:v>
      </x:c>
      <x:c r="L15" s="47"/>
    </x:row>
    <x:row r="16" ht="42" customHeight="1">
      <x:c r="A16" s="45" t="str">
        <x:v>FR-A-015</x:v>
      </x:c>
      <x:c r="B16" s="46" t="str">
        <x:v>A. App Startup and Guest Onboarding</x:v>
      </x:c>
      <x:c r="C16" s="46" t="str">
        <x:v>show an actionable first-use Home state.</x:v>
      </x:c>
      <x:c r="D16" s="46" t="str">
        <x:v>BR-A-001</x:v>
      </x:c>
      <x:c r="E16" s="46" t="str">
        <x:v>ADR-006 — Local-First Operation with Background Synchronization; ADR-013 — Local Drift Database Architecture; ADR-002 — Guest-First Identity and Optional Accounts</x:v>
      </x:c>
      <x:c r="F16" s="46" t="str">
        <x:v>AC-A-015</x:v>
      </x:c>
      <x:c r="G16" s="46" t="str">
        <x:v>No</x:v>
      </x:c>
      <x:c r="H16" s="46" t="str">
        <x:v>V1</x:v>
      </x:c>
      <x:c r="I16" s="46" t="str">
        <x:v>App Startup and Guest Onboarding</x:v>
      </x:c>
      <x:c r="J16" s="46" t="str">
        <x:v>Domain test</x:v>
      </x:c>
      <x:c r="K16" s="46" t="str">
        <x:v>Complete</x:v>
      </x:c>
      <x:c r="L16" s="47"/>
    </x:row>
    <x:row r="17" ht="42" customHeight="1">
      <x:c r="A17" s="45" t="str">
        <x:v>FR-A-016</x:v>
      </x:c>
      <x:c r="B17" s="46" t="str">
        <x:v>A. App Startup and Guest Onboarding</x:v>
      </x:c>
      <x:c r="C17" s="46" t="str">
        <x:v>prevent duplicate Local Profiles from being created through repeated startup attempts.</x:v>
      </x:c>
      <x:c r="D17" s="46" t="str">
        <x:v>BR-A-002, BR-A-004, BR-A-009</x:v>
      </x:c>
      <x:c r="E17" s="46" t="str">
        <x:v>ADR-006 — Local-First Operation with Background Synchronization; ADR-013 — Local Drift Database Architecture; ADR-002 — Guest-First Identity and Optional Accounts</x:v>
      </x:c>
      <x:c r="F17" s="46" t="str">
        <x:v>AC-A-016</x:v>
      </x:c>
      <x:c r="G17" s="46" t="str">
        <x:v>Yes</x:v>
      </x:c>
      <x:c r="H17" s="46" t="str">
        <x:v>V1</x:v>
      </x:c>
      <x:c r="I17" s="46" t="str">
        <x:v>App Startup and Guest Onboarding</x:v>
      </x:c>
      <x:c r="J17" s="46" t="str">
        <x:v>Domain test</x:v>
      </x:c>
      <x:c r="K17" s="46" t="str">
        <x:v>Complete</x:v>
      </x:c>
      <x:c r="L17" s="47"/>
    </x:row>
    <x:row r="18" ht="42" customHeight="1">
      <x:c r="A18" s="45" t="str">
        <x:v>FR-A-017</x:v>
      </x:c>
      <x:c r="B18" s="46" t="str">
        <x:v>A. App Startup and Guest Onboarding</x:v>
      </x:c>
      <x:c r="C18" s="46" t="str">
        <x:v>not request unrelated Android permissions during onboarding.</x:v>
      </x:c>
      <x:c r="D18" s="46" t="str">
        <x:v>BR-A-005, BR-A-006, BR-A-010</x:v>
      </x:c>
      <x:c r="E18" s="46" t="str">
        <x:v>ADR-021 — Security, Privacy, Permissions, and Sensitive Data; ADR-006 — Local-First Operation with Background Synchronization; ADR-013 — Local Drift Database Architecture; ADR-002 — Guest-First Identity and Optional Accounts</x:v>
      </x:c>
      <x:c r="F18" s="46" t="str">
        <x:v>AC-A-017</x:v>
      </x:c>
      <x:c r="G18" s="46" t="str">
        <x:v>Yes</x:v>
      </x:c>
      <x:c r="H18" s="46" t="str">
        <x:v>V1</x:v>
      </x:c>
      <x:c r="I18" s="46" t="str">
        <x:v>App Startup and Guest Onboarding</x:v>
      </x:c>
      <x:c r="J18" s="46" t="str">
        <x:v>Widget test</x:v>
      </x:c>
      <x:c r="K18" s="46" t="str">
        <x:v>Complete</x:v>
      </x:c>
      <x:c r="L18" s="47" t="str">
        <x:v>OPD-1-004</x:v>
      </x:c>
    </x:row>
    <x:row r="19" ht="42" customHeight="1">
      <x:c r="A19" s="45" t="str">
        <x:v>FR-A-018</x:v>
      </x:c>
      <x:c r="B19" s="46" t="str">
        <x:v>A. App Startup and Guest Onboarding</x:v>
      </x:c>
      <x:c r="C19" s="46" t="str">
        <x:v>surface data-loss risk before any reset.</x:v>
      </x:c>
      <x:c r="D19" s="46" t="str">
        <x:v>BR-A-004, BR-A-007, BR-A-008</x:v>
      </x:c>
      <x:c r="E19" s="46" t="str">
        <x:v>ADR-006 — Local-First Operation with Background Synchronization; ADR-013 — Local Drift Database Architecture; ADR-002 — Guest-First Identity and Optional Accounts</x:v>
      </x:c>
      <x:c r="F19" s="46" t="str">
        <x:v>AC-A-018</x:v>
      </x:c>
      <x:c r="G19" s="46" t="str">
        <x:v>No</x:v>
      </x:c>
      <x:c r="H19" s="46" t="str">
        <x:v>V1</x:v>
      </x:c>
      <x:c r="I19" s="46" t="str">
        <x:v>App Startup and Guest Onboarding</x:v>
      </x:c>
      <x:c r="J19" s="46" t="str">
        <x:v>Domain test</x:v>
      </x:c>
      <x:c r="K19" s="46" t="str">
        <x:v>Complete</x:v>
      </x:c>
      <x:c r="L19" s="47"/>
    </x:row>
    <x:row r="20" ht="42" customHeight="1">
      <x:c r="A20" s="45" t="str">
        <x:v>FR-A-019</x:v>
      </x:c>
      <x:c r="B20" s="46" t="str">
        <x:v>A. App Startup and Guest Onboarding</x:v>
      </x:c>
      <x:c r="C20" s="46" t="str">
        <x:v>permit account setup later from the approved settings area.</x:v>
      </x:c>
      <x:c r="D20" s="46" t="str">
        <x:v>BR-A-001</x:v>
      </x:c>
      <x:c r="E20" s="46" t="str">
        <x:v>ADR-006 — Local-First Operation with Background Synchronization; ADR-013 — Local Drift Database Architecture; ADR-002 — Guest-First Identity and Optional Accounts</x:v>
      </x:c>
      <x:c r="F20" s="46" t="str">
        <x:v>AC-A-019</x:v>
      </x:c>
      <x:c r="G20" s="46" t="str">
        <x:v>No</x:v>
      </x:c>
      <x:c r="H20" s="46" t="str">
        <x:v>V1</x:v>
      </x:c>
      <x:c r="I20" s="46" t="str">
        <x:v>App Startup and Guest Onboarding</x:v>
      </x:c>
      <x:c r="J20" s="46" t="str">
        <x:v>Domain test</x:v>
      </x:c>
      <x:c r="K20" s="46" t="str">
        <x:v>Complete</x:v>
      </x:c>
      <x:c r="L20" s="47"/>
    </x:row>
    <x:row r="21" ht="42" customHeight="1">
      <x:c r="A21" s="45" t="str">
        <x:v>FR-A-020</x:v>
      </x:c>
      <x:c r="B21" s="46" t="str">
        <x:v>A. App Startup and Guest Onboarding</x:v>
      </x:c>
      <x:c r="C21" s="46" t="str">
        <x:v>keep optional remote initialization from blocking navigation.</x:v>
      </x:c>
      <x:c r="D21" s="46" t="str">
        <x:v>BR-A-001, BR-A-003, BR-A-004</x:v>
      </x:c>
      <x:c r="E21" s="46" t="str">
        <x:v>ADR-006 — Local-First Operation with Background Synchronization; ADR-013 — Local Drift Database Architecture; ADR-002 — Guest-First Identity and Optional Accounts</x:v>
      </x:c>
      <x:c r="F21" s="46" t="str">
        <x:v>AC-A-020</x:v>
      </x:c>
      <x:c r="G21" s="46" t="str">
        <x:v>Yes</x:v>
      </x:c>
      <x:c r="H21" s="46" t="str">
        <x:v>V1</x:v>
      </x:c>
      <x:c r="I21" s="46" t="str">
        <x:v>App Startup and Guest Onboarding</x:v>
      </x:c>
      <x:c r="J21" s="46" t="str">
        <x:v>Domain test</x:v>
      </x:c>
      <x:c r="K21" s="46" t="str">
        <x:v>Complete</x:v>
      </x:c>
      <x:c r="L21" s="47"/>
    </x:row>
    <x:row r="22" ht="42" customHeight="1">
      <x:c r="A22" s="45" t="str">
        <x:v>FR-B-001</x:v>
      </x:c>
      <x:c r="B22" s="46" t="str">
        <x:v>B. Home and Life Indicators</x:v>
      </x:c>
      <x:c r="C22" s="46" t="str">
        <x:v>display the active period and its date boundaries.</x:v>
      </x:c>
      <x:c r="D22" s="46" t="str">
        <x:v>BR-B-001</x:v>
      </x:c>
      <x:c r="E22" s="46" t="str">
        <x:v>ADR-005 — Confirmed-Source Progress and Read-Only Actuals; ADR-012 — Activity Ledger and Contribution Engine; ADR-010 — Weekly Planning Lifecycle</x:v>
      </x:c>
      <x:c r="F22" s="46" t="str">
        <x:v>AC-B-001</x:v>
      </x:c>
      <x:c r="G22" s="46" t="str">
        <x:v>Yes</x:v>
      </x:c>
      <x:c r="H22" s="46" t="str">
        <x:v>V1</x:v>
      </x:c>
      <x:c r="I22" s="46" t="str">
        <x:v>Home and Life Indicators</x:v>
      </x:c>
      <x:c r="J22" s="46" t="str">
        <x:v>Widget test</x:v>
      </x:c>
      <x:c r="K22" s="46" t="str">
        <x:v>Complete</x:v>
      </x:c>
      <x:c r="L22" s="47"/>
    </x:row>
    <x:row r="23" ht="42" customHeight="1">
      <x:c r="A23" s="45" t="str">
        <x:v>FR-B-002</x:v>
      </x:c>
      <x:c r="B23" s="46" t="str">
        <x:v>B. Home and Life Indicators</x:v>
      </x:c>
      <x:c r="C23" s="46" t="str">
        <x:v>display all six approved initial Life Indicators.</x:v>
      </x:c>
      <x:c r="D23" s="46" t="str">
        <x:v>BR-B-009, BR-B-010</x:v>
      </x:c>
      <x:c r="E23" s="46" t="str">
        <x:v>ADR-005 — Confirmed-Source Progress and Read-Only Actuals; ADR-012 — Activity Ledger and Contribution Engine</x:v>
      </x:c>
      <x:c r="F23" s="46" t="str">
        <x:v>AC-B-002</x:v>
      </x:c>
      <x:c r="G23" s="46" t="str">
        <x:v>Yes</x:v>
      </x:c>
      <x:c r="H23" s="46" t="str">
        <x:v>V1</x:v>
      </x:c>
      <x:c r="I23" s="46" t="str">
        <x:v>Home and Life Indicators</x:v>
      </x:c>
      <x:c r="J23" s="46" t="str">
        <x:v>Widget test</x:v>
      </x:c>
      <x:c r="K23" s="46" t="str">
        <x:v>Complete</x:v>
      </x:c>
      <x:c r="L23" s="47" t="str">
        <x:v>OPD-1-008</x:v>
      </x:c>
    </x:row>
    <x:row r="24" ht="42" customHeight="1">
      <x:c r="A24" s="45" t="str">
        <x:v>FR-B-003</x:v>
      </x:c>
      <x:c r="B24" s="46" t="str">
        <x:v>B. Home and Life Indicators</x:v>
      </x:c>
      <x:c r="C24" s="46" t="str">
        <x:v>Each indicator shall display Actual, Target, and Scheduled Potential as separately labeled values.</x:v>
      </x:c>
      <x:c r="D24" s="46" t="str">
        <x:v>BR-B-001, BR-B-003, BR-B-008</x:v>
      </x:c>
      <x:c r="E24" s="46" t="str">
        <x:v>ADR-005 — Confirmed-Source Progress and Read-Only Actuals; ADR-012 — Activity Ledger and Contribution Engine</x:v>
      </x:c>
      <x:c r="F24" s="46" t="str">
        <x:v>AC-B-003</x:v>
      </x:c>
      <x:c r="G24" s="46" t="str">
        <x:v>Yes</x:v>
      </x:c>
      <x:c r="H24" s="46" t="str">
        <x:v>V1</x:v>
      </x:c>
      <x:c r="I24" s="46" t="str">
        <x:v>Home and Life Indicators</x:v>
      </x:c>
      <x:c r="J24" s="46" t="str">
        <x:v>Domain test / Widget test</x:v>
      </x:c>
      <x:c r="K24" s="46" t="str">
        <x:v>Complete</x:v>
      </x:c>
      <x:c r="L24" s="47" t="str">
        <x:v>OPD-1-007</x:v>
      </x:c>
    </x:row>
    <x:row r="25" ht="42" customHeight="1">
      <x:c r="A25" s="45" t="str">
        <x:v>FR-B-004</x:v>
      </x:c>
      <x:c r="B25" s="46" t="str">
        <x:v>B. Home and Life Indicators</x:v>
      </x:c>
      <x:c r="C25" s="46" t="str">
        <x:v>derive Actual from local Activity Ledger-backed projections.</x:v>
      </x:c>
      <x:c r="D25" s="46" t="str">
        <x:v>BR-B-002, BR-B-004, BR-B-005</x:v>
      </x:c>
      <x:c r="E25" s="46" t="str">
        <x:v>ADR-005 — Confirmed-Source Progress and Read-Only Actuals; ADR-012 — Activity Ledger and Contribution Engine</x:v>
      </x:c>
      <x:c r="F25" s="46" t="str">
        <x:v>AC-B-004</x:v>
      </x:c>
      <x:c r="G25" s="46" t="str">
        <x:v>Yes</x:v>
      </x:c>
      <x:c r="H25" s="46" t="str">
        <x:v>V1</x:v>
      </x:c>
      <x:c r="I25" s="46" t="str">
        <x:v>Home and Life Indicators</x:v>
      </x:c>
      <x:c r="J25" s="46" t="str">
        <x:v>Domain test / Database test</x:v>
      </x:c>
      <x:c r="K25" s="46" t="str">
        <x:v>Complete</x:v>
      </x:c>
      <x:c r="L25" s="47"/>
    </x:row>
    <x:row r="26" ht="42" customHeight="1">
      <x:c r="A26" s="45" t="str">
        <x:v>FR-B-005</x:v>
      </x:c>
      <x:c r="B26" s="46" t="str">
        <x:v>B. Home and Life Indicators</x:v>
      </x:c>
      <x:c r="C26" s="46" t="str">
        <x:v>provide access to each indicator’s contribution history.</x:v>
      </x:c>
      <x:c r="D26" s="46" t="str">
        <x:v>BR-B-005, BR-B-006, BR-B-007</x:v>
      </x:c>
      <x:c r="E26" s="46" t="str">
        <x:v>ADR-005 — Confirmed-Source Progress and Read-Only Actuals; ADR-012 — Activity Ledger and Contribution Engine</x:v>
      </x:c>
      <x:c r="F26" s="46" t="str">
        <x:v>AC-B-005</x:v>
      </x:c>
      <x:c r="G26" s="46" t="str">
        <x:v>Yes</x:v>
      </x:c>
      <x:c r="H26" s="46" t="str">
        <x:v>V1</x:v>
      </x:c>
      <x:c r="I26" s="46" t="str">
        <x:v>Home and Life Indicators</x:v>
      </x:c>
      <x:c r="J26" s="46" t="str">
        <x:v>Domain test</x:v>
      </x:c>
      <x:c r="K26" s="46" t="str">
        <x:v>Complete</x:v>
      </x:c>
      <x:c r="L26" s="47" t="str">
        <x:v>OPD-1-006</x:v>
      </x:c>
    </x:row>
    <x:row r="27" ht="42" customHeight="1">
      <x:c r="A27" s="45" t="str">
        <x:v>FR-B-006</x:v>
      </x:c>
      <x:c r="B27" s="46" t="str">
        <x:v>B. Home and Life Indicators</x:v>
      </x:c>
      <x:c r="C27" s="46" t="str">
        <x:v>provide access to the sources of Scheduled Potential.</x:v>
      </x:c>
      <x:c r="D27" s="46" t="str">
        <x:v>BR-B-001, BR-B-003, BR-B-008</x:v>
      </x:c>
      <x:c r="E27" s="46" t="str">
        <x:v>ADR-005 — Confirmed-Source Progress and Read-Only Actuals; ADR-012 — Activity Ledger and Contribution Engine</x:v>
      </x:c>
      <x:c r="F27" s="46" t="str">
        <x:v>AC-B-006</x:v>
      </x:c>
      <x:c r="G27" s="46" t="str">
        <x:v>Yes</x:v>
      </x:c>
      <x:c r="H27" s="46" t="str">
        <x:v>V1</x:v>
      </x:c>
      <x:c r="I27" s="46" t="str">
        <x:v>Home and Life Indicators</x:v>
      </x:c>
      <x:c r="J27" s="46" t="str">
        <x:v>Domain test</x:v>
      </x:c>
      <x:c r="K27" s="46" t="str">
        <x:v>Complete</x:v>
      </x:c>
      <x:c r="L27" s="47" t="str">
        <x:v>OPD-1-007</x:v>
      </x:c>
    </x:row>
    <x:row r="28" ht="42" customHeight="1">
      <x:c r="A28" s="45" t="str">
        <x:v>FR-B-007</x:v>
      </x:c>
      <x:c r="B28" s="46" t="str">
        <x:v>B. Home and Life Indicators</x:v>
      </x:c>
      <x:c r="C28" s="46" t="str">
        <x:v>distinguish no target from a zero target.</x:v>
      </x:c>
      <x:c r="D28" s="46" t="str">
        <x:v>BR-B-001, BR-B-002, BR-B-004</x:v>
      </x:c>
      <x:c r="E28" s="46" t="str">
        <x:v>ADR-005 — Confirmed-Source Progress and Read-Only Actuals; ADR-012 — Activity Ledger and Contribution Engine</x:v>
      </x:c>
      <x:c r="F28" s="46" t="str">
        <x:v>AC-B-007</x:v>
      </x:c>
      <x:c r="G28" s="46" t="str">
        <x:v>Yes</x:v>
      </x:c>
      <x:c r="H28" s="46" t="str">
        <x:v>V1</x:v>
      </x:c>
      <x:c r="I28" s="46" t="str">
        <x:v>Home and Life Indicators</x:v>
      </x:c>
      <x:c r="J28" s="46" t="str">
        <x:v>Domain test</x:v>
      </x:c>
      <x:c r="K28" s="46" t="str">
        <x:v>Complete</x:v>
      </x:c>
      <x:c r="L28" s="47" t="str">
        <x:v>OPD-1-005</x:v>
      </x:c>
    </x:row>
    <x:row r="29" ht="42" customHeight="1">
      <x:c r="A29" s="45" t="str">
        <x:v>FR-B-008</x:v>
      </x:c>
      <x:c r="B29" s="46" t="str">
        <x:v>B. Home and Life Indicators</x:v>
      </x:c>
      <x:c r="C29" s="46" t="str">
        <x:v>update after valid reports, reversals, and replacements.</x:v>
      </x:c>
      <x:c r="D29" s="46" t="str">
        <x:v>BR-B-006</x:v>
      </x:c>
      <x:c r="E29" s="46" t="str">
        <x:v>ADR-005 — Confirmed-Source Progress and Read-Only Actuals; ADR-011 — Event and Task Outcome Reporting; ADR-012 — Activity Ledger and Contribution Engine</x:v>
      </x:c>
      <x:c r="F29" s="46" t="str">
        <x:v>AC-B-008</x:v>
      </x:c>
      <x:c r="G29" s="46" t="str">
        <x:v>Yes</x:v>
      </x:c>
      <x:c r="H29" s="46" t="str">
        <x:v>V1</x:v>
      </x:c>
      <x:c r="I29" s="46" t="str">
        <x:v>Home and Life Indicators</x:v>
      </x:c>
      <x:c r="J29" s="46" t="str">
        <x:v>Domain test</x:v>
      </x:c>
      <x:c r="K29" s="46" t="str">
        <x:v>Complete</x:v>
      </x:c>
      <x:c r="L29" s="47"/>
    </x:row>
    <x:row r="30" ht="42" customHeight="1">
      <x:c r="A30" s="45" t="str">
        <x:v>FR-B-009</x:v>
      </x:c>
      <x:c r="B30" s="46" t="str">
        <x:v>B. Home and Life Indicators</x:v>
      </x:c>
      <x:c r="C30" s="46" t="str">
        <x:v>not permit direct Actual editing.</x:v>
      </x:c>
      <x:c r="D30" s="46" t="str">
        <x:v>BR-B-002, BR-B-003, BR-B-005</x:v>
      </x:c>
      <x:c r="E30" s="46" t="str">
        <x:v>ADR-005 — Confirmed-Source Progress and Read-Only Actuals; ADR-012 — Activity Ledger and Contribution Engine</x:v>
      </x:c>
      <x:c r="F30" s="46" t="str">
        <x:v>AC-B-009</x:v>
      </x:c>
      <x:c r="G30" s="46" t="str">
        <x:v>Yes</x:v>
      </x:c>
      <x:c r="H30" s="46" t="str">
        <x:v>V1</x:v>
      </x:c>
      <x:c r="I30" s="46" t="str">
        <x:v>Home and Life Indicators</x:v>
      </x:c>
      <x:c r="J30" s="46" t="str">
        <x:v>Domain test</x:v>
      </x:c>
      <x:c r="K30" s="46" t="str">
        <x:v>Complete</x:v>
      </x:c>
      <x:c r="L30" s="47"/>
    </x:row>
    <x:row r="31" ht="42" customHeight="1">
      <x:c r="A31" s="45" t="str">
        <x:v>FR-B-010</x:v>
      </x:c>
      <x:c r="B31" s="46" t="str">
        <x:v>B. Home and Life Indicators</x:v>
      </x:c>
      <x:c r="C31" s="46" t="str">
        <x:v>not classify records by title alone.</x:v>
      </x:c>
      <x:c r="D31" s="46" t="str">
        <x:v>BR-B-003, BR-B-007</x:v>
      </x:c>
      <x:c r="E31" s="46" t="str">
        <x:v>ADR-005 — Confirmed-Source Progress and Read-Only Actuals; ADR-012 — Activity Ledger and Contribution Engine</x:v>
      </x:c>
      <x:c r="F31" s="46" t="str">
        <x:v>AC-B-010</x:v>
      </x:c>
      <x:c r="G31" s="46" t="str">
        <x:v>Yes</x:v>
      </x:c>
      <x:c r="H31" s="46" t="str">
        <x:v>V1</x:v>
      </x:c>
      <x:c r="I31" s="46" t="str">
        <x:v>Home and Life Indicators</x:v>
      </x:c>
      <x:c r="J31" s="46" t="str">
        <x:v>Domain test</x:v>
      </x:c>
      <x:c r="K31" s="46" t="str">
        <x:v>Complete</x:v>
      </x:c>
      <x:c r="L31" s="47"/>
    </x:row>
    <x:row r="32" ht="42" customHeight="1">
      <x:c r="A32" s="45" t="str">
        <x:v>FR-B-011</x:v>
      </x:c>
      <x:c r="B32" s="46" t="str">
        <x:v>B. Home and Life Indicators</x:v>
      </x:c>
      <x:c r="C32" s="46" t="str">
        <x:v>identify stale or rebuilding projection states.</x:v>
      </x:c>
      <x:c r="D32" s="46" t="str">
        <x:v>BR-B-001</x:v>
      </x:c>
      <x:c r="E32" s="46" t="str">
        <x:v>ADR-005 — Confirmed-Source Progress and Read-Only Actuals; ADR-012 — Activity Ledger and Contribution Engine</x:v>
      </x:c>
      <x:c r="F32" s="46" t="str">
        <x:v>AC-B-011</x:v>
      </x:c>
      <x:c r="G32" s="46" t="str">
        <x:v>No</x:v>
      </x:c>
      <x:c r="H32" s="46" t="str">
        <x:v>V1</x:v>
      </x:c>
      <x:c r="I32" s="46" t="str">
        <x:v>Home and Life Indicators</x:v>
      </x:c>
      <x:c r="J32" s="46" t="str">
        <x:v>Domain test</x:v>
      </x:c>
      <x:c r="K32" s="46" t="str">
        <x:v>Complete</x:v>
      </x:c>
      <x:c r="L32" s="47"/>
    </x:row>
    <x:row r="33" ht="42" customHeight="1">
      <x:c r="A33" s="45" t="str">
        <x:v>FR-B-012</x:v>
      </x:c>
      <x:c r="B33" s="46" t="str">
        <x:v>B. Home and Life Indicators</x:v>
      </x:c>
      <x:c r="C33" s="46" t="str">
        <x:v>remain usable when one projection fails.</x:v>
      </x:c>
      <x:c r="D33" s="46" t="str">
        <x:v>BR-B-001</x:v>
      </x:c>
      <x:c r="E33" s="46" t="str">
        <x:v>ADR-005 — Confirmed-Source Progress and Read-Only Actuals; ADR-012 — Activity Ledger and Contribution Engine</x:v>
      </x:c>
      <x:c r="F33" s="46" t="str">
        <x:v>AC-B-012</x:v>
      </x:c>
      <x:c r="G33" s="46" t="str">
        <x:v>Yes</x:v>
      </x:c>
      <x:c r="H33" s="46" t="str">
        <x:v>V1</x:v>
      </x:c>
      <x:c r="I33" s="46" t="str">
        <x:v>Home and Life Indicators</x:v>
      </x:c>
      <x:c r="J33" s="46" t="str">
        <x:v>Domain test</x:v>
      </x:c>
      <x:c r="K33" s="46" t="str">
        <x:v>Complete</x:v>
      </x:c>
      <x:c r="L33" s="47"/>
    </x:row>
    <x:row r="34" ht="42" customHeight="1">
      <x:c r="A34" s="45" t="str">
        <x:v>FR-B-013</x:v>
      </x:c>
      <x:c r="B34" s="46" t="str">
        <x:v>B. Home and Life Indicators</x:v>
      </x:c>
      <x:c r="C34" s="46" t="str">
        <x:v>provide a route to Planner for the current day.</x:v>
      </x:c>
      <x:c r="D34" s="46" t="str">
        <x:v>BR-B-001</x:v>
      </x:c>
      <x:c r="E34" s="46" t="str">
        <x:v>ADR-005 — Confirmed-Source Progress and Read-Only Actuals; ADR-012 — Activity Ledger and Contribution Engine</x:v>
      </x:c>
      <x:c r="F34" s="46" t="str">
        <x:v>AC-B-013</x:v>
      </x:c>
      <x:c r="G34" s="46" t="str">
        <x:v>No</x:v>
      </x:c>
      <x:c r="H34" s="46" t="str">
        <x:v>V1</x:v>
      </x:c>
      <x:c r="I34" s="46" t="str">
        <x:v>Home and Life Indicators</x:v>
      </x:c>
      <x:c r="J34" s="46" t="str">
        <x:v>Domain test</x:v>
      </x:c>
      <x:c r="K34" s="46" t="str">
        <x:v>Complete</x:v>
      </x:c>
      <x:c r="L34" s="47"/>
    </x:row>
    <x:row r="35" ht="42" customHeight="1">
      <x:c r="A35" s="45" t="str">
        <x:v>FR-B-014</x:v>
      </x:c>
      <x:c r="B35" s="46" t="str">
        <x:v>B. Home and Life Indicators</x:v>
      </x:c>
      <x:c r="C35" s="46" t="str">
        <x:v>provide a route to Weekly Planning for target changes.</x:v>
      </x:c>
      <x:c r="D35" s="46" t="str">
        <x:v>BR-B-001, BR-B-004</x:v>
      </x:c>
      <x:c r="E35" s="46" t="str">
        <x:v>ADR-005 — Confirmed-Source Progress and Read-Only Actuals; ADR-012 — Activity Ledger and Contribution Engine; ADR-010 — Weekly Planning Lifecycle</x:v>
      </x:c>
      <x:c r="F35" s="46" t="str">
        <x:v>AC-B-014</x:v>
      </x:c>
      <x:c r="G35" s="46" t="str">
        <x:v>No</x:v>
      </x:c>
      <x:c r="H35" s="46" t="str">
        <x:v>V1</x:v>
      </x:c>
      <x:c r="I35" s="46" t="str">
        <x:v>Home and Life Indicators</x:v>
      </x:c>
      <x:c r="J35" s="46" t="str">
        <x:v>Domain test</x:v>
      </x:c>
      <x:c r="K35" s="46" t="str">
        <x:v>Complete</x:v>
      </x:c>
      <x:c r="L35" s="47"/>
    </x:row>
    <x:row r="36" ht="42" customHeight="1">
      <x:c r="A36" s="45" t="str">
        <x:v>FR-B-015</x:v>
      </x:c>
      <x:c r="B36" s="46" t="str">
        <x:v>B. Home and Life Indicators</x:v>
      </x:c>
      <x:c r="C36" s="46" t="str">
        <x:v>show counts for relevant attention items, including overdue Tasks and Calendar Events Awaiting Report, when those summaries are included.</x:v>
      </x:c>
      <x:c r="D36" s="46" t="str">
        <x:v>BR-B-008</x:v>
      </x:c>
      <x:c r="E36" s="46" t="str">
        <x:v>ADR-004 — Separation of Tasks and Calendar Events; ADR-005 — Confirmed-Source Progress and Read-Only Actuals; ADR-011 — Event and Task Outcome Reporting; ADR-012 — Activity Ledger and Contribution Engine</x:v>
      </x:c>
      <x:c r="F36" s="46" t="str">
        <x:v>AC-B-015</x:v>
      </x:c>
      <x:c r="G36" s="46" t="str">
        <x:v>No</x:v>
      </x:c>
      <x:c r="H36" s="46" t="str">
        <x:v>V1</x:v>
      </x:c>
      <x:c r="I36" s="46" t="str">
        <x:v>Home and Life Indicators</x:v>
      </x:c>
      <x:c r="J36" s="46" t="str">
        <x:v>Integration test</x:v>
      </x:c>
      <x:c r="K36" s="46" t="str">
        <x:v>Complete</x:v>
      </x:c>
      <x:c r="L36" s="47"/>
    </x:row>
    <x:row r="37" ht="42" customHeight="1">
      <x:c r="A37" s="45" t="str">
        <x:v>FR-B-016</x:v>
      </x:c>
      <x:c r="B37" s="46" t="str">
        <x:v>B. Home and Life Indicators</x:v>
      </x:c>
      <x:c r="C37" s="46" t="str">
        <x:v>display spiritual-adjacent indicators without scoring spiritual quality.</x:v>
      </x:c>
      <x:c r="D37" s="46" t="str">
        <x:v>BR-B-009, BR-B-010</x:v>
      </x:c>
      <x:c r="E37" s="46" t="str">
        <x:v>ADR-005 — Confirmed-Source Progress and Read-Only Actuals; ADR-012 — Activity Ledger and Contribution Engine</x:v>
      </x:c>
      <x:c r="F37" s="46" t="str">
        <x:v>AC-B-016</x:v>
      </x:c>
      <x:c r="G37" s="46" t="str">
        <x:v>Yes</x:v>
      </x:c>
      <x:c r="H37" s="46" t="str">
        <x:v>V1</x:v>
      </x:c>
      <x:c r="I37" s="46" t="str">
        <x:v>Home and Life Indicators</x:v>
      </x:c>
      <x:c r="J37" s="46" t="str">
        <x:v>Widget test / Manual review</x:v>
      </x:c>
      <x:c r="K37" s="46" t="str">
        <x:v>Complete</x:v>
      </x:c>
      <x:c r="L37" s="47"/>
    </x:row>
    <x:row r="38" ht="42" customHeight="1">
      <x:c r="A38" s="45" t="str">
        <x:v>FR-B-017</x:v>
      </x:c>
      <x:c r="B38" s="46" t="str">
        <x:v>B. Home and Life Indicators</x:v>
      </x:c>
      <x:c r="C38" s="46" t="str">
        <x:v>not combine the six indicators into a worthiness or life-quality score.</x:v>
      </x:c>
      <x:c r="D38" s="46" t="str">
        <x:v>BR-B-009, BR-B-010</x:v>
      </x:c>
      <x:c r="E38" s="46" t="str">
        <x:v>ADR-005 — Confirmed-Source Progress and Read-Only Actuals; ADR-012 — Activity Ledger and Contribution Engine</x:v>
      </x:c>
      <x:c r="F38" s="46" t="str">
        <x:v>AC-B-017</x:v>
      </x:c>
      <x:c r="G38" s="46" t="str">
        <x:v>Yes</x:v>
      </x:c>
      <x:c r="H38" s="46" t="str">
        <x:v>V1</x:v>
      </x:c>
      <x:c r="I38" s="46" t="str">
        <x:v>Home and Life Indicators</x:v>
      </x:c>
      <x:c r="J38" s="46" t="str">
        <x:v>Domain test</x:v>
      </x:c>
      <x:c r="K38" s="46" t="str">
        <x:v>Complete</x:v>
      </x:c>
      <x:c r="L38" s="47"/>
    </x:row>
    <x:row r="39" ht="42" customHeight="1">
      <x:c r="A39" s="45" t="str">
        <x:v>FR-B-018</x:v>
      </x:c>
      <x:c r="B39" s="46" t="str">
        <x:v>B. Home and Life Indicators</x:v>
      </x:c>
      <x:c r="C39" s="46" t="str">
        <x:v>retain period context when navigating into an indicator.</x:v>
      </x:c>
      <x:c r="D39" s="46" t="str">
        <x:v>BR-B-007</x:v>
      </x:c>
      <x:c r="E39" s="46" t="str">
        <x:v>ADR-005 — Confirmed-Source Progress and Read-Only Actuals; ADR-012 — Activity Ledger and Contribution Engine; ADR-010 — Weekly Planning Lifecycle</x:v>
      </x:c>
      <x:c r="F39" s="46" t="str">
        <x:v>AC-B-018</x:v>
      </x:c>
      <x:c r="G39" s="46" t="str">
        <x:v>No</x:v>
      </x:c>
      <x:c r="H39" s="46" t="str">
        <x:v>V1</x:v>
      </x:c>
      <x:c r="I39" s="46" t="str">
        <x:v>Home and Life Indicators</x:v>
      </x:c>
      <x:c r="J39" s="46" t="str">
        <x:v>Domain test</x:v>
      </x:c>
      <x:c r="K39" s="46" t="str">
        <x:v>Complete</x:v>
      </x:c>
      <x:c r="L39" s="47" t="str">
        <x:v>OPD-1-006</x:v>
      </x:c>
    </x:row>
    <x:row r="40" ht="42" customHeight="1">
      <x:c r="A40" s="45" t="str">
        <x:v>FR-B-019</x:v>
      </x:c>
      <x:c r="B40" s="46" t="str">
        <x:v>B. Home and Life Indicators</x:v>
      </x:c>
      <x:c r="C40" s="46" t="str">
        <x:v>correctly handle rescheduled and cancelled planned items in Scheduled Potential.</x:v>
      </x:c>
      <x:c r="D40" s="46" t="str">
        <x:v>BR-B-001, BR-B-003, BR-B-008</x:v>
      </x:c>
      <x:c r="E40" s="46" t="str">
        <x:v>ADR-005 — Confirmed-Source Progress and Read-Only Actuals; ADR-011 — Event and Task Outcome Reporting; ADR-012 — Activity Ledger and Contribution Engine</x:v>
      </x:c>
      <x:c r="F40" s="46" t="str">
        <x:v>AC-B-019</x:v>
      </x:c>
      <x:c r="G40" s="46" t="str">
        <x:v>No</x:v>
      </x:c>
      <x:c r="H40" s="46" t="str">
        <x:v>V1</x:v>
      </x:c>
      <x:c r="I40" s="46" t="str">
        <x:v>Home and Life Indicators</x:v>
      </x:c>
      <x:c r="J40" s="46" t="str">
        <x:v>Domain test</x:v>
      </x:c>
      <x:c r="K40" s="46" t="str">
        <x:v>Complete</x:v>
      </x:c>
      <x:c r="L40" s="47" t="str">
        <x:v>OPD-1-007</x:v>
      </x:c>
    </x:row>
    <x:row r="41" ht="42" customHeight="1">
      <x:c r="A41" s="45" t="str">
        <x:v>FR-B-020</x:v>
      </x:c>
      <x:c r="B41" s="46" t="str">
        <x:v>B. Home and Life Indicators</x:v>
      </x:c>
      <x:c r="C41" s="46" t="str">
        <x:v>use local state as the immediate displayed source.</x:v>
      </x:c>
      <x:c r="D41" s="46" t="str">
        <x:v>BR-B-001</x:v>
      </x:c>
      <x:c r="E41" s="46" t="str">
        <x:v>ADR-005 — Confirmed-Source Progress and Read-Only Actuals; ADR-012 — Activity Ledger and Contribution Engine; ADR-006 — Local-First Operation with Background Synchronization</x:v>
      </x:c>
      <x:c r="F41" s="46" t="str">
        <x:v>AC-B-020</x:v>
      </x:c>
      <x:c r="G41" s="46" t="str">
        <x:v>No</x:v>
      </x:c>
      <x:c r="H41" s="46" t="str">
        <x:v>V1</x:v>
      </x:c>
      <x:c r="I41" s="46" t="str">
        <x:v>Home and Life Indicators</x:v>
      </x:c>
      <x:c r="J41" s="46" t="str">
        <x:v>Widget test</x:v>
      </x:c>
      <x:c r="K41" s="46" t="str">
        <x:v>Complete</x:v>
      </x:c>
      <x:c r="L41" s="47"/>
    </x:row>
    <x:row r="42" ht="42" customHeight="1">
      <x:c r="A42" s="45" t="str">
        <x:v>FR-C-001</x:v>
      </x:c>
      <x:c r="B42" s="46" t="str">
        <x:v>C. Planner Day View</x:v>
      </x:c>
      <x:c r="C42" s="46" t="str">
        <x:v>display a clearly identified selected date.</x:v>
      </x:c>
      <x:c r="D42" s="46" t="str">
        <x:v>BR-C-001</x:v>
      </x:c>
      <x:c r="E42" s="46" t="str">
        <x:v>ADR-004 — Separation of Tasks and Calendar Events; ADR-011 — Event and Task Outcome Reporting</x:v>
      </x:c>
      <x:c r="F42" s="46" t="str">
        <x:v>AC-C-001</x:v>
      </x:c>
      <x:c r="G42" s="46" t="str">
        <x:v>Yes</x:v>
      </x:c>
      <x:c r="H42" s="46" t="str">
        <x:v>V1</x:v>
      </x:c>
      <x:c r="I42" s="46" t="str">
        <x:v>Planner Day View</x:v>
      </x:c>
      <x:c r="J42" s="46" t="str">
        <x:v>Widget test</x:v>
      </x:c>
      <x:c r="K42" s="46" t="str">
        <x:v>Complete</x:v>
      </x:c>
      <x:c r="L42" s="47" t="str">
        <x:v>OPD-1-010</x:v>
      </x:c>
    </x:row>
    <x:row r="43" ht="42" customHeight="1">
      <x:c r="A43" s="45" t="str">
        <x:v>FR-C-002</x:v>
      </x:c>
      <x:c r="B43" s="46" t="str">
        <x:v>C. Planner Day View</x:v>
      </x:c>
      <x:c r="C43" s="46" t="str">
        <x:v>display Tasks and Calendar Events with different type indicators and interactions.</x:v>
      </x:c>
      <x:c r="D43" s="46" t="str">
        <x:v>BR-C-001, BR-C-006</x:v>
      </x:c>
      <x:c r="E43" s="46" t="str">
        <x:v>ADR-004 — Separation of Tasks and Calendar Events; ADR-011 — Event and Task Outcome Reporting</x:v>
      </x:c>
      <x:c r="F43" s="46" t="str">
        <x:v>AC-C-002</x:v>
      </x:c>
      <x:c r="G43" s="46" t="str">
        <x:v>Yes</x:v>
      </x:c>
      <x:c r="H43" s="46" t="str">
        <x:v>V1</x:v>
      </x:c>
      <x:c r="I43" s="46" t="str">
        <x:v>Planner Day View</x:v>
      </x:c>
      <x:c r="J43" s="46" t="str">
        <x:v>Widget test / Integration test</x:v>
      </x:c>
      <x:c r="K43" s="46" t="str">
        <x:v>Complete</x:v>
      </x:c>
      <x:c r="L43" s="47" t="str">
        <x:v>OPD-1-011</x:v>
      </x:c>
    </x:row>
    <x:row r="44" ht="42" customHeight="1">
      <x:c r="A44" s="45" t="str">
        <x:v>FR-C-003</x:v>
      </x:c>
      <x:c r="B44" s="46" t="str">
        <x:v>C. Planner Day View</x:v>
      </x:c>
      <x:c r="C44" s="46" t="str">
        <x:v>support all-day and timed Calendar Events.</x:v>
      </x:c>
      <x:c r="D44" s="46" t="str">
        <x:v>BR-C-001, BR-C-006</x:v>
      </x:c>
      <x:c r="E44" s="46" t="str">
        <x:v>ADR-004 — Separation of Tasks and Calendar Events; ADR-011 — Event and Task Outcome Reporting</x:v>
      </x:c>
      <x:c r="F44" s="46" t="str">
        <x:v>AC-C-003</x:v>
      </x:c>
      <x:c r="G44" s="46" t="str">
        <x:v>Yes</x:v>
      </x:c>
      <x:c r="H44" s="46" t="str">
        <x:v>V1</x:v>
      </x:c>
      <x:c r="I44" s="46" t="str">
        <x:v>Planner Day View</x:v>
      </x:c>
      <x:c r="J44" s="46" t="str">
        <x:v>Integration test</x:v>
      </x:c>
      <x:c r="K44" s="46" t="str">
        <x:v>Complete</x:v>
      </x:c>
      <x:c r="L44" s="47" t="str">
        <x:v>OPD-1-011</x:v>
      </x:c>
    </x:row>
    <x:row r="45" ht="42" customHeight="1">
      <x:c r="A45" s="45" t="str">
        <x:v>FR-C-004</x:v>
      </x:c>
      <x:c r="B45" s="46" t="str">
        <x:v>C. Planner Day View</x:v>
      </x:c>
      <x:c r="C45" s="46" t="str">
        <x:v>show Tasks due on the selected day.</x:v>
      </x:c>
      <x:c r="D45" s="46" t="str">
        <x:v>BR-C-001</x:v>
      </x:c>
      <x:c r="E45" s="46" t="str">
        <x:v>ADR-004 — Separation of Tasks and Calendar Events; ADR-011 — Event and Task Outcome Reporting</x:v>
      </x:c>
      <x:c r="F45" s="46" t="str">
        <x:v>AC-C-004</x:v>
      </x:c>
      <x:c r="G45" s="46" t="str">
        <x:v>Yes</x:v>
      </x:c>
      <x:c r="H45" s="46" t="str">
        <x:v>V1</x:v>
      </x:c>
      <x:c r="I45" s="46" t="str">
        <x:v>Planner Day View</x:v>
      </x:c>
      <x:c r="J45" s="46" t="str">
        <x:v>Domain test</x:v>
      </x:c>
      <x:c r="K45" s="46" t="str">
        <x:v>Complete</x:v>
      </x:c>
      <x:c r="L45" s="47" t="str">
        <x:v>OPD-1-010</x:v>
      </x:c>
    </x:row>
    <x:row r="46" ht="42" customHeight="1">
      <x:c r="A46" s="45" t="str">
        <x:v>FR-C-005</x:v>
      </x:c>
      <x:c r="B46" s="46" t="str">
        <x:v>C. Planner Day View</x:v>
      </x:c>
      <x:c r="C46" s="46" t="str">
        <x:v>show overdue Incomplete Tasks.</x:v>
      </x:c>
      <x:c r="D46" s="46" t="str">
        <x:v>BR-C-001, BR-C-002</x:v>
      </x:c>
      <x:c r="E46" s="46" t="str">
        <x:v>ADR-004 — Separation of Tasks and Calendar Events; ADR-011 — Event and Task Outcome Reporting</x:v>
      </x:c>
      <x:c r="F46" s="46" t="str">
        <x:v>AC-C-005</x:v>
      </x:c>
      <x:c r="G46" s="46" t="str">
        <x:v>Yes</x:v>
      </x:c>
      <x:c r="H46" s="46" t="str">
        <x:v>V1</x:v>
      </x:c>
      <x:c r="I46" s="46" t="str">
        <x:v>Planner Day View</x:v>
      </x:c>
      <x:c r="J46" s="46" t="str">
        <x:v>Domain test</x:v>
      </x:c>
      <x:c r="K46" s="46" t="str">
        <x:v>Complete</x:v>
      </x:c>
      <x:c r="L46" s="47" t="str">
        <x:v>OPD-1-011</x:v>
      </x:c>
    </x:row>
    <x:row r="47" ht="42" customHeight="1">
      <x:c r="A47" s="45" t="str">
        <x:v>FR-C-006</x:v>
      </x:c>
      <x:c r="B47" s="46" t="str">
        <x:v>C. Planner Day View</x:v>
      </x:c>
      <x:c r="C47" s="46" t="str">
        <x:v>show ended report-required Calendar Events as Awaiting Report.</x:v>
      </x:c>
      <x:c r="D47" s="46" t="str">
        <x:v>BR-C-001, BR-C-003, BR-C-006</x:v>
      </x:c>
      <x:c r="E47" s="46" t="str">
        <x:v>ADR-004 — Separation of Tasks and Calendar Events; ADR-011 — Event and Task Outcome Reporting</x:v>
      </x:c>
      <x:c r="F47" s="46" t="str">
        <x:v>AC-C-006</x:v>
      </x:c>
      <x:c r="G47" s="46" t="str">
        <x:v>Yes</x:v>
      </x:c>
      <x:c r="H47" s="46" t="str">
        <x:v>V1</x:v>
      </x:c>
      <x:c r="I47" s="46" t="str">
        <x:v>Planner Day View</x:v>
      </x:c>
      <x:c r="J47" s="46" t="str">
        <x:v>Integration test</x:v>
      </x:c>
      <x:c r="K47" s="46" t="str">
        <x:v>Complete</x:v>
      </x:c>
      <x:c r="L47" s="47" t="str">
        <x:v>OPD-1-009, OPD-1-011</x:v>
      </x:c>
    </x:row>
    <x:row r="48" ht="42" customHeight="1">
      <x:c r="A48" s="45" t="str">
        <x:v>FR-C-007</x:v>
      </x:c>
      <x:c r="B48" s="46" t="str">
        <x:v>C. Planner Day View</x:v>
      </x:c>
      <x:c r="C48" s="46" t="str">
        <x:v>represent cancelled events.</x:v>
      </x:c>
      <x:c r="D48" s="46" t="str">
        <x:v>BR-C-001, BR-C-006</x:v>
      </x:c>
      <x:c r="E48" s="46" t="str">
        <x:v>ADR-004 — Separation of Tasks and Calendar Events; ADR-011 — Event and Task Outcome Reporting</x:v>
      </x:c>
      <x:c r="F48" s="46" t="str">
        <x:v>AC-C-007</x:v>
      </x:c>
      <x:c r="G48" s="46" t="str">
        <x:v>Yes</x:v>
      </x:c>
      <x:c r="H48" s="46" t="str">
        <x:v>V1</x:v>
      </x:c>
      <x:c r="I48" s="46" t="str">
        <x:v>Planner Day View</x:v>
      </x:c>
      <x:c r="J48" s="46" t="str">
        <x:v>Domain test</x:v>
      </x:c>
      <x:c r="K48" s="46" t="str">
        <x:v>Complete</x:v>
      </x:c>
      <x:c r="L48" s="47"/>
    </x:row>
    <x:row r="49" ht="42" customHeight="1">
      <x:c r="A49" s="45" t="str">
        <x:v>FR-C-008</x:v>
      </x:c>
      <x:c r="B49" s="46" t="str">
        <x:v>C. Planner Day View</x:v>
      </x:c>
      <x:c r="C49" s="46" t="str">
        <x:v>represent original rescheduled occurrences and their replacement events without double-presenting them as active commitments.</x:v>
      </x:c>
      <x:c r="D49" s="46" t="str">
        <x:v>BR-C-001, BR-C-006, BR-C-007</x:v>
      </x:c>
      <x:c r="E49" s="46" t="str">
        <x:v>ADR-004 — Separation of Tasks and Calendar Events; ADR-011 — Event and Task Outcome Reporting; ADR-012 — Activity Ledger and Contribution Engine</x:v>
      </x:c>
      <x:c r="F49" s="46" t="str">
        <x:v>AC-C-008</x:v>
      </x:c>
      <x:c r="G49" s="46" t="str">
        <x:v>Yes</x:v>
      </x:c>
      <x:c r="H49" s="46" t="str">
        <x:v>V1</x:v>
      </x:c>
      <x:c r="I49" s="46" t="str">
        <x:v>Planner Day View</x:v>
      </x:c>
      <x:c r="J49" s="46" t="str">
        <x:v>Domain test</x:v>
      </x:c>
      <x:c r="K49" s="46" t="str">
        <x:v>Complete</x:v>
      </x:c>
      <x:c r="L49" s="47"/>
    </x:row>
    <x:row r="50" ht="42" customHeight="1">
      <x:c r="A50" s="45" t="str">
        <x:v>FR-C-009</x:v>
      </x:c>
      <x:c r="B50" s="46" t="str">
        <x:v>C. Planner Day View</x:v>
      </x:c>
      <x:c r="C50" s="46" t="str">
        <x:v>support date navigation.</x:v>
      </x:c>
      <x:c r="D50" s="46" t="str">
        <x:v>BR-C-001</x:v>
      </x:c>
      <x:c r="E50" s="46" t="str">
        <x:v>ADR-004 — Separation of Tasks and Calendar Events; ADR-011 — Event and Task Outcome Reporting</x:v>
      </x:c>
      <x:c r="F50" s="46" t="str">
        <x:v>AC-C-009</x:v>
      </x:c>
      <x:c r="G50" s="46" t="str">
        <x:v>No</x:v>
      </x:c>
      <x:c r="H50" s="46" t="str">
        <x:v>V1</x:v>
      </x:c>
      <x:c r="I50" s="46" t="str">
        <x:v>Planner Day View</x:v>
      </x:c>
      <x:c r="J50" s="46" t="str">
        <x:v>Domain test</x:v>
      </x:c>
      <x:c r="K50" s="46" t="str">
        <x:v>Complete</x:v>
      </x:c>
      <x:c r="L50" s="47"/>
    </x:row>
    <x:row r="51" ht="42" customHeight="1">
      <x:c r="A51" s="45" t="str">
        <x:v>FR-C-010</x:v>
      </x:c>
      <x:c r="B51" s="46" t="str">
        <x:v>C. Planner Day View</x:v>
      </x:c>
      <x:c r="C51" s="46" t="str">
        <x:v>provide distinct creation actions for Task and Calendar Event.</x:v>
      </x:c>
      <x:c r="D51" s="46" t="str">
        <x:v>BR-C-001, BR-C-006, BR-C-008</x:v>
      </x:c>
      <x:c r="E51" s="46" t="str">
        <x:v>ADR-004 — Separation of Tasks and Calendar Events; ADR-011 — Event and Task Outcome Reporting</x:v>
      </x:c>
      <x:c r="F51" s="46" t="str">
        <x:v>AC-C-010</x:v>
      </x:c>
      <x:c r="G51" s="46" t="str">
        <x:v>No</x:v>
      </x:c>
      <x:c r="H51" s="46" t="str">
        <x:v>V1</x:v>
      </x:c>
      <x:c r="I51" s="46" t="str">
        <x:v>Planner Day View</x:v>
      </x:c>
      <x:c r="J51" s="46" t="str">
        <x:v>Integration test</x:v>
      </x:c>
      <x:c r="K51" s="46" t="str">
        <x:v>Complete</x:v>
      </x:c>
      <x:c r="L51" s="47"/>
    </x:row>
    <x:row r="52" ht="42" customHeight="1">
      <x:c r="A52" s="45" t="str">
        <x:v>FR-C-011</x:v>
      </x:c>
      <x:c r="B52" s="46" t="str">
        <x:v>C. Planner Day View</x:v>
      </x:c>
      <x:c r="C52" s="46" t="str">
        <x:v>support offline creation and editing.</x:v>
      </x:c>
      <x:c r="D52" s="46" t="str">
        <x:v>BR-C-008</x:v>
      </x:c>
      <x:c r="E52" s="46" t="str">
        <x:v>ADR-004 — Separation of Tasks and Calendar Events; ADR-011 — Event and Task Outcome Reporting; ADR-006 — Local-First Operation with Background Synchronization</x:v>
      </x:c>
      <x:c r="F52" s="46" t="str">
        <x:v>AC-C-011</x:v>
      </x:c>
      <x:c r="G52" s="46" t="str">
        <x:v>Yes</x:v>
      </x:c>
      <x:c r="H52" s="46" t="str">
        <x:v>V1</x:v>
      </x:c>
      <x:c r="I52" s="46" t="str">
        <x:v>Planner Day View</x:v>
      </x:c>
      <x:c r="J52" s="46" t="str">
        <x:v>Domain test</x:v>
      </x:c>
      <x:c r="K52" s="46" t="str">
        <x:v>Complete</x:v>
      </x:c>
      <x:c r="L52" s="47"/>
    </x:row>
    <x:row r="53" ht="42" customHeight="1">
      <x:c r="A53" s="45" t="str">
        <x:v>FR-C-012</x:v>
      </x:c>
      <x:c r="B53" s="46" t="str">
        <x:v>C. Planner Day View</x:v>
      </x:c>
      <x:c r="C53" s="46" t="str">
        <x:v>route to the correct detail type.</x:v>
      </x:c>
      <x:c r="D53" s="46" t="str">
        <x:v>BR-C-001</x:v>
      </x:c>
      <x:c r="E53" s="46" t="str">
        <x:v>ADR-004 — Separation of Tasks and Calendar Events; ADR-011 — Event and Task Outcome Reporting</x:v>
      </x:c>
      <x:c r="F53" s="46" t="str">
        <x:v>AC-C-012</x:v>
      </x:c>
      <x:c r="G53" s="46" t="str">
        <x:v>No</x:v>
      </x:c>
      <x:c r="H53" s="46" t="str">
        <x:v>V1</x:v>
      </x:c>
      <x:c r="I53" s="46" t="str">
        <x:v>Planner Day View</x:v>
      </x:c>
      <x:c r="J53" s="46" t="str">
        <x:v>Domain test</x:v>
      </x:c>
      <x:c r="K53" s="46" t="str">
        <x:v>Complete</x:v>
      </x:c>
      <x:c r="L53" s="47"/>
    </x:row>
    <x:row r="54" ht="42" customHeight="1">
      <x:c r="A54" s="45" t="str">
        <x:v>FR-C-013</x:v>
      </x:c>
      <x:c r="B54" s="46" t="str">
        <x:v>C. Planner Day View</x:v>
      </x:c>
      <x:c r="C54" s="46" t="str">
        <x:v>display recurring-event identity.</x:v>
      </x:c>
      <x:c r="D54" s="46" t="str">
        <x:v>BR-C-003, BR-C-004</x:v>
      </x:c>
      <x:c r="E54" s="46" t="str">
        <x:v>ADR-004 — Separation of Tasks and Calendar Events; ADR-011 — Event and Task Outcome Reporting; ADR-009 — Domain Ownership and Relationship Model</x:v>
      </x:c>
      <x:c r="F54" s="46" t="str">
        <x:v>AC-C-013</x:v>
      </x:c>
      <x:c r="G54" s="46" t="str">
        <x:v>No</x:v>
      </x:c>
      <x:c r="H54" s="46" t="str">
        <x:v>V1</x:v>
      </x:c>
      <x:c r="I54" s="46" t="str">
        <x:v>Planner Day View</x:v>
      </x:c>
      <x:c r="J54" s="46" t="str">
        <x:v>Widget test</x:v>
      </x:c>
      <x:c r="K54" s="46" t="str">
        <x:v>Complete</x:v>
      </x:c>
      <x:c r="L54" s="47"/>
    </x:row>
    <x:row r="55" ht="42" customHeight="1">
      <x:c r="A55" s="45" t="str">
        <x:v>FR-C-014</x:v>
      </x:c>
      <x:c r="B55" s="46" t="str">
        <x:v>C. Planner Day View</x:v>
      </x:c>
      <x:c r="C55" s="46" t="str">
        <x:v>support contextual location and map actions.</x:v>
      </x:c>
      <x:c r="D55" s="46" t="str">
        <x:v>BR-C-009</x:v>
      </x:c>
      <x:c r="E55" s="46" t="str">
        <x:v>ADR-004 — Separation of Tasks and Calendar Events; ADR-011 — Event and Task Outcome Reporting</x:v>
      </x:c>
      <x:c r="F55" s="46" t="str">
        <x:v>AC-C-014</x:v>
      </x:c>
      <x:c r="G55" s="46" t="str">
        <x:v>No</x:v>
      </x:c>
      <x:c r="H55" s="46" t="str">
        <x:v>V1</x:v>
      </x:c>
      <x:c r="I55" s="46" t="str">
        <x:v>Planner Day View</x:v>
      </x:c>
      <x:c r="J55" s="46" t="str">
        <x:v>Domain test</x:v>
      </x:c>
      <x:c r="K55" s="46" t="str">
        <x:v>Complete</x:v>
      </x:c>
      <x:c r="L55" s="47"/>
    </x:row>
    <x:row r="56" ht="42" customHeight="1">
      <x:c r="A56" s="45" t="str">
        <x:v>FR-C-015</x:v>
      </x:c>
      <x:c r="B56" s="46" t="str">
        <x:v>C. Planner Day View</x:v>
      </x:c>
      <x:c r="C56" s="46" t="str">
        <x:v>retain stored location text when permission is denied.</x:v>
      </x:c>
      <x:c r="D56" s="46" t="str">
        <x:v>BR-C-001</x:v>
      </x:c>
      <x:c r="E56" s="46" t="str">
        <x:v>ADR-004 — Separation of Tasks and Calendar Events; ADR-011 — Event and Task Outcome Reporting; ADR-021 — Security, Privacy, Permissions, and Sensitive Data</x:v>
      </x:c>
      <x:c r="F56" s="46" t="str">
        <x:v>AC-C-015</x:v>
      </x:c>
      <x:c r="G56" s="46" t="str">
        <x:v>Yes</x:v>
      </x:c>
      <x:c r="H56" s="46" t="str">
        <x:v>V1</x:v>
      </x:c>
      <x:c r="I56" s="46" t="str">
        <x:v>Planner Day View</x:v>
      </x:c>
      <x:c r="J56" s="46" t="str">
        <x:v>Widget test</x:v>
      </x:c>
      <x:c r="K56" s="46" t="str">
        <x:v>Complete</x:v>
      </x:c>
      <x:c r="L56" s="47"/>
    </x:row>
    <x:row r="57" ht="42" customHeight="1">
      <x:c r="A57" s="45" t="str">
        <x:v>FR-C-016</x:v>
      </x:c>
      <x:c r="B57" s="46" t="str">
        <x:v>C. Planner Day View</x:v>
      </x:c>
      <x:c r="C57" s="46" t="str">
        <x:v>not change event outcomes based on the current time.</x:v>
      </x:c>
      <x:c r="D57" s="46" t="str">
        <x:v>BR-C-003, BR-C-004</x:v>
      </x:c>
      <x:c r="E57" s="46" t="str">
        <x:v>ADR-004 — Separation of Tasks and Calendar Events; ADR-011 — Event and Task Outcome Reporting</x:v>
      </x:c>
      <x:c r="F57" s="46" t="str">
        <x:v>AC-C-016</x:v>
      </x:c>
      <x:c r="G57" s="46" t="str">
        <x:v>Yes</x:v>
      </x:c>
      <x:c r="H57" s="46" t="str">
        <x:v>V1</x:v>
      </x:c>
      <x:c r="I57" s="46" t="str">
        <x:v>Planner Day View</x:v>
      </x:c>
      <x:c r="J57" s="46" t="str">
        <x:v>Domain test</x:v>
      </x:c>
      <x:c r="K57" s="46" t="str">
        <x:v>Complete</x:v>
      </x:c>
      <x:c r="L57" s="47"/>
    </x:row>
    <x:row r="58" ht="42" customHeight="1">
      <x:c r="A58" s="45" t="str">
        <x:v>FR-C-017</x:v>
      </x:c>
      <x:c r="B58" s="46" t="str">
        <x:v>C. Planner Day View</x:v>
      </x:c>
      <x:c r="C58" s="46" t="str">
        <x:v>preserve the selected date after returning from item details where practical.</x:v>
      </x:c>
      <x:c r="D58" s="46" t="str">
        <x:v>BR-C-001</x:v>
      </x:c>
      <x:c r="E58" s="46" t="str">
        <x:v>ADR-004 — Separation of Tasks and Calendar Events; ADR-011 — Event and Task Outcome Reporting</x:v>
      </x:c>
      <x:c r="F58" s="46" t="str">
        <x:v>AC-C-017</x:v>
      </x:c>
      <x:c r="G58" s="46" t="str">
        <x:v>Yes</x:v>
      </x:c>
      <x:c r="H58" s="46" t="str">
        <x:v>V1</x:v>
      </x:c>
      <x:c r="I58" s="46" t="str">
        <x:v>Planner Day View</x:v>
      </x:c>
      <x:c r="J58" s="46" t="str">
        <x:v>Domain test</x:v>
      </x:c>
      <x:c r="K58" s="46" t="str">
        <x:v>Complete</x:v>
      </x:c>
      <x:c r="L58" s="47" t="str">
        <x:v>OPD-1-010</x:v>
      </x:c>
    </x:row>
    <x:row r="59" ht="42" customHeight="1">
      <x:c r="A59" s="45" t="str">
        <x:v>FR-C-018</x:v>
      </x:c>
      <x:c r="B59" s="46" t="str">
        <x:v>C. Planner Day View</x:v>
      </x:c>
      <x:c r="C59" s="46" t="str">
        <x:v>allow filtering or collapsing historical-status items without deleting them.</x:v>
      </x:c>
      <x:c r="D59" s="46" t="str">
        <x:v>BR-C-002, BR-C-003</x:v>
      </x:c>
      <x:c r="E59" s="46" t="str">
        <x:v>ADR-004 — Separation of Tasks and Calendar Events; ADR-011 — Event and Task Outcome Reporting</x:v>
      </x:c>
      <x:c r="F59" s="46" t="str">
        <x:v>AC-C-018</x:v>
      </x:c>
      <x:c r="G59" s="46" t="str">
        <x:v>Yes</x:v>
      </x:c>
      <x:c r="H59" s="46" t="str">
        <x:v>V1</x:v>
      </x:c>
      <x:c r="I59" s="46" t="str">
        <x:v>Planner Day View</x:v>
      </x:c>
      <x:c r="J59" s="46" t="str">
        <x:v>Domain test</x:v>
      </x:c>
      <x:c r="K59" s="46" t="str">
        <x:v>Complete</x:v>
      </x:c>
      <x:c r="L59" s="47"/>
    </x:row>
    <x:row r="60" ht="42" customHeight="1">
      <x:c r="A60" s="45" t="str">
        <x:v>FR-C-019</x:v>
      </x:c>
      <x:c r="B60" s="46" t="str">
        <x:v>C. Planner Day View</x:v>
      </x:c>
      <x:c r="C60" s="46" t="str">
        <x:v>show save failures without creating false records.</x:v>
      </x:c>
      <x:c r="D60" s="46" t="str">
        <x:v>BR-C-010</x:v>
      </x:c>
      <x:c r="E60" s="46" t="str">
        <x:v>ADR-004 — Separation of Tasks and Calendar Events; ADR-011 — Event and Task Outcome Reporting; ADR-023 — Testing, Observability, Diagnostics, and Quality Strategy</x:v>
      </x:c>
      <x:c r="F60" s="46" t="str">
        <x:v>AC-C-019</x:v>
      </x:c>
      <x:c r="G60" s="46" t="str">
        <x:v>Yes</x:v>
      </x:c>
      <x:c r="H60" s="46" t="str">
        <x:v>V1</x:v>
      </x:c>
      <x:c r="I60" s="46" t="str">
        <x:v>Planner Day View</x:v>
      </x:c>
      <x:c r="J60" s="46" t="str">
        <x:v>Domain test</x:v>
      </x:c>
      <x:c r="K60" s="46" t="str">
        <x:v>Complete</x:v>
      </x:c>
      <x:c r="L60" s="47"/>
    </x:row>
    <x:row r="61" ht="42" customHeight="1">
      <x:c r="A61" s="45" t="str">
        <x:v>FR-C-020</x:v>
      </x:c>
      <x:c r="B61" s="46" t="str">
        <x:v>C. Planner Day View</x:v>
      </x:c>
      <x:c r="C61" s="46" t="str">
        <x:v>expose linked-record context without merging Task and Calendar Event identities.</x:v>
      </x:c>
      <x:c r="D61" s="46" t="str">
        <x:v>BR-C-004, BR-C-005, BR-C-006</x:v>
      </x:c>
      <x:c r="E61" s="46" t="str">
        <x:v>ADR-004 — Separation of Tasks and Calendar Events; ADR-011 — Event and Task Outcome Reporting; ADR-009 — Domain Ownership and Relationship Model</x:v>
      </x:c>
      <x:c r="F61" s="46" t="str">
        <x:v>AC-C-020</x:v>
      </x:c>
      <x:c r="G61" s="46" t="str">
        <x:v>Yes</x:v>
      </x:c>
      <x:c r="H61" s="46" t="str">
        <x:v>V1</x:v>
      </x:c>
      <x:c r="I61" s="46" t="str">
        <x:v>Planner Day View</x:v>
      </x:c>
      <x:c r="J61" s="46" t="str">
        <x:v>Integration test</x:v>
      </x:c>
      <x:c r="K61" s="46" t="str">
        <x:v>Complete</x:v>
      </x:c>
      <x:c r="L61" s="47"/>
    </x:row>
    <x:row r="62" ht="42" customHeight="1">
      <x:c r="A62" s="45" t="str">
        <x:v>FR-D-001</x:v>
      </x:c>
      <x:c r="B62" s="46" t="str">
        <x:v>D. Tasks</x:v>
      </x:c>
      <x:c r="C62" s="46" t="str">
        <x:v>be able to create a Task offline.</x:v>
      </x:c>
      <x:c r="D62" s="46" t="str">
        <x:v>BR-D-001, BR-D-004, BR-D-006</x:v>
      </x:c>
      <x:c r="E62" s="46" t="str">
        <x:v>ADR-004 — Separation of Tasks and Calendar Events; ADR-006 — Local-First Operation with Background Synchronization</x:v>
      </x:c>
      <x:c r="F62" s="46" t="str">
        <x:v>AC-D-001</x:v>
      </x:c>
      <x:c r="G62" s="46" t="str">
        <x:v>Yes</x:v>
      </x:c>
      <x:c r="H62" s="46" t="str">
        <x:v>V1</x:v>
      </x:c>
      <x:c r="I62" s="46" t="str">
        <x:v>Tasks</x:v>
      </x:c>
      <x:c r="J62" s="46" t="str">
        <x:v>Widget test</x:v>
      </x:c>
      <x:c r="K62" s="46" t="str">
        <x:v>Complete</x:v>
      </x:c>
      <x:c r="L62" s="47"/>
    </x:row>
    <x:row r="63" ht="42" customHeight="1">
      <x:c r="A63" s="45" t="str">
        <x:v>FR-D-002</x:v>
      </x:c>
      <x:c r="B63" s="46" t="str">
        <x:v>D. Tasks</x:v>
      </x:c>
      <x:c r="C63" s="46" t="str">
        <x:v>A Task shall require a nonblank user-visible title.</x:v>
      </x:c>
      <x:c r="D63" s="46" t="str">
        <x:v>BR-D-004, BR-D-006, BR-D-007</x:v>
      </x:c>
      <x:c r="E63" s="46" t="str">
        <x:v>ADR-004 — Separation of Tasks and Calendar Events</x:v>
      </x:c>
      <x:c r="F63" s="46" t="str">
        <x:v>AC-D-002</x:v>
      </x:c>
      <x:c r="G63" s="46" t="str">
        <x:v>Yes</x:v>
      </x:c>
      <x:c r="H63" s="46" t="str">
        <x:v>V1</x:v>
      </x:c>
      <x:c r="I63" s="46" t="str">
        <x:v>Tasks</x:v>
      </x:c>
      <x:c r="J63" s="46" t="str">
        <x:v>Domain test</x:v>
      </x:c>
      <x:c r="K63" s="46" t="str">
        <x:v>Complete</x:v>
      </x:c>
      <x:c r="L63" s="47"/>
    </x:row>
    <x:row r="64" ht="42" customHeight="1">
      <x:c r="A64" s="45" t="str">
        <x:v>FR-D-003</x:v>
      </x:c>
      <x:c r="B64" s="46" t="str">
        <x:v>D. Tasks</x:v>
      </x:c>
      <x:c r="C64" s="46" t="str">
        <x:v>New Tasks shall default to Incomplete.</x:v>
      </x:c>
      <x:c r="D64" s="46" t="str">
        <x:v>BR-D-002, BR-D-003, BR-D-008</x:v>
      </x:c>
      <x:c r="E64" s="46" t="str">
        <x:v>ADR-004 — Separation of Tasks and Calendar Events</x:v>
      </x:c>
      <x:c r="F64" s="46" t="str">
        <x:v>AC-D-003</x:v>
      </x:c>
      <x:c r="G64" s="46" t="str">
        <x:v>Yes</x:v>
      </x:c>
      <x:c r="H64" s="46" t="str">
        <x:v>V1</x:v>
      </x:c>
      <x:c r="I64" s="46" t="str">
        <x:v>Tasks</x:v>
      </x:c>
      <x:c r="J64" s="46" t="str">
        <x:v>Domain test</x:v>
      </x:c>
      <x:c r="K64" s="46" t="str">
        <x:v>Complete</x:v>
      </x:c>
      <x:c r="L64" s="47"/>
    </x:row>
    <x:row r="65" ht="42" customHeight="1">
      <x:c r="A65" s="45" t="str">
        <x:v>FR-D-004</x:v>
      </x:c>
      <x:c r="B65" s="46" t="str">
        <x:v>D. Tasks</x:v>
      </x:c>
      <x:c r="C65" s="46" t="str">
        <x:v>be able to edit supported Task planning fields.</x:v>
      </x:c>
      <x:c r="D65" s="46" t="str">
        <x:v>BR-D-001, BR-D-004, BR-D-006</x:v>
      </x:c>
      <x:c r="E65" s="46" t="str">
        <x:v>ADR-004 — Separation of Tasks and Calendar Events</x:v>
      </x:c>
      <x:c r="F65" s="46" t="str">
        <x:v>AC-D-004</x:v>
      </x:c>
      <x:c r="G65" s="46" t="str">
        <x:v>Yes</x:v>
      </x:c>
      <x:c r="H65" s="46" t="str">
        <x:v>V1</x:v>
      </x:c>
      <x:c r="I65" s="46" t="str">
        <x:v>Tasks</x:v>
      </x:c>
      <x:c r="J65" s="46" t="str">
        <x:v>Widget test</x:v>
      </x:c>
      <x:c r="K65" s="46" t="str">
        <x:v>Complete</x:v>
      </x:c>
      <x:c r="L65" s="47"/>
    </x:row>
    <x:row r="66" ht="42" customHeight="1">
      <x:c r="A66" s="45" t="str">
        <x:v>FR-D-005</x:v>
      </x:c>
      <x:c r="B66" s="46" t="str">
        <x:v>D. Tasks</x:v>
      </x:c>
      <x:c r="C66" s="46" t="str">
        <x:v>be able to set Task status to Completed, Skipped, or Cancelled.</x:v>
      </x:c>
      <x:c r="D66" s="46" t="str">
        <x:v>BR-D-001, BR-D-004, BR-D-006</x:v>
      </x:c>
      <x:c r="E66" s="46" t="str">
        <x:v>ADR-004 — Separation of Tasks and Calendar Events</x:v>
      </x:c>
      <x:c r="F66" s="46" t="str">
        <x:v>AC-D-005</x:v>
      </x:c>
      <x:c r="G66" s="46" t="str">
        <x:v>Yes</x:v>
      </x:c>
      <x:c r="H66" s="46" t="str">
        <x:v>V1</x:v>
      </x:c>
      <x:c r="I66" s="46" t="str">
        <x:v>Tasks</x:v>
      </x:c>
      <x:c r="J66" s="46" t="str">
        <x:v>Domain test / Widget test</x:v>
      </x:c>
      <x:c r="K66" s="46" t="str">
        <x:v>Complete</x:v>
      </x:c>
      <x:c r="L66" s="47" t="str">
        <x:v>OPD-1-014, OPD-1-015</x:v>
      </x:c>
    </x:row>
    <x:row r="67" ht="42" customHeight="1">
      <x:c r="A67" s="45" t="str">
        <x:v>FR-D-006</x:v>
      </x:c>
      <x:c r="B67" s="46" t="str">
        <x:v>D. Tasks</x:v>
      </x:c>
      <x:c r="C67" s="46" t="str">
        <x:v>derive overdue state for applicable Incomplete Tasks.</x:v>
      </x:c>
      <x:c r="D67" s="46" t="str">
        <x:v>BR-D-002, BR-D-003, BR-D-008</x:v>
      </x:c>
      <x:c r="E67" s="46" t="str">
        <x:v>ADR-004 — Separation of Tasks and Calendar Events</x:v>
      </x:c>
      <x:c r="F67" s="46" t="str">
        <x:v>AC-D-006</x:v>
      </x:c>
      <x:c r="G67" s="46" t="str">
        <x:v>Yes</x:v>
      </x:c>
      <x:c r="H67" s="46" t="str">
        <x:v>V1</x:v>
      </x:c>
      <x:c r="I67" s="46" t="str">
        <x:v>Tasks</x:v>
      </x:c>
      <x:c r="J67" s="46" t="str">
        <x:v>Domain test</x:v>
      </x:c>
      <x:c r="K67" s="46" t="str">
        <x:v>Complete</x:v>
      </x:c>
      <x:c r="L67" s="47"/>
    </x:row>
    <x:row r="68" ht="42" customHeight="1">
      <x:c r="A68" s="45" t="str">
        <x:v>FR-D-007</x:v>
      </x:c>
      <x:c r="B68" s="46" t="str">
        <x:v>D. Tasks</x:v>
      </x:c>
      <x:c r="C68" s="46" t="str">
        <x:v>support Tasks without due dates.</x:v>
      </x:c>
      <x:c r="D68" s="46" t="str">
        <x:v>BR-D-002, BR-D-008</x:v>
      </x:c>
      <x:c r="E68" s="46" t="str">
        <x:v>ADR-004 — Separation of Tasks and Calendar Events</x:v>
      </x:c>
      <x:c r="F68" s="46" t="str">
        <x:v>AC-D-007</x:v>
      </x:c>
      <x:c r="G68" s="46" t="str">
        <x:v>Yes</x:v>
      </x:c>
      <x:c r="H68" s="46" t="str">
        <x:v>V1</x:v>
      </x:c>
      <x:c r="I68" s="46" t="str">
        <x:v>Tasks</x:v>
      </x:c>
      <x:c r="J68" s="46" t="str">
        <x:v>Domain test</x:v>
      </x:c>
      <x:c r="K68" s="46" t="str">
        <x:v>Complete</x:v>
      </x:c>
      <x:c r="L68" s="47"/>
    </x:row>
    <x:row r="69" ht="42" customHeight="1">
      <x:c r="A69" s="45" t="str">
        <x:v>FR-D-008</x:v>
      </x:c>
      <x:c r="B69" s="46" t="str">
        <x:v>D. Tasks</x:v>
      </x:c>
      <x:c r="C69" s="46" t="str">
        <x:v>keep linked Calendar Event statuses independent.</x:v>
      </x:c>
      <x:c r="D69" s="46" t="str">
        <x:v>BR-D-001, BR-D-004</x:v>
      </x:c>
      <x:c r="E69" s="46" t="str">
        <x:v>ADR-004 — Separation of Tasks and Calendar Events; ADR-009 — Domain Ownership and Relationship Model</x:v>
      </x:c>
      <x:c r="F69" s="46" t="str">
        <x:v>AC-D-008</x:v>
      </x:c>
      <x:c r="G69" s="46" t="str">
        <x:v>Yes</x:v>
      </x:c>
      <x:c r="H69" s="46" t="str">
        <x:v>V1</x:v>
      </x:c>
      <x:c r="I69" s="46" t="str">
        <x:v>Tasks</x:v>
      </x:c>
      <x:c r="J69" s="46" t="str">
        <x:v>Domain test / Integration test</x:v>
      </x:c>
      <x:c r="K69" s="46" t="str">
        <x:v>Complete</x:v>
      </x:c>
      <x:c r="L69" s="47"/>
    </x:row>
    <x:row r="70" ht="42" customHeight="1">
      <x:c r="A70" s="45" t="str">
        <x:v>FR-D-009</x:v>
      </x:c>
      <x:c r="B70" s="46" t="str">
        <x:v>D. Tasks</x:v>
      </x:c>
      <x:c r="C70" s="46" t="str">
        <x:v>identify when structured reporting is required.</x:v>
      </x:c>
      <x:c r="D70" s="46" t="str">
        <x:v>BR-D-005</x:v>
      </x:c>
      <x:c r="E70" s="46" t="str">
        <x:v>ADR-004 — Separation of Tasks and Calendar Events; ADR-011 — Event and Task Outcome Reporting</x:v>
      </x:c>
      <x:c r="F70" s="46" t="str">
        <x:v>AC-D-009</x:v>
      </x:c>
      <x:c r="G70" s="46" t="str">
        <x:v>No</x:v>
      </x:c>
      <x:c r="H70" s="46" t="str">
        <x:v>V1</x:v>
      </x:c>
      <x:c r="I70" s="46" t="str">
        <x:v>Tasks</x:v>
      </x:c>
      <x:c r="J70" s="46" t="str">
        <x:v>Domain test</x:v>
      </x:c>
      <x:c r="K70" s="46" t="str">
        <x:v>Complete</x:v>
      </x:c>
      <x:c r="L70" s="47"/>
    </x:row>
    <x:row r="71" ht="42" customHeight="1">
      <x:c r="A71" s="45" t="str">
        <x:v>FR-D-010</x:v>
      </x:c>
      <x:c r="B71" s="46" t="str">
        <x:v>D. Tasks</x:v>
      </x:c>
      <x:c r="C71" s="46" t="str">
        <x:v>prevent bypass of required reporting.</x:v>
      </x:c>
      <x:c r="D71" s="46" t="str">
        <x:v>BR-D-005</x:v>
      </x:c>
      <x:c r="E71" s="46" t="str">
        <x:v>ADR-004 — Separation of Tasks and Calendar Events; ADR-011 — Event and Task Outcome Reporting</x:v>
      </x:c>
      <x:c r="F71" s="46" t="str">
        <x:v>AC-D-010</x:v>
      </x:c>
      <x:c r="G71" s="46" t="str">
        <x:v>Yes</x:v>
      </x:c>
      <x:c r="H71" s="46" t="str">
        <x:v>V1</x:v>
      </x:c>
      <x:c r="I71" s="46" t="str">
        <x:v>Tasks</x:v>
      </x:c>
      <x:c r="J71" s="46" t="str">
        <x:v>Domain test</x:v>
      </x:c>
      <x:c r="K71" s="46" t="str">
        <x:v>Complete</x:v>
      </x:c>
      <x:c r="L71" s="47" t="str">
        <x:v>OPD-1-012</x:v>
      </x:c>
    </x:row>
    <x:row r="72" ht="42" customHeight="1">
      <x:c r="A72" s="45" t="str">
        <x:v>FR-D-011</x:v>
      </x:c>
      <x:c r="B72" s="46" t="str">
        <x:v>D. Tasks</x:v>
      </x:c>
      <x:c r="C72" s="46" t="str">
        <x:v>Task completion shall not directly edit Actual.</x:v>
      </x:c>
      <x:c r="D72" s="46" t="str">
        <x:v>BR-D-001, BR-D-004, BR-D-006</x:v>
      </x:c>
      <x:c r="E72" s="46" t="str">
        <x:v>ADR-004 — Separation of Tasks and Calendar Events; ADR-005 — Confirmed-Source Progress and Read-Only Actuals</x:v>
      </x:c>
      <x:c r="F72" s="46" t="str">
        <x:v>AC-D-011</x:v>
      </x:c>
      <x:c r="G72" s="46" t="str">
        <x:v>Yes</x:v>
      </x:c>
      <x:c r="H72" s="46" t="str">
        <x:v>V1</x:v>
      </x:c>
      <x:c r="I72" s="46" t="str">
        <x:v>Tasks</x:v>
      </x:c>
      <x:c r="J72" s="46" t="str">
        <x:v>Domain test</x:v>
      </x:c>
      <x:c r="K72" s="46" t="str">
        <x:v>Complete</x:v>
      </x:c>
      <x:c r="L72" s="47"/>
    </x:row>
    <x:row r="73" ht="42" customHeight="1">
      <x:c r="A73" s="45" t="str">
        <x:v>FR-D-012</x:v>
      </x:c>
      <x:c r="B73" s="46" t="str">
        <x:v>D. Tasks</x:v>
      </x:c>
      <x:c r="C73" s="46" t="str">
        <x:v>Task contribution classification shall use explicit configuration rather than title matching.</x:v>
      </x:c>
      <x:c r="D73" s="46" t="str">
        <x:v>BR-D-004, BR-D-006, BR-D-007</x:v>
      </x:c>
      <x:c r="E73" s="46" t="str">
        <x:v>ADR-004 — Separation of Tasks and Calendar Events; ADR-012 — Activity Ledger and Contribution Engine</x:v>
      </x:c>
      <x:c r="F73" s="46" t="str">
        <x:v>AC-D-012</x:v>
      </x:c>
      <x:c r="G73" s="46" t="str">
        <x:v>No</x:v>
      </x:c>
      <x:c r="H73" s="46" t="str">
        <x:v>V1</x:v>
      </x:c>
      <x:c r="I73" s="46" t="str">
        <x:v>Tasks</x:v>
      </x:c>
      <x:c r="J73" s="46" t="str">
        <x:v>Domain test</x:v>
      </x:c>
      <x:c r="K73" s="46" t="str">
        <x:v>Complete</x:v>
      </x:c>
      <x:c r="L73" s="47"/>
    </x:row>
    <x:row r="74" ht="42" customHeight="1">
      <x:c r="A74" s="45" t="str">
        <x:v>FR-D-013</x:v>
      </x:c>
      <x:c r="B74" s="46" t="str">
        <x:v>D. Tasks</x:v>
      </x:c>
      <x:c r="C74" s="46" t="str">
        <x:v>display linked Calendar Events.</x:v>
      </x:c>
      <x:c r="D74" s="46" t="str">
        <x:v>BR-D-004</x:v>
      </x:c>
      <x:c r="E74" s="46" t="str">
        <x:v>ADR-004 — Separation of Tasks and Calendar Events; ADR-009 — Domain Ownership and Relationship Model</x:v>
      </x:c>
      <x:c r="F74" s="46" t="str">
        <x:v>AC-D-013</x:v>
      </x:c>
      <x:c r="G74" s="46" t="str">
        <x:v>No</x:v>
      </x:c>
      <x:c r="H74" s="46" t="str">
        <x:v>V1</x:v>
      </x:c>
      <x:c r="I74" s="46" t="str">
        <x:v>Tasks</x:v>
      </x:c>
      <x:c r="J74" s="46" t="str">
        <x:v>Widget test / Integration test</x:v>
      </x:c>
      <x:c r="K74" s="46" t="str">
        <x:v>Complete</x:v>
      </x:c>
      <x:c r="L74" s="47"/>
    </x:row>
    <x:row r="75" ht="42" customHeight="1">
      <x:c r="A75" s="45" t="str">
        <x:v>FR-D-014</x:v>
      </x:c>
      <x:c r="B75" s="46" t="str">
        <x:v>D. Tasks</x:v>
      </x:c>
      <x:c r="C75" s="46" t="str">
        <x:v>display Pathway, Goal, or Milestone context where linked.</x:v>
      </x:c>
      <x:c r="D75" s="46" t="str">
        <x:v>BR-D-004</x:v>
      </x:c>
      <x:c r="E75" s="46" t="str">
        <x:v>ADR-004 — Separation of Tasks and Calendar Events; ADR-009 — Domain Ownership and Relationship Model</x:v>
      </x:c>
      <x:c r="F75" s="46" t="str">
        <x:v>AC-D-014</x:v>
      </x:c>
      <x:c r="G75" s="46" t="str">
        <x:v>No</x:v>
      </x:c>
      <x:c r="H75" s="46" t="str">
        <x:v>V1</x:v>
      </x:c>
      <x:c r="I75" s="46" t="str">
        <x:v>Tasks</x:v>
      </x:c>
      <x:c r="J75" s="46" t="str">
        <x:v>Widget test</x:v>
      </x:c>
      <x:c r="K75" s="46" t="str">
        <x:v>Complete</x:v>
      </x:c>
      <x:c r="L75" s="47"/>
    </x:row>
    <x:row r="76" ht="42" customHeight="1">
      <x:c r="A76" s="45" t="str">
        <x:v>FR-D-015</x:v>
      </x:c>
      <x:c r="B76" s="46" t="str">
        <x:v>D. Tasks</x:v>
      </x:c>
      <x:c r="C76" s="46" t="str">
        <x:v>preserve Task state during sync failure.</x:v>
      </x:c>
      <x:c r="D76" s="46" t="str">
        <x:v>BR-D-004, BR-D-006, BR-D-010</x:v>
      </x:c>
      <x:c r="E76" s="46" t="str">
        <x:v>ADR-004 — Separation of Tasks and Calendar Events; ADR-023 — Testing, Observability, Diagnostics, and Quality Strategy</x:v>
      </x:c>
      <x:c r="F76" s="46" t="str">
        <x:v>AC-D-015</x:v>
      </x:c>
      <x:c r="G76" s="46" t="str">
        <x:v>Yes</x:v>
      </x:c>
      <x:c r="H76" s="46" t="str">
        <x:v>V1</x:v>
      </x:c>
      <x:c r="I76" s="46" t="str">
        <x:v>Tasks</x:v>
      </x:c>
      <x:c r="J76" s="46" t="str">
        <x:v>Integration test</x:v>
      </x:c>
      <x:c r="K76" s="46" t="str">
        <x:v>Complete</x:v>
      </x:c>
      <x:c r="L76" s="47"/>
    </x:row>
    <x:row r="77" ht="42" customHeight="1">
      <x:c r="A77" s="45" t="str">
        <x:v>FR-D-016</x:v>
      </x:c>
      <x:c r="B77" s="46" t="str">
        <x:v>D. Tasks</x:v>
      </x:c>
      <x:c r="C77" s="46" t="str">
        <x:v>retain user input after a recoverable save failure.</x:v>
      </x:c>
      <x:c r="D77" s="46" t="str">
        <x:v>BR-D-001</x:v>
      </x:c>
      <x:c r="E77" s="46" t="str">
        <x:v>ADR-004 — Separation of Tasks and Calendar Events; ADR-023 — Testing, Observability, Diagnostics, and Quality Strategy</x:v>
      </x:c>
      <x:c r="F77" s="46" t="str">
        <x:v>AC-D-016</x:v>
      </x:c>
      <x:c r="G77" s="46" t="str">
        <x:v>No</x:v>
      </x:c>
      <x:c r="H77" s="46" t="str">
        <x:v>V1</x:v>
      </x:c>
      <x:c r="I77" s="46" t="str">
        <x:v>Tasks</x:v>
      </x:c>
      <x:c r="J77" s="46" t="str">
        <x:v>Domain test</x:v>
      </x:c>
      <x:c r="K77" s="46" t="str">
        <x:v>Complete</x:v>
      </x:c>
      <x:c r="L77" s="47"/>
    </x:row>
    <x:row r="78" ht="42" customHeight="1">
      <x:c r="A78" s="45" t="str">
        <x:v>FR-D-017</x:v>
      </x:c>
      <x:c r="B78" s="46" t="str">
        <x:v>D. Tasks</x:v>
      </x:c>
      <x:c r="C78" s="46" t="str">
        <x:v>avoid duplicate outcome reports and ledger contributions during retries.</x:v>
      </x:c>
      <x:c r="D78" s="46" t="str">
        <x:v>BR-D-009</x:v>
      </x:c>
      <x:c r="E78" s="46" t="str">
        <x:v>ADR-004 — Separation of Tasks and Calendar Events; ADR-011 — Event and Task Outcome Reporting; ADR-012 — Activity Ledger and Contribution Engine</x:v>
      </x:c>
      <x:c r="F78" s="46" t="str">
        <x:v>AC-D-017</x:v>
      </x:c>
      <x:c r="G78" s="46" t="str">
        <x:v>No</x:v>
      </x:c>
      <x:c r="H78" s="46" t="str">
        <x:v>V1</x:v>
      </x:c>
      <x:c r="I78" s="46" t="str">
        <x:v>Tasks</x:v>
      </x:c>
      <x:c r="J78" s="46" t="str">
        <x:v>Domain test / Database test</x:v>
      </x:c>
      <x:c r="K78" s="46" t="str">
        <x:v>Complete</x:v>
      </x:c>
      <x:c r="L78" s="47"/>
    </x:row>
    <x:row r="79" ht="42" customHeight="1">
      <x:c r="A79" s="45" t="str">
        <x:v>FR-D-018</x:v>
      </x:c>
      <x:c r="B79" s="46" t="str">
        <x:v>D. Tasks</x:v>
      </x:c>
      <x:c r="C79" s="46" t="str">
        <x:v>support status correction according to historical correction rules.</x:v>
      </x:c>
      <x:c r="D79" s="46" t="str">
        <x:v>BR-D-003, BR-D-007, BR-D-010</x:v>
      </x:c>
      <x:c r="E79" s="46" t="str">
        <x:v>ADR-004 — Separation of Tasks and Calendar Events</x:v>
      </x:c>
      <x:c r="F79" s="46" t="str">
        <x:v>AC-D-018</x:v>
      </x:c>
      <x:c r="G79" s="46" t="str">
        <x:v>No</x:v>
      </x:c>
      <x:c r="H79" s="46" t="str">
        <x:v>V1</x:v>
      </x:c>
      <x:c r="I79" s="46" t="str">
        <x:v>Tasks</x:v>
      </x:c>
      <x:c r="J79" s="46" t="str">
        <x:v>Domain test</x:v>
      </x:c>
      <x:c r="K79" s="46" t="str">
        <x:v>Complete</x:v>
      </x:c>
      <x:c r="L79" s="47" t="str">
        <x:v>OPD-1-013</x:v>
      </x:c>
    </x:row>
    <x:row r="80" ht="42" customHeight="1">
      <x:c r="A80" s="45" t="str">
        <x:v>FR-D-019</x:v>
      </x:c>
      <x:c r="B80" s="46" t="str">
        <x:v>D. Tasks</x:v>
      </x:c>
      <x:c r="C80" s="46" t="str">
        <x:v>distinguish Cancelled from Skipped.</x:v>
      </x:c>
      <x:c r="D80" s="46" t="str">
        <x:v>BR-D-001, BR-D-003</x:v>
      </x:c>
      <x:c r="E80" s="46" t="str">
        <x:v>ADR-004 — Separation of Tasks and Calendar Events</x:v>
      </x:c>
      <x:c r="F80" s="46" t="str">
        <x:v>AC-D-019</x:v>
      </x:c>
      <x:c r="G80" s="46" t="str">
        <x:v>No</x:v>
      </x:c>
      <x:c r="H80" s="46" t="str">
        <x:v>V1</x:v>
      </x:c>
      <x:c r="I80" s="46" t="str">
        <x:v>Tasks</x:v>
      </x:c>
      <x:c r="J80" s="46" t="str">
        <x:v>Domain test</x:v>
      </x:c>
      <x:c r="K80" s="46" t="str">
        <x:v>Complete</x:v>
      </x:c>
      <x:c r="L80" s="47" t="str">
        <x:v>OPD-1-014, OPD-1-015</x:v>
      </x:c>
    </x:row>
    <x:row r="81" ht="42" customHeight="1">
      <x:c r="A81" s="45" t="str">
        <x:v>FR-D-020</x:v>
      </x:c>
      <x:c r="B81" s="46" t="str">
        <x:v>D. Tasks</x:v>
      </x:c>
      <x:c r="C81" s="46" t="str">
        <x:v>make Task type clear in mixed Planner views.</x:v>
      </x:c>
      <x:c r="D81" s="46" t="str">
        <x:v>BR-D-001, BR-D-004, BR-D-006</x:v>
      </x:c>
      <x:c r="E81" s="46" t="str">
        <x:v>ADR-004 — Separation of Tasks and Calendar Events</x:v>
      </x:c>
      <x:c r="F81" s="46" t="str">
        <x:v>AC-D-020</x:v>
      </x:c>
      <x:c r="G81" s="46" t="str">
        <x:v>No</x:v>
      </x:c>
      <x:c r="H81" s="46" t="str">
        <x:v>V1</x:v>
      </x:c>
      <x:c r="I81" s="46" t="str">
        <x:v>Tasks</x:v>
      </x:c>
      <x:c r="J81" s="46" t="str">
        <x:v>Domain test</x:v>
      </x:c>
      <x:c r="K81" s="46" t="str">
        <x:v>Complete</x:v>
      </x:c>
      <x:c r="L81" s="47"/>
    </x:row>
    <x:row r="82" ht="42" customHeight="1">
      <x:c r="A82" s="45" t="str">
        <x:v>FR-E-001</x:v>
      </x:c>
      <x:c r="B82" s="46" t="str">
        <x:v>E. Calendar Events and Recurrence</x:v>
      </x:c>
      <x:c r="C82" s="46" t="str">
        <x:v>be able to create one-time Calendar Events offline.</x:v>
      </x:c>
      <x:c r="D82" s="46" t="str">
        <x:v>BR-E-001, BR-E-003, BR-E-009</x:v>
      </x:c>
      <x:c r="E82" s="46" t="str">
        <x:v>ADR-011 — Event and Task Outcome Reporting; ADR-006 — Local-First Operation with Background Synchronization</x:v>
      </x:c>
      <x:c r="F82" s="46" t="str">
        <x:v>AC-E-001</x:v>
      </x:c>
      <x:c r="G82" s="46" t="str">
        <x:v>Yes</x:v>
      </x:c>
      <x:c r="H82" s="46" t="str">
        <x:v>V1</x:v>
      </x:c>
      <x:c r="I82" s="46" t="str">
        <x:v>Calendar Events and Recurrence</x:v>
      </x:c>
      <x:c r="J82" s="46" t="str">
        <x:v>Widget test / Integration test</x:v>
      </x:c>
      <x:c r="K82" s="46" t="str">
        <x:v>Complete</x:v>
      </x:c>
      <x:c r="L82" s="47"/>
    </x:row>
    <x:row r="83" ht="42" customHeight="1">
      <x:c r="A83" s="45" t="str">
        <x:v>FR-E-002</x:v>
      </x:c>
      <x:c r="B83" s="46" t="str">
        <x:v>E. Calendar Events and Recurrence</x:v>
      </x:c>
      <x:c r="C83" s="46" t="str">
        <x:v>be able to create all-day and timed events.</x:v>
      </x:c>
      <x:c r="D83" s="46" t="str">
        <x:v>BR-E-003, BR-E-009</x:v>
      </x:c>
      <x:c r="E83" s="46" t="str">
        <x:v>ADR-011 — Event and Task Outcome Reporting</x:v>
      </x:c>
      <x:c r="F83" s="46" t="str">
        <x:v>AC-E-002</x:v>
      </x:c>
      <x:c r="G83" s="46" t="str">
        <x:v>Yes</x:v>
      </x:c>
      <x:c r="H83" s="46" t="str">
        <x:v>V1</x:v>
      </x:c>
      <x:c r="I83" s="46" t="str">
        <x:v>Calendar Events and Recurrence</x:v>
      </x:c>
      <x:c r="J83" s="46" t="str">
        <x:v>Widget test</x:v>
      </x:c>
      <x:c r="K83" s="46" t="str">
        <x:v>Complete</x:v>
      </x:c>
      <x:c r="L83" s="47"/>
    </x:row>
    <x:row r="84" ht="42" customHeight="1">
      <x:c r="A84" s="45" t="str">
        <x:v>FR-E-003</x:v>
      </x:c>
      <x:c r="B84" s="46" t="str">
        <x:v>E. Calendar Events and Recurrence</x:v>
      </x:c>
      <x:c r="C84" s="46" t="str">
        <x:v>New Calendar Events shall begin as Scheduled.</x:v>
      </x:c>
      <x:c r="D84" s="46" t="str">
        <x:v>BR-E-001, BR-E-007, BR-E-009</x:v>
      </x:c>
      <x:c r="E84" s="46" t="str">
        <x:v>ADR-011 — Event and Task Outcome Reporting</x:v>
      </x:c>
      <x:c r="F84" s="46" t="str">
        <x:v>AC-E-003</x:v>
      </x:c>
      <x:c r="G84" s="46" t="str">
        <x:v>Yes</x:v>
      </x:c>
      <x:c r="H84" s="46" t="str">
        <x:v>V1</x:v>
      </x:c>
      <x:c r="I84" s="46" t="str">
        <x:v>Calendar Events and Recurrence</x:v>
      </x:c>
      <x:c r="J84" s="46" t="str">
        <x:v>Integration test</x:v>
      </x:c>
      <x:c r="K84" s="46" t="str">
        <x:v>Complete</x:v>
      </x:c>
      <x:c r="L84" s="47"/>
    </x:row>
    <x:row r="85" ht="42" customHeight="1">
      <x:c r="A85" s="45" t="str">
        <x:v>FR-E-004</x:v>
      </x:c>
      <x:c r="B85" s="46" t="str">
        <x:v>E. Calendar Events and Recurrence</x:v>
      </x:c>
      <x:c r="C85" s="46" t="str">
        <x:v>be able to create Daily recurrence.</x:v>
      </x:c>
      <x:c r="D85" s="46" t="str">
        <x:v>BR-E-003</x:v>
      </x:c>
      <x:c r="E85" s="46" t="str">
        <x:v>ADR-011 — Event and Task Outcome Reporting</x:v>
      </x:c>
      <x:c r="F85" s="46" t="str">
        <x:v>AC-E-004</x:v>
      </x:c>
      <x:c r="G85" s="46" t="str">
        <x:v>Yes</x:v>
      </x:c>
      <x:c r="H85" s="46" t="str">
        <x:v>V1</x:v>
      </x:c>
      <x:c r="I85" s="46" t="str">
        <x:v>Calendar Events and Recurrence</x:v>
      </x:c>
      <x:c r="J85" s="46" t="str">
        <x:v>Widget test</x:v>
      </x:c>
      <x:c r="K85" s="46" t="str">
        <x:v>Complete</x:v>
      </x:c>
      <x:c r="L85" s="47" t="str">
        <x:v>OPD-1-019</x:v>
      </x:c>
    </x:row>
    <x:row r="86" ht="42" customHeight="1">
      <x:c r="A86" s="45" t="str">
        <x:v>FR-E-005</x:v>
      </x:c>
      <x:c r="B86" s="46" t="str">
        <x:v>E. Calendar Events and Recurrence</x:v>
      </x:c>
      <x:c r="C86" s="46" t="str">
        <x:v>be able to create Weekly recurrence.</x:v>
      </x:c>
      <x:c r="D86" s="46" t="str">
        <x:v>BR-E-003</x:v>
      </x:c>
      <x:c r="E86" s="46" t="str">
        <x:v>ADR-011 — Event and Task Outcome Reporting</x:v>
      </x:c>
      <x:c r="F86" s="46" t="str">
        <x:v>AC-E-005</x:v>
      </x:c>
      <x:c r="G86" s="46" t="str">
        <x:v>Yes</x:v>
      </x:c>
      <x:c r="H86" s="46" t="str">
        <x:v>V1</x:v>
      </x:c>
      <x:c r="I86" s="46" t="str">
        <x:v>Calendar Events and Recurrence</x:v>
      </x:c>
      <x:c r="J86" s="46" t="str">
        <x:v>Widget test</x:v>
      </x:c>
      <x:c r="K86" s="46" t="str">
        <x:v>Complete</x:v>
      </x:c>
      <x:c r="L86" s="47" t="str">
        <x:v>OPD-1-019</x:v>
      </x:c>
    </x:row>
    <x:row r="87" ht="42" customHeight="1">
      <x:c r="A87" s="45" t="str">
        <x:v>FR-E-006</x:v>
      </x:c>
      <x:c r="B87" s="46" t="str">
        <x:v>E. Calendar Events and Recurrence</x:v>
      </x:c>
      <x:c r="C87" s="46" t="str">
        <x:v>be able to create Monthly recurrence.</x:v>
      </x:c>
      <x:c r="D87" s="46" t="str">
        <x:v>BR-E-003</x:v>
      </x:c>
      <x:c r="E87" s="46" t="str">
        <x:v>ADR-011 — Event and Task Outcome Reporting</x:v>
      </x:c>
      <x:c r="F87" s="46" t="str">
        <x:v>AC-E-006</x:v>
      </x:c>
      <x:c r="G87" s="46" t="str">
        <x:v>Yes</x:v>
      </x:c>
      <x:c r="H87" s="46" t="str">
        <x:v>V1</x:v>
      </x:c>
      <x:c r="I87" s="46" t="str">
        <x:v>Calendar Events and Recurrence</x:v>
      </x:c>
      <x:c r="J87" s="46" t="str">
        <x:v>Widget test</x:v>
      </x:c>
      <x:c r="K87" s="46" t="str">
        <x:v>Complete</x:v>
      </x:c>
      <x:c r="L87" s="47" t="str">
        <x:v>OPD-1-016, OPD-1-019</x:v>
      </x:c>
    </x:row>
    <x:row r="88" ht="42" customHeight="1">
      <x:c r="A88" s="45" t="str">
        <x:v>FR-E-007</x:v>
      </x:c>
      <x:c r="B88" s="46" t="str">
        <x:v>E. Calendar Events and Recurrence</x:v>
      </x:c>
      <x:c r="C88" s="46" t="str">
        <x:v>be able to create Yearly recurrence.</x:v>
      </x:c>
      <x:c r="D88" s="46" t="str">
        <x:v>BR-E-003</x:v>
      </x:c>
      <x:c r="E88" s="46" t="str">
        <x:v>ADR-011 — Event and Task Outcome Reporting</x:v>
      </x:c>
      <x:c r="F88" s="46" t="str">
        <x:v>AC-E-007</x:v>
      </x:c>
      <x:c r="G88" s="46" t="str">
        <x:v>Yes</x:v>
      </x:c>
      <x:c r="H88" s="46" t="str">
        <x:v>V1</x:v>
      </x:c>
      <x:c r="I88" s="46" t="str">
        <x:v>Calendar Events and Recurrence</x:v>
      </x:c>
      <x:c r="J88" s="46" t="str">
        <x:v>Widget test</x:v>
      </x:c>
      <x:c r="K88" s="46" t="str">
        <x:v>Complete</x:v>
      </x:c>
      <x:c r="L88" s="47" t="str">
        <x:v>OPD-1-017, OPD-1-019</x:v>
      </x:c>
    </x:row>
    <x:row r="89" ht="42" customHeight="1">
      <x:c r="A89" s="45" t="str">
        <x:v>FR-E-008</x:v>
      </x:c>
      <x:c r="B89" s="46" t="str">
        <x:v>E. Calendar Events and Recurrence</x:v>
      </x:c>
      <x:c r="C89" s="46" t="str">
        <x:v>Each occurrence shall have an independently reportable identity.</x:v>
      </x:c>
      <x:c r="D89" s="46" t="str">
        <x:v>BR-E-005</x:v>
      </x:c>
      <x:c r="E89" s="46" t="str">
        <x:v>ADR-011 — Event and Task Outcome Reporting; ADR-009 — Domain Ownership and Relationship Model</x:v>
      </x:c>
      <x:c r="F89" s="46" t="str">
        <x:v>AC-E-008</x:v>
      </x:c>
      <x:c r="G89" s="46" t="str">
        <x:v>Yes</x:v>
      </x:c>
      <x:c r="H89" s="46" t="str">
        <x:v>V1</x:v>
      </x:c>
      <x:c r="I89" s="46" t="str">
        <x:v>Calendar Events and Recurrence</x:v>
      </x:c>
      <x:c r="J89" s="46" t="str">
        <x:v>Domain test</x:v>
      </x:c>
      <x:c r="K89" s="46" t="str">
        <x:v>Complete</x:v>
      </x:c>
      <x:c r="L89" s="47"/>
    </x:row>
    <x:row r="90" ht="42" customHeight="1">
      <x:c r="A90" s="45" t="str">
        <x:v>FR-E-009</x:v>
      </x:c>
      <x:c r="B90" s="46" t="str">
        <x:v>E. Calendar Events and Recurrence</x:v>
      </x:c>
      <x:c r="C90" s="46" t="str">
        <x:v>derive Awaiting Report for ended report-required occurrences.</x:v>
      </x:c>
      <x:c r="D90" s="46" t="str">
        <x:v>BR-E-004, BR-E-008, BR-E-009</x:v>
      </x:c>
      <x:c r="E90" s="46" t="str">
        <x:v>ADR-011 — Event and Task Outcome Reporting</x:v>
      </x:c>
      <x:c r="F90" s="46" t="str">
        <x:v>AC-E-009</x:v>
      </x:c>
      <x:c r="G90" s="46" t="str">
        <x:v>No</x:v>
      </x:c>
      <x:c r="H90" s="46" t="str">
        <x:v>V1</x:v>
      </x:c>
      <x:c r="I90" s="46" t="str">
        <x:v>Calendar Events and Recurrence</x:v>
      </x:c>
      <x:c r="J90" s="46" t="str">
        <x:v>Domain test</x:v>
      </x:c>
      <x:c r="K90" s="46" t="str">
        <x:v>Complete</x:v>
      </x:c>
      <x:c r="L90" s="47"/>
    </x:row>
    <x:row r="91" ht="42" customHeight="1">
      <x:c r="A91" s="45" t="str">
        <x:v>FR-E-010</x:v>
      </x:c>
      <x:c r="B91" s="46" t="str">
        <x:v>E. Calendar Events and Recurrence</x:v>
      </x:c>
      <x:c r="C91" s="46" t="str">
        <x:v>not infer outcome from elapsed time.</x:v>
      </x:c>
      <x:c r="D91" s="46" t="str">
        <x:v>BR-E-002, BR-E-003</x:v>
      </x:c>
      <x:c r="E91" s="46" t="str">
        <x:v>ADR-005 — Confirmed-Source Progress and Read-Only Actuals; ADR-011 — Event and Task Outcome Reporting</x:v>
      </x:c>
      <x:c r="F91" s="46" t="str">
        <x:v>AC-E-010</x:v>
      </x:c>
      <x:c r="G91" s="46" t="str">
        <x:v>Yes</x:v>
      </x:c>
      <x:c r="H91" s="46" t="str">
        <x:v>V1</x:v>
      </x:c>
      <x:c r="I91" s="46" t="str">
        <x:v>Calendar Events and Recurrence</x:v>
      </x:c>
      <x:c r="J91" s="46" t="str">
        <x:v>Domain test</x:v>
      </x:c>
      <x:c r="K91" s="46" t="str">
        <x:v>Complete</x:v>
      </x:c>
      <x:c r="L91" s="47"/>
    </x:row>
    <x:row r="92" ht="42" customHeight="1">
      <x:c r="A92" s="45" t="str">
        <x:v>FR-E-011</x:v>
      </x:c>
      <x:c r="B92" s="46" t="str">
        <x:v>E. Calendar Events and Recurrence</x:v>
      </x:c>
      <x:c r="C92" s="46" t="str">
        <x:v>Valid reports shall support Completed/Happened, Partially Completed, and Did Not Happen.</x:v>
      </x:c>
      <x:c r="D92" s="46" t="str">
        <x:v>BR-E-001, BR-E-002</x:v>
      </x:c>
      <x:c r="E92" s="46" t="str">
        <x:v>ADR-011 — Event and Task Outcome Reporting</x:v>
      </x:c>
      <x:c r="F92" s="46" t="str">
        <x:v>AC-E-011</x:v>
      </x:c>
      <x:c r="G92" s="46" t="str">
        <x:v>No</x:v>
      </x:c>
      <x:c r="H92" s="46" t="str">
        <x:v>V1</x:v>
      </x:c>
      <x:c r="I92" s="46" t="str">
        <x:v>Calendar Events and Recurrence</x:v>
      </x:c>
      <x:c r="J92" s="46" t="str">
        <x:v>Domain test</x:v>
      </x:c>
      <x:c r="K92" s="46" t="str">
        <x:v>Complete</x:v>
      </x:c>
      <x:c r="L92" s="47"/>
    </x:row>
    <x:row r="93" ht="42" customHeight="1">
      <x:c r="A93" s="45" t="str">
        <x:v>FR-E-012</x:v>
      </x:c>
      <x:c r="B93" s="46" t="str">
        <x:v>E. Calendar Events and Recurrence</x:v>
      </x:c>
      <x:c r="C93" s="46" t="str">
        <x:v>be able to cancel supported event scopes.</x:v>
      </x:c>
      <x:c r="D93" s="46" t="str">
        <x:v>BR-E-001</x:v>
      </x:c>
      <x:c r="E93" s="46" t="str">
        <x:v>ADR-011 — Event and Task Outcome Reporting</x:v>
      </x:c>
      <x:c r="F93" s="46" t="str">
        <x:v>AC-E-012</x:v>
      </x:c>
      <x:c r="G93" s="46" t="str">
        <x:v>No</x:v>
      </x:c>
      <x:c r="H93" s="46" t="str">
        <x:v>V1</x:v>
      </x:c>
      <x:c r="I93" s="46" t="str">
        <x:v>Calendar Events and Recurrence</x:v>
      </x:c>
      <x:c r="J93" s="46" t="str">
        <x:v>Widget test</x:v>
      </x:c>
      <x:c r="K93" s="46" t="str">
        <x:v>Complete</x:v>
      </x:c>
      <x:c r="L93" s="47"/>
    </x:row>
    <x:row r="94" ht="42" customHeight="1">
      <x:c r="A94" s="45" t="str">
        <x:v>FR-E-013</x:v>
      </x:c>
      <x:c r="B94" s="46" t="str">
        <x:v>E. Calendar Events and Recurrence</x:v>
      </x:c>
      <x:c r="C94" s="46" t="str">
        <x:v>be able to reschedule supported event scopes.</x:v>
      </x:c>
      <x:c r="D94" s="46" t="str">
        <x:v>BR-E-001</x:v>
      </x:c>
      <x:c r="E94" s="46" t="str">
        <x:v>ADR-011 — Event and Task Outcome Reporting</x:v>
      </x:c>
      <x:c r="F94" s="46" t="str">
        <x:v>AC-E-013</x:v>
      </x:c>
      <x:c r="G94" s="46" t="str">
        <x:v>No</x:v>
      </x:c>
      <x:c r="H94" s="46" t="str">
        <x:v>V1</x:v>
      </x:c>
      <x:c r="I94" s="46" t="str">
        <x:v>Calendar Events and Recurrence</x:v>
      </x:c>
      <x:c r="J94" s="46" t="str">
        <x:v>Widget test</x:v>
      </x:c>
      <x:c r="K94" s="46" t="str">
        <x:v>Complete</x:v>
      </x:c>
      <x:c r="L94" s="47"/>
    </x:row>
    <x:row r="95" ht="42" customHeight="1">
      <x:c r="A95" s="45" t="str">
        <x:v>FR-E-014</x:v>
      </x:c>
      <x:c r="B95" s="46" t="str">
        <x:v>E. Calendar Events and Recurrence</x:v>
      </x:c>
      <x:c r="C95" s="46" t="str">
        <x:v>Rescheduling shall preserve the original occurrence’s Rescheduled status.</x:v>
      </x:c>
      <x:c r="D95" s="46" t="str">
        <x:v>BR-E-006, BR-E-007, BR-E-008</x:v>
      </x:c>
      <x:c r="E95" s="46" t="str">
        <x:v>ADR-011 — Event and Task Outcome Reporting</x:v>
      </x:c>
      <x:c r="F95" s="46" t="str">
        <x:v>AC-E-014</x:v>
      </x:c>
      <x:c r="G95" s="46" t="str">
        <x:v>Yes</x:v>
      </x:c>
      <x:c r="H95" s="46" t="str">
        <x:v>V1</x:v>
      </x:c>
      <x:c r="I95" s="46" t="str">
        <x:v>Calendar Events and Recurrence</x:v>
      </x:c>
      <x:c r="J95" s="46" t="str">
        <x:v>Domain test</x:v>
      </x:c>
      <x:c r="K95" s="46" t="str">
        <x:v>Complete</x:v>
      </x:c>
      <x:c r="L95" s="47" t="str">
        <x:v>OPD-1-020</x:v>
      </x:c>
    </x:row>
    <x:row r="96" ht="42" customHeight="1">
      <x:c r="A96" s="45" t="str">
        <x:v>FR-E-015</x:v>
      </x:c>
      <x:c r="B96" s="46" t="str">
        <x:v>E. Calendar Events and Recurrence</x:v>
      </x:c>
      <x:c r="C96" s="46" t="str">
        <x:v>Rescheduling shall create or identify a linked replacement.</x:v>
      </x:c>
      <x:c r="D96" s="46" t="str">
        <x:v>BR-E-003, BR-E-006, BR-E-007</x:v>
      </x:c>
      <x:c r="E96" s="46" t="str">
        <x:v>ADR-011 — Event and Task Outcome Reporting; ADR-012 — Activity Ledger and Contribution Engine; ADR-009 — Domain Ownership and Relationship Model</x:v>
      </x:c>
      <x:c r="F96" s="46" t="str">
        <x:v>AC-E-015</x:v>
      </x:c>
      <x:c r="G96" s="46" t="str">
        <x:v>No</x:v>
      </x:c>
      <x:c r="H96" s="46" t="str">
        <x:v>V1</x:v>
      </x:c>
      <x:c r="I96" s="46" t="str">
        <x:v>Calendar Events and Recurrence</x:v>
      </x:c>
      <x:c r="J96" s="46" t="str">
        <x:v>Domain test</x:v>
      </x:c>
      <x:c r="K96" s="46" t="str">
        <x:v>Complete</x:v>
      </x:c>
      <x:c r="L96" s="47"/>
    </x:row>
    <x:row r="97" ht="42" customHeight="1">
      <x:c r="A97" s="45" t="str">
        <x:v>FR-E-016</x:v>
      </x:c>
      <x:c r="B97" s="46" t="str">
        <x:v>E. Calendar Events and Recurrence</x:v>
      </x:c>
      <x:c r="C97" s="46" t="str">
        <x:v>Scheduled Potential shall exclude the inactive original after rescheduling.</x:v>
      </x:c>
      <x:c r="D97" s="46" t="str">
        <x:v>BR-E-001, BR-E-006, BR-E-007</x:v>
      </x:c>
      <x:c r="E97" s="46" t="str">
        <x:v>ADR-005 — Confirmed-Source Progress and Read-Only Actuals; ADR-011 — Event and Task Outcome Reporting</x:v>
      </x:c>
      <x:c r="F97" s="46" t="str">
        <x:v>AC-E-016</x:v>
      </x:c>
      <x:c r="G97" s="46" t="str">
        <x:v>No</x:v>
      </x:c>
      <x:c r="H97" s="46" t="str">
        <x:v>V1</x:v>
      </x:c>
      <x:c r="I97" s="46" t="str">
        <x:v>Calendar Events and Recurrence</x:v>
      </x:c>
      <x:c r="J97" s="46" t="str">
        <x:v>Domain test</x:v>
      </x:c>
      <x:c r="K97" s="46" t="str">
        <x:v>Complete</x:v>
      </x:c>
      <x:c r="L97" s="47"/>
    </x:row>
    <x:row r="98" ht="42" customHeight="1">
      <x:c r="A98" s="45" t="str">
        <x:v>FR-E-017</x:v>
      </x:c>
      <x:c r="B98" s="46" t="str">
        <x:v>E. Calendar Events and Recurrence</x:v>
      </x:c>
      <x:c r="C98" s="46" t="str">
        <x:v>Recurring series edits shall preserve reported historical occurrences.</x:v>
      </x:c>
      <x:c r="D98" s="46" t="str">
        <x:v>BR-E-005, BR-E-008</x:v>
      </x:c>
      <x:c r="E98" s="46" t="str">
        <x:v>ADR-011 — Event and Task Outcome Reporting</x:v>
      </x:c>
      <x:c r="F98" s="46" t="str">
        <x:v>AC-E-017</x:v>
      </x:c>
      <x:c r="G98" s="46" t="str">
        <x:v>Yes</x:v>
      </x:c>
      <x:c r="H98" s="46" t="str">
        <x:v>V1</x:v>
      </x:c>
      <x:c r="I98" s="46" t="str">
        <x:v>Calendar Events and Recurrence</x:v>
      </x:c>
      <x:c r="J98" s="46" t="str">
        <x:v>Domain test</x:v>
      </x:c>
      <x:c r="K98" s="46" t="str">
        <x:v>Complete</x:v>
      </x:c>
      <x:c r="L98" s="47" t="str">
        <x:v>OPD-1-018</x:v>
      </x:c>
    </x:row>
    <x:row r="99" ht="42" customHeight="1">
      <x:c r="A99" s="45" t="str">
        <x:v>FR-E-018</x:v>
      </x:c>
      <x:c r="B99" s="46" t="str">
        <x:v>E. Calendar Events and Recurrence</x:v>
      </x:c>
      <x:c r="C99" s="46" t="str">
        <x:v>display the selected edit scope before changing a recurring series.</x:v>
      </x:c>
      <x:c r="D99" s="46" t="str">
        <x:v>BR-E-005, BR-E-008</x:v>
      </x:c>
      <x:c r="E99" s="46" t="str">
        <x:v>ADR-011 — Event and Task Outcome Reporting</x:v>
      </x:c>
      <x:c r="F99" s="46" t="str">
        <x:v>AC-E-018</x:v>
      </x:c>
      <x:c r="G99" s="46" t="str">
        <x:v>No</x:v>
      </x:c>
      <x:c r="H99" s="46" t="str">
        <x:v>V1</x:v>
      </x:c>
      <x:c r="I99" s="46" t="str">
        <x:v>Calendar Events and Recurrence</x:v>
      </x:c>
      <x:c r="J99" s="46" t="str">
        <x:v>Widget test</x:v>
      </x:c>
      <x:c r="K99" s="46" t="str">
        <x:v>Complete</x:v>
      </x:c>
      <x:c r="L99" s="47" t="str">
        <x:v>OPD-1-018</x:v>
      </x:c>
    </x:row>
    <x:row r="100" ht="42" customHeight="1">
      <x:c r="A100" s="45" t="str">
        <x:v>FR-E-019</x:v>
      </x:c>
      <x:c r="B100" s="46" t="str">
        <x:v>E. Calendar Events and Recurrence</x:v>
      </x:c>
      <x:c r="C100" s="46" t="str">
        <x:v>Events shall support optional typed locations without location permission.</x:v>
      </x:c>
      <x:c r="D100" s="46" t="str">
        <x:v>BR-E-009</x:v>
      </x:c>
      <x:c r="E100" s="46" t="str">
        <x:v>ADR-011 — Event and Task Outcome Reporting; ADR-021 — Security, Privacy, Permissions, and Sensitive Data</x:v>
      </x:c>
      <x:c r="F100" s="46" t="str">
        <x:v>AC-E-019</x:v>
      </x:c>
      <x:c r="G100" s="46" t="str">
        <x:v>Yes</x:v>
      </x:c>
      <x:c r="H100" s="46" t="str">
        <x:v>V1</x:v>
      </x:c>
      <x:c r="I100" s="46" t="str">
        <x:v>Calendar Events and Recurrence</x:v>
      </x:c>
      <x:c r="J100" s="46" t="str">
        <x:v>Widget test</x:v>
      </x:c>
      <x:c r="K100" s="46" t="str">
        <x:v>Complete</x:v>
      </x:c>
      <x:c r="L100" s="47"/>
    </x:row>
    <x:row r="101" ht="42" customHeight="1">
      <x:c r="A101" s="45" t="str">
        <x:v>FR-E-020</x:v>
      </x:c>
      <x:c r="B101" s="46" t="str">
        <x:v>E. Calendar Events and Recurrence</x:v>
      </x:c>
      <x:c r="C101" s="46" t="str">
        <x:v>Core events shall function without Android calendar permission.</x:v>
      </x:c>
      <x:c r="D101" s="46" t="str">
        <x:v>BR-E-001, BR-E-009</x:v>
      </x:c>
      <x:c r="E101" s="46" t="str">
        <x:v>ADR-011 — Event and Task Outcome Reporting; ADR-021 — Security, Privacy, Permissions, and Sensitive Data; ADR-022 — Notifications, Background Work, and Calendar Integration; ADR-001 — Android-First Platform Strategy</x:v>
      </x:c>
      <x:c r="F101" s="46" t="str">
        <x:v>AC-E-020</x:v>
      </x:c>
      <x:c r="G101" s="46" t="str">
        <x:v>Yes</x:v>
      </x:c>
      <x:c r="H101" s="46" t="str">
        <x:v>V1</x:v>
      </x:c>
      <x:c r="I101" s="46" t="str">
        <x:v>Calendar Events and Recurrence</x:v>
      </x:c>
      <x:c r="J101" s="46" t="str">
        <x:v>Widget test / Integration test</x:v>
      </x:c>
      <x:c r="K101" s="46" t="str">
        <x:v>Complete</x:v>
      </x:c>
      <x:c r="L101" s="47"/>
    </x:row>
    <x:row r="102" ht="42" customHeight="1">
      <x:c r="A102" s="45" t="str">
        <x:v>FR-E-021</x:v>
      </x:c>
      <x:c r="B102" s="46" t="str">
        <x:v>E. Calendar Events and Recurrence</x:v>
      </x:c>
      <x:c r="C102" s="46" t="str">
        <x:v>Event save and report retries shall be idempotent from the user’s perspective.</x:v>
      </x:c>
      <x:c r="D102" s="46" t="str">
        <x:v>BR-E-001, BR-E-002, BR-E-004</x:v>
      </x:c>
      <x:c r="E102" s="46" t="str">
        <x:v>ADR-011 — Event and Task Outcome Reporting; ADR-023 — Testing, Observability, Diagnostics, and Quality Strategy</x:v>
      </x:c>
      <x:c r="F102" s="46" t="str">
        <x:v>AC-E-021</x:v>
      </x:c>
      <x:c r="G102" s="46" t="str">
        <x:v>Yes</x:v>
      </x:c>
      <x:c r="H102" s="46" t="str">
        <x:v>V1</x:v>
      </x:c>
      <x:c r="I102" s="46" t="str">
        <x:v>Calendar Events and Recurrence</x:v>
      </x:c>
      <x:c r="J102" s="46" t="str">
        <x:v>Domain test</x:v>
      </x:c>
      <x:c r="K102" s="46" t="str">
        <x:v>Complete</x:v>
      </x:c>
      <x:c r="L102" s="47"/>
    </x:row>
    <x:row r="103" ht="42" customHeight="1">
      <x:c r="A103" s="45" t="str">
        <x:v>FR-E-022</x:v>
      </x:c>
      <x:c r="B103" s="46" t="str">
        <x:v>E. Calendar Events and Recurrence</x:v>
      </x:c>
      <x:c r="C103" s="46" t="str">
        <x:v>prevent title-only indicator classification.</x:v>
      </x:c>
      <x:c r="D103" s="46" t="str">
        <x:v>BR-E-010</x:v>
      </x:c>
      <x:c r="E103" s="46" t="str">
        <x:v>ADR-011 — Event and Task Outcome Reporting</x:v>
      </x:c>
      <x:c r="F103" s="46" t="str">
        <x:v>AC-E-022</x:v>
      </x:c>
      <x:c r="G103" s="46" t="str">
        <x:v>Yes</x:v>
      </x:c>
      <x:c r="H103" s="46" t="str">
        <x:v>V1</x:v>
      </x:c>
      <x:c r="I103" s="46" t="str">
        <x:v>Calendar Events and Recurrence</x:v>
      </x:c>
      <x:c r="J103" s="46" t="str">
        <x:v>Domain test</x:v>
      </x:c>
      <x:c r="K103" s="46" t="str">
        <x:v>Complete</x:v>
      </x:c>
      <x:c r="L103" s="47"/>
    </x:row>
    <x:row r="104" ht="42" customHeight="1">
      <x:c r="A104" s="45" t="str">
        <x:v>FR-E-023</x:v>
      </x:c>
      <x:c r="B104" s="46" t="str">
        <x:v>E. Calendar Events and Recurrence</x:v>
      </x:c>
      <x:c r="C104" s="46" t="str">
        <x:v>expose linked Tasks without merging statuses.</x:v>
      </x:c>
      <x:c r="D104" s="46" t="str">
        <x:v>BR-E-001, BR-E-006</x:v>
      </x:c>
      <x:c r="E104" s="46" t="str">
        <x:v>ADR-011 — Event and Task Outcome Reporting; ADR-009 — Domain Ownership and Relationship Model</x:v>
      </x:c>
      <x:c r="F104" s="46" t="str">
        <x:v>AC-E-023</x:v>
      </x:c>
      <x:c r="G104" s="46" t="str">
        <x:v>Yes</x:v>
      </x:c>
      <x:c r="H104" s="46" t="str">
        <x:v>V1</x:v>
      </x:c>
      <x:c r="I104" s="46" t="str">
        <x:v>Calendar Events and Recurrence</x:v>
      </x:c>
      <x:c r="J104" s="46" t="str">
        <x:v>Domain test</x:v>
      </x:c>
      <x:c r="K104" s="46" t="str">
        <x:v>Complete</x:v>
      </x:c>
      <x:c r="L104" s="47"/>
    </x:row>
    <x:row r="105" ht="42" customHeight="1">
      <x:c r="A105" s="45" t="str">
        <x:v>FR-E-024</x:v>
      </x:c>
      <x:c r="B105" s="46" t="str">
        <x:v>E. Calendar Events and Recurrence</x:v>
      </x:c>
      <x:c r="C105" s="46" t="str">
        <x:v>preserve occurrence reports during synchronization and conflict recovery.</x:v>
      </x:c>
      <x:c r="D105" s="46" t="str">
        <x:v>BR-E-005, BR-E-008</x:v>
      </x:c>
      <x:c r="E105" s="46" t="str">
        <x:v>ADR-011 — Event and Task Outcome Reporting; ADR-016 — Offline Outbox Synchronization and Conflict Resolution</x:v>
      </x:c>
      <x:c r="F105" s="46" t="str">
        <x:v>AC-E-024</x:v>
      </x:c>
      <x:c r="G105" s="46" t="str">
        <x:v>Yes</x:v>
      </x:c>
      <x:c r="H105" s="46" t="str">
        <x:v>V1</x:v>
      </x:c>
      <x:c r="I105" s="46" t="str">
        <x:v>Calendar Events and Recurrence</x:v>
      </x:c>
      <x:c r="J105" s="46" t="str">
        <x:v>Integration test</x:v>
      </x:c>
      <x:c r="K105" s="46" t="str">
        <x:v>Complete</x:v>
      </x:c>
      <x:c r="L105" s="47"/>
    </x:row>
    <x:row r="106" ht="42" customHeight="1">
      <x:c r="A106" s="45" t="str">
        <x:v>FR-F-001</x:v>
      </x:c>
      <x:c r="B106" s="46" t="str">
        <x:v>F. Task–Event Linking</x:v>
      </x:c>
      <x:c r="C106" s="46" t="str">
        <x:v>be able to link an existing Task to an existing Calendar Event.</x:v>
      </x:c>
      <x:c r="D106" s="46" t="str">
        <x:v>BR-F-001, BR-F-003, BR-F-006</x:v>
      </x:c>
      <x:c r="E106" s="46" t="str">
        <x:v>ADR-004 — Separation of Tasks and Calendar Events; ADR-009 — Domain Ownership and Relationship Model</x:v>
      </x:c>
      <x:c r="F106" s="46" t="str">
        <x:v>AC-F-001</x:v>
      </x:c>
      <x:c r="G106" s="46" t="str">
        <x:v>Yes</x:v>
      </x:c>
      <x:c r="H106" s="46" t="str">
        <x:v>V1</x:v>
      </x:c>
      <x:c r="I106" s="46" t="str">
        <x:v>Task–Event Linking</x:v>
      </x:c>
      <x:c r="J106" s="46" t="str">
        <x:v>Widget test / Integration test</x:v>
      </x:c>
      <x:c r="K106" s="46" t="str">
        <x:v>Complete</x:v>
      </x:c>
      <x:c r="L106" s="47"/>
    </x:row>
    <x:row r="107" ht="42" customHeight="1">
      <x:c r="A107" s="45" t="str">
        <x:v>FR-F-002</x:v>
      </x:c>
      <x:c r="B107" s="46" t="str">
        <x:v>F. Task–Event Linking</x:v>
      </x:c>
      <x:c r="C107" s="46" t="str">
        <x:v>be able to create a Calendar Event from a Task.</x:v>
      </x:c>
      <x:c r="D107" s="46" t="str">
        <x:v>BR-F-001, BR-F-002, BR-F-003</x:v>
      </x:c>
      <x:c r="E107" s="46" t="str">
        <x:v>ADR-004 — Separation of Tasks and Calendar Events; ADR-009 — Domain Ownership and Relationship Model</x:v>
      </x:c>
      <x:c r="F107" s="46" t="str">
        <x:v>AC-F-002</x:v>
      </x:c>
      <x:c r="G107" s="46" t="str">
        <x:v>Yes</x:v>
      </x:c>
      <x:c r="H107" s="46" t="str">
        <x:v>V1</x:v>
      </x:c>
      <x:c r="I107" s="46" t="str">
        <x:v>Task–Event Linking</x:v>
      </x:c>
      <x:c r="J107" s="46" t="str">
        <x:v>Widget test / Integration test</x:v>
      </x:c>
      <x:c r="K107" s="46" t="str">
        <x:v>Complete</x:v>
      </x:c>
      <x:c r="L107" s="47"/>
    </x:row>
    <x:row r="108" ht="42" customHeight="1">
      <x:c r="A108" s="45" t="str">
        <x:v>FR-F-003</x:v>
      </x:c>
      <x:c r="B108" s="46" t="str">
        <x:v>F. Task–Event Linking</x:v>
      </x:c>
      <x:c r="C108" s="46" t="str">
        <x:v>be able to link eligible recurring occurrences.</x:v>
      </x:c>
      <x:c r="D108" s="46" t="str">
        <x:v>BR-F-003, BR-F-006</x:v>
      </x:c>
      <x:c r="E108" s="46" t="str">
        <x:v>ADR-004 — Separation of Tasks and Calendar Events; ADR-009 — Domain Ownership and Relationship Model</x:v>
      </x:c>
      <x:c r="F108" s="46" t="str">
        <x:v>AC-F-003</x:v>
      </x:c>
      <x:c r="G108" s="46" t="str">
        <x:v>Yes</x:v>
      </x:c>
      <x:c r="H108" s="46" t="str">
        <x:v>V1</x:v>
      </x:c>
      <x:c r="I108" s="46" t="str">
        <x:v>Task–Event Linking</x:v>
      </x:c>
      <x:c r="J108" s="46" t="str">
        <x:v>Widget test</x:v>
      </x:c>
      <x:c r="K108" s="46" t="str">
        <x:v>Complete</x:v>
      </x:c>
      <x:c r="L108" s="47"/>
    </x:row>
    <x:row r="109" ht="42" customHeight="1">
      <x:c r="A109" s="45" t="str">
        <x:v>FR-F-004</x:v>
      </x:c>
      <x:c r="B109" s="46" t="str">
        <x:v>F. Task–Event Linking</x:v>
      </x:c>
      <x:c r="C109" s="46" t="str">
        <x:v>display linked records from both Task and event details.</x:v>
      </x:c>
      <x:c r="D109" s="46" t="str">
        <x:v>BR-F-001, BR-F-002</x:v>
      </x:c>
      <x:c r="E109" s="46" t="str">
        <x:v>ADR-004 — Separation of Tasks and Calendar Events; ADR-009 — Domain Ownership and Relationship Model</x:v>
      </x:c>
      <x:c r="F109" s="46" t="str">
        <x:v>AC-F-004</x:v>
      </x:c>
      <x:c r="G109" s="46" t="str">
        <x:v>Yes</x:v>
      </x:c>
      <x:c r="H109" s="46" t="str">
        <x:v>V1</x:v>
      </x:c>
      <x:c r="I109" s="46" t="str">
        <x:v>Task–Event Linking</x:v>
      </x:c>
      <x:c r="J109" s="46" t="str">
        <x:v>Widget test</x:v>
      </x:c>
      <x:c r="K109" s="46" t="str">
        <x:v>Complete</x:v>
      </x:c>
      <x:c r="L109" s="47" t="str">
        <x:v>OPD-2-001</x:v>
      </x:c>
    </x:row>
    <x:row r="110" ht="42" customHeight="1">
      <x:c r="A110" s="45" t="str">
        <x:v>FR-F-005</x:v>
      </x:c>
      <x:c r="B110" s="46" t="str">
        <x:v>F. Task–Event Linking</x:v>
      </x:c>
      <x:c r="C110" s="46" t="str">
        <x:v>preserve independent statuses.</x:v>
      </x:c>
      <x:c r="D110" s="46" t="str">
        <x:v>BR-F-001</x:v>
      </x:c>
      <x:c r="E110" s="46" t="str">
        <x:v>ADR-004 — Separation of Tasks and Calendar Events; ADR-009 — Domain Ownership and Relationship Model</x:v>
      </x:c>
      <x:c r="F110" s="46" t="str">
        <x:v>AC-F-005</x:v>
      </x:c>
      <x:c r="G110" s="46" t="str">
        <x:v>Yes</x:v>
      </x:c>
      <x:c r="H110" s="46" t="str">
        <x:v>V1</x:v>
      </x:c>
      <x:c r="I110" s="46" t="str">
        <x:v>Task–Event Linking</x:v>
      </x:c>
      <x:c r="J110" s="46" t="str">
        <x:v>Domain test</x:v>
      </x:c>
      <x:c r="K110" s="46" t="str">
        <x:v>Complete</x:v>
      </x:c>
      <x:c r="L110" s="47"/>
    </x:row>
    <x:row r="111" ht="42" customHeight="1">
      <x:c r="A111" s="45" t="str">
        <x:v>FR-F-006</x:v>
      </x:c>
      <x:c r="B111" s="46" t="str">
        <x:v>F. Task–Event Linking</x:v>
      </x:c>
      <x:c r="C111" s="46" t="str">
        <x:v>prevent equivalent duplicate active links.</x:v>
      </x:c>
      <x:c r="D111" s="46" t="str">
        <x:v>BR-F-004, BR-F-005, BR-F-009</x:v>
      </x:c>
      <x:c r="E111" s="46" t="str">
        <x:v>ADR-004 — Separation of Tasks and Calendar Events; ADR-009 — Domain Ownership and Relationship Model</x:v>
      </x:c>
      <x:c r="F111" s="46" t="str">
        <x:v>AC-F-006</x:v>
      </x:c>
      <x:c r="G111" s="46" t="str">
        <x:v>Yes</x:v>
      </x:c>
      <x:c r="H111" s="46" t="str">
        <x:v>V1</x:v>
      </x:c>
      <x:c r="I111" s="46" t="str">
        <x:v>Task–Event Linking</x:v>
      </x:c>
      <x:c r="J111" s="46" t="str">
        <x:v>Domain test</x:v>
      </x:c>
      <x:c r="K111" s="46" t="str">
        <x:v>Complete</x:v>
      </x:c>
      <x:c r="L111" s="47"/>
    </x:row>
    <x:row r="112" ht="42" customHeight="1">
      <x:c r="A112" s="45" t="str">
        <x:v>FR-F-007</x:v>
      </x:c>
      <x:c r="B112" s="46" t="str">
        <x:v>F. Task–Event Linking</x:v>
      </x:c>
      <x:c r="C112" s="46" t="str">
        <x:v>support link removal without deleting either record.</x:v>
      </x:c>
      <x:c r="D112" s="46" t="str">
        <x:v>BR-F-001, BR-F-003, BR-F-006</x:v>
      </x:c>
      <x:c r="E112" s="46" t="str">
        <x:v>ADR-004 — Separation of Tasks and Calendar Events; ADR-009 — Domain Ownership and Relationship Model</x:v>
      </x:c>
      <x:c r="F112" s="46" t="str">
        <x:v>AC-F-007</x:v>
      </x:c>
      <x:c r="G112" s="46" t="str">
        <x:v>Yes</x:v>
      </x:c>
      <x:c r="H112" s="46" t="str">
        <x:v>V1</x:v>
      </x:c>
      <x:c r="I112" s="46" t="str">
        <x:v>Task–Event Linking</x:v>
      </x:c>
      <x:c r="J112" s="46" t="str">
        <x:v>Domain test</x:v>
      </x:c>
      <x:c r="K112" s="46" t="str">
        <x:v>Complete</x:v>
      </x:c>
      <x:c r="L112" s="47"/>
    </x:row>
    <x:row r="113" ht="42" customHeight="1">
      <x:c r="A113" s="45" t="str">
        <x:v>FR-F-008</x:v>
      </x:c>
      <x:c r="B113" s="46" t="str">
        <x:v>F. Task–Event Linking</x:v>
      </x:c>
      <x:c r="C113" s="46" t="str">
        <x:v>preserve historical relationship references where needed.</x:v>
      </x:c>
      <x:c r="D113" s="46" t="str">
        <x:v>BR-F-007</x:v>
      </x:c>
      <x:c r="E113" s="46" t="str">
        <x:v>ADR-004 — Separation of Tasks and Calendar Events; ADR-009 — Domain Ownership and Relationship Model</x:v>
      </x:c>
      <x:c r="F113" s="46" t="str">
        <x:v>AC-F-008</x:v>
      </x:c>
      <x:c r="G113" s="46" t="str">
        <x:v>Yes</x:v>
      </x:c>
      <x:c r="H113" s="46" t="str">
        <x:v>V1</x:v>
      </x:c>
      <x:c r="I113" s="46" t="str">
        <x:v>Task–Event Linking</x:v>
      </x:c>
      <x:c r="J113" s="46" t="str">
        <x:v>Domain test</x:v>
      </x:c>
      <x:c r="K113" s="46" t="str">
        <x:v>Complete</x:v>
      </x:c>
      <x:c r="L113" s="47"/>
    </x:row>
    <x:row r="114" ht="42" customHeight="1">
      <x:c r="A114" s="45" t="str">
        <x:v>FR-F-009</x:v>
      </x:c>
      <x:c r="B114" s="46" t="str">
        <x:v>F. Task–Event Linking</x:v>
      </x:c>
      <x:c r="C114" s="46" t="str">
        <x:v>distinguish series-level and occurrence-level links.</x:v>
      </x:c>
      <x:c r="D114" s="46" t="str">
        <x:v>BR-F-005, BR-F-008, BR-F-009</x:v>
      </x:c>
      <x:c r="E114" s="46" t="str">
        <x:v>ADR-004 — Separation of Tasks and Calendar Events; ADR-009 — Domain Ownership and Relationship Model</x:v>
      </x:c>
      <x:c r="F114" s="46" t="str">
        <x:v>AC-F-009</x:v>
      </x:c>
      <x:c r="G114" s="46" t="str">
        <x:v>No</x:v>
      </x:c>
      <x:c r="H114" s="46" t="str">
        <x:v>V1</x:v>
      </x:c>
      <x:c r="I114" s="46" t="str">
        <x:v>Task–Event Linking</x:v>
      </x:c>
      <x:c r="J114" s="46" t="str">
        <x:v>Domain test</x:v>
      </x:c>
      <x:c r="K114" s="46" t="str">
        <x:v>Complete</x:v>
      </x:c>
      <x:c r="L114" s="47" t="str">
        <x:v>OPD-2-002</x:v>
      </x:c>
    </x:row>
    <x:row r="115" ht="42" customHeight="1">
      <x:c r="A115" s="45" t="str">
        <x:v>FR-F-010</x:v>
      </x:c>
      <x:c r="B115" s="46" t="str">
        <x:v>F. Task–Event Linking</x:v>
      </x:c>
      <x:c r="C115" s="46" t="str">
        <x:v>Rescheduling shall transfer active planning context to the replacement without losing original history.</x:v>
      </x:c>
      <x:c r="D115" s="46" t="str">
        <x:v>BR-F-004, BR-F-006, BR-F-007</x:v>
      </x:c>
      <x:c r="E115" s="46" t="str">
        <x:v>ADR-004 — Separation of Tasks and Calendar Events; ADR-012 — Activity Ledger and Contribution Engine; ADR-009 — Domain Ownership and Relationship Model</x:v>
      </x:c>
      <x:c r="F115" s="46" t="str">
        <x:v>AC-F-010</x:v>
      </x:c>
      <x:c r="G115" s="46" t="str">
        <x:v>Yes</x:v>
      </x:c>
      <x:c r="H115" s="46" t="str">
        <x:v>V1</x:v>
      </x:c>
      <x:c r="I115" s="46" t="str">
        <x:v>Task–Event Linking</x:v>
      </x:c>
      <x:c r="J115" s="46" t="str">
        <x:v>Domain test</x:v>
      </x:c>
      <x:c r="K115" s="46" t="str">
        <x:v>Complete</x:v>
      </x:c>
      <x:c r="L115" s="47"/>
    </x:row>
    <x:row r="116" ht="42" customHeight="1">
      <x:c r="A116" s="45" t="str">
        <x:v>FR-F-011</x:v>
      </x:c>
      <x:c r="B116" s="46" t="str">
        <x:v>F. Task–Event Linking</x:v>
      </x:c>
      <x:c r="C116" s="46" t="str">
        <x:v>not create Actual or Activity Ledger entries from link creation.</x:v>
      </x:c>
      <x:c r="D116" s="46" t="str">
        <x:v>BR-F-002, BR-F-003, BR-F-006</x:v>
      </x:c>
      <x:c r="E116" s="46" t="str">
        <x:v>ADR-004 — Separation of Tasks and Calendar Events; ADR-005 — Confirmed-Source Progress and Read-Only Actuals; ADR-012 — Activity Ledger and Contribution Engine; ADR-009 — Domain Ownership and Relationship Model</x:v>
      </x:c>
      <x:c r="F116" s="46" t="str">
        <x:v>AC-F-011</x:v>
      </x:c>
      <x:c r="G116" s="46" t="str">
        <x:v>Yes</x:v>
      </x:c>
      <x:c r="H116" s="46" t="str">
        <x:v>V1</x:v>
      </x:c>
      <x:c r="I116" s="46" t="str">
        <x:v>Task–Event Linking</x:v>
      </x:c>
      <x:c r="J116" s="46" t="str">
        <x:v>Domain test / Database test</x:v>
      </x:c>
      <x:c r="K116" s="46" t="str">
        <x:v>Complete</x:v>
      </x:c>
      <x:c r="L116" s="47"/>
    </x:row>
    <x:row r="117" ht="42" customHeight="1">
      <x:c r="A117" s="45" t="str">
        <x:v>FR-F-012</x:v>
      </x:c>
      <x:c r="B117" s="46" t="str">
        <x:v>F. Task–Event Linking</x:v>
      </x:c>
      <x:c r="C117" s="46" t="str">
        <x:v>not classify links from titles.</x:v>
      </x:c>
      <x:c r="D117" s="46" t="str">
        <x:v>BR-F-002, BR-F-008, BR-F-009</x:v>
      </x:c>
      <x:c r="E117" s="46" t="str">
        <x:v>ADR-004 — Separation of Tasks and Calendar Events; ADR-009 — Domain Ownership and Relationship Model</x:v>
      </x:c>
      <x:c r="F117" s="46" t="str">
        <x:v>AC-F-012</x:v>
      </x:c>
      <x:c r="G117" s="46" t="str">
        <x:v>Yes</x:v>
      </x:c>
      <x:c r="H117" s="46" t="str">
        <x:v>V1</x:v>
      </x:c>
      <x:c r="I117" s="46" t="str">
        <x:v>Task–Event Linking</x:v>
      </x:c>
      <x:c r="J117" s="46" t="str">
        <x:v>Domain test</x:v>
      </x:c>
      <x:c r="K117" s="46" t="str">
        <x:v>Complete</x:v>
      </x:c>
      <x:c r="L117" s="47"/>
    </x:row>
    <x:row r="118" ht="42" customHeight="1">
      <x:c r="A118" s="45" t="str">
        <x:v>FR-F-013</x:v>
      </x:c>
      <x:c r="B118" s="46" t="str">
        <x:v>F. Task–Event Linking</x:v>
      </x:c>
      <x:c r="C118" s="46" t="str">
        <x:v>prevent double-counting of Scheduled Potential.</x:v>
      </x:c>
      <x:c r="D118" s="46" t="str">
        <x:v>BR-F-001</x:v>
      </x:c>
      <x:c r="E118" s="46" t="str">
        <x:v>ADR-004 — Separation of Tasks and Calendar Events; ADR-005 — Confirmed-Source Progress and Read-Only Actuals; ADR-009 — Domain Ownership and Relationship Model</x:v>
      </x:c>
      <x:c r="F118" s="46" t="str">
        <x:v>AC-F-013</x:v>
      </x:c>
      <x:c r="G118" s="46" t="str">
        <x:v>Yes</x:v>
      </x:c>
      <x:c r="H118" s="46" t="str">
        <x:v>V1</x:v>
      </x:c>
      <x:c r="I118" s="46" t="str">
        <x:v>Task–Event Linking</x:v>
      </x:c>
      <x:c r="J118" s="46" t="str">
        <x:v>Domain test</x:v>
      </x:c>
      <x:c r="K118" s="46" t="str">
        <x:v>Complete</x:v>
      </x:c>
      <x:c r="L118" s="47" t="str">
        <x:v>OPD-2-003</x:v>
      </x:c>
    </x:row>
    <x:row r="119" ht="42" customHeight="1">
      <x:c r="A119" s="45" t="str">
        <x:v>FR-F-014</x:v>
      </x:c>
      <x:c r="B119" s="46" t="str">
        <x:v>F. Task–Event Linking</x:v>
      </x:c>
      <x:c r="C119" s="46" t="str">
        <x:v>support broken-link recovery.</x:v>
      </x:c>
      <x:c r="D119" s="46" t="str">
        <x:v>BR-F-003, BR-F-006, BR-F-009</x:v>
      </x:c>
      <x:c r="E119" s="46" t="str">
        <x:v>ADR-004 — Separation of Tasks and Calendar Events; ADR-009 — Domain Ownership and Relationship Model</x:v>
      </x:c>
      <x:c r="F119" s="46" t="str">
        <x:v>AC-F-014</x:v>
      </x:c>
      <x:c r="G119" s="46" t="str">
        <x:v>No</x:v>
      </x:c>
      <x:c r="H119" s="46" t="str">
        <x:v>V1</x:v>
      </x:c>
      <x:c r="I119" s="46" t="str">
        <x:v>Task–Event Linking</x:v>
      </x:c>
      <x:c r="J119" s="46" t="str">
        <x:v>Integration test</x:v>
      </x:c>
      <x:c r="K119" s="46" t="str">
        <x:v>Complete</x:v>
      </x:c>
      <x:c r="L119" s="47"/>
    </x:row>
    <x:row r="120" ht="42" customHeight="1">
      <x:c r="A120" s="45" t="str">
        <x:v>FR-F-015</x:v>
      </x:c>
      <x:c r="B120" s="46" t="str">
        <x:v>F. Task–Event Linking</x:v>
      </x:c>
      <x:c r="C120" s="46" t="str">
        <x:v>support offline link creation and removal.</x:v>
      </x:c>
      <x:c r="D120" s="46" t="str">
        <x:v>BR-F-003, BR-F-006, BR-F-010</x:v>
      </x:c>
      <x:c r="E120" s="46" t="str">
        <x:v>ADR-004 — Separation of Tasks and Calendar Events; ADR-009 — Domain Ownership and Relationship Model; ADR-006 — Local-First Operation with Background Synchronization</x:v>
      </x:c>
      <x:c r="F120" s="46" t="str">
        <x:v>AC-F-015</x:v>
      </x:c>
      <x:c r="G120" s="46" t="str">
        <x:v>Yes</x:v>
      </x:c>
      <x:c r="H120" s="46" t="str">
        <x:v>V1</x:v>
      </x:c>
      <x:c r="I120" s="46" t="str">
        <x:v>Task–Event Linking</x:v>
      </x:c>
      <x:c r="J120" s="46" t="str">
        <x:v>Domain test</x:v>
      </x:c>
      <x:c r="K120" s="46" t="str">
        <x:v>Complete</x:v>
      </x:c>
      <x:c r="L120" s="47"/>
    </x:row>
    <x:row r="121" ht="42" customHeight="1">
      <x:c r="A121" s="45" t="str">
        <x:v>FR-F-016</x:v>
      </x:c>
      <x:c r="B121" s="46" t="str">
        <x:v>F. Task–Event Linking</x:v>
      </x:c>
      <x:c r="C121" s="46" t="str">
        <x:v>preserve user selections after recoverable failures.</x:v>
      </x:c>
      <x:c r="D121" s="46" t="str">
        <x:v>BR-F-001</x:v>
      </x:c>
      <x:c r="E121" s="46" t="str">
        <x:v>ADR-004 — Separation of Tasks and Calendar Events; ADR-009 — Domain Ownership and Relationship Model; ADR-023 — Testing, Observability, Diagnostics, and Quality Strategy</x:v>
      </x:c>
      <x:c r="F121" s="46" t="str">
        <x:v>AC-F-016</x:v>
      </x:c>
      <x:c r="G121" s="46" t="str">
        <x:v>Yes</x:v>
      </x:c>
      <x:c r="H121" s="46" t="str">
        <x:v>V1</x:v>
      </x:c>
      <x:c r="I121" s="46" t="str">
        <x:v>Task–Event Linking</x:v>
      </x:c>
      <x:c r="J121" s="46" t="str">
        <x:v>Domain test</x:v>
      </x:c>
      <x:c r="K121" s="46" t="str">
        <x:v>Complete</x:v>
      </x:c>
      <x:c r="L121" s="47"/>
    </x:row>
    <x:row r="122" ht="42" customHeight="1">
      <x:c r="A122" s="45" t="str">
        <x:v>FR-F-017</x:v>
      </x:c>
      <x:c r="B122" s="46" t="str">
        <x:v>F. Task–Event Linking</x:v>
      </x:c>
      <x:c r="C122" s="46" t="str">
        <x:v>expose why a linked item does or does not qualify as Scheduled Potential.</x:v>
      </x:c>
      <x:c r="D122" s="46" t="str">
        <x:v>BR-F-003, BR-F-006</x:v>
      </x:c>
      <x:c r="E122" s="46" t="str">
        <x:v>ADR-004 — Separation of Tasks and Calendar Events; ADR-005 — Confirmed-Source Progress and Read-Only Actuals; ADR-009 — Domain Ownership and Relationship Model</x:v>
      </x:c>
      <x:c r="F122" s="46" t="str">
        <x:v>AC-F-017</x:v>
      </x:c>
      <x:c r="G122" s="46" t="str">
        <x:v>No</x:v>
      </x:c>
      <x:c r="H122" s="46" t="str">
        <x:v>V1</x:v>
      </x:c>
      <x:c r="I122" s="46" t="str">
        <x:v>Task–Event Linking</x:v>
      </x:c>
      <x:c r="J122" s="46" t="str">
        <x:v>Domain test</x:v>
      </x:c>
      <x:c r="K122" s="46" t="str">
        <x:v>Complete</x:v>
      </x:c>
      <x:c r="L122" s="47" t="str">
        <x:v>OPD-2-003</x:v>
      </x:c>
    </x:row>
    <x:row r="123" ht="42" customHeight="1">
      <x:c r="A123" s="45" t="str">
        <x:v>FR-F-018</x:v>
      </x:c>
      <x:c r="B123" s="46" t="str">
        <x:v>F. Task–Event Linking</x:v>
      </x:c>
      <x:c r="C123" s="46" t="str">
        <x:v>not apply one Event Report to multiple linked Tasks automatically.</x:v>
      </x:c>
      <x:c r="D123" s="46" t="str">
        <x:v>BR-F-001, BR-F-005, BR-F-006</x:v>
      </x:c>
      <x:c r="E123" s="46" t="str">
        <x:v>ADR-004 — Separation of Tasks and Calendar Events; ADR-011 — Event and Task Outcome Reporting; ADR-009 — Domain Ownership and Relationship Model</x:v>
      </x:c>
      <x:c r="F123" s="46" t="str">
        <x:v>AC-F-018</x:v>
      </x:c>
      <x:c r="G123" s="46" t="str">
        <x:v>Yes</x:v>
      </x:c>
      <x:c r="H123" s="46" t="str">
        <x:v>V1</x:v>
      </x:c>
      <x:c r="I123" s="46" t="str">
        <x:v>Task–Event Linking</x:v>
      </x:c>
      <x:c r="J123" s="46" t="str">
        <x:v>Domain test</x:v>
      </x:c>
      <x:c r="K123" s="46" t="str">
        <x:v>Complete</x:v>
      </x:c>
      <x:c r="L123" s="47" t="str">
        <x:v>OPD-2-001</x:v>
      </x:c>
    </x:row>
    <x:row r="124" ht="42" customHeight="1">
      <x:c r="A124" s="45" t="str">
        <x:v>FR-G-001</x:v>
      </x:c>
      <x:c r="B124" s="46" t="str">
        <x:v>G. Event and Task Outcome Reporting</x:v>
      </x:c>
      <x:c r="C124" s="46" t="str">
        <x:v>be able to report each Calendar Event occurrence independently.</x:v>
      </x:c>
      <x:c r="D124" s="46" t="str">
        <x:v>BR-G-001, BR-G-004, BR-G-009</x:v>
      </x:c>
      <x:c r="E124" s="46" t="str">
        <x:v>ADR-011 — Event and Task Outcome Reporting</x:v>
      </x:c>
      <x:c r="F124" s="46" t="str">
        <x:v>AC-G-001</x:v>
      </x:c>
      <x:c r="G124" s="46" t="str">
        <x:v>Yes</x:v>
      </x:c>
      <x:c r="H124" s="46" t="str">
        <x:v>V1</x:v>
      </x:c>
      <x:c r="I124" s="46" t="str">
        <x:v>Event and Task Outcome Reporting</x:v>
      </x:c>
      <x:c r="J124" s="46" t="str">
        <x:v>Widget test / Integration test</x:v>
      </x:c>
      <x:c r="K124" s="46" t="str">
        <x:v>Complete</x:v>
      </x:c>
      <x:c r="L124" s="47"/>
    </x:row>
    <x:row r="125" ht="42" customHeight="1">
      <x:c r="A125" s="45" t="str">
        <x:v>FR-G-002</x:v>
      </x:c>
      <x:c r="B125" s="46" t="str">
        <x:v>G. Event and Task Outcome Reporting</x:v>
      </x:c>
      <x:c r="C125" s="46" t="str">
        <x:v>Event reports shall support Completed/Happened, Partially Completed, and Did Not Happen.</x:v>
      </x:c>
      <x:c r="D125" s="46" t="str">
        <x:v>BR-G-001, BR-G-002, BR-G-007</x:v>
      </x:c>
      <x:c r="E125" s="46" t="str">
        <x:v>ADR-011 — Event and Task Outcome Reporting</x:v>
      </x:c>
      <x:c r="F125" s="46" t="str">
        <x:v>AC-G-002</x:v>
      </x:c>
      <x:c r="G125" s="46" t="str">
        <x:v>Yes</x:v>
      </x:c>
      <x:c r="H125" s="46" t="str">
        <x:v>V1</x:v>
      </x:c>
      <x:c r="I125" s="46" t="str">
        <x:v>Event and Task Outcome Reporting</x:v>
      </x:c>
      <x:c r="J125" s="46" t="str">
        <x:v>Domain test</x:v>
      </x:c>
      <x:c r="K125" s="46" t="str">
        <x:v>Complete</x:v>
      </x:c>
      <x:c r="L125" s="47"/>
    </x:row>
    <x:row r="126" ht="42" customHeight="1">
      <x:c r="A126" s="45" t="str">
        <x:v>FR-G-003</x:v>
      </x:c>
      <x:c r="B126" s="46" t="str">
        <x:v>G. Event and Task Outcome Reporting</x:v>
      </x:c>
      <x:c r="C126" s="46" t="str">
        <x:v>derive Awaiting Report without assigning an event outcome.</x:v>
      </x:c>
      <x:c r="D126" s="46" t="str">
        <x:v>BR-G-001, BR-G-004, BR-G-009</x:v>
      </x:c>
      <x:c r="E126" s="46" t="str">
        <x:v>ADR-011 — Event and Task Outcome Reporting</x:v>
      </x:c>
      <x:c r="F126" s="46" t="str">
        <x:v>AC-G-003</x:v>
      </x:c>
      <x:c r="G126" s="46" t="str">
        <x:v>Yes</x:v>
      </x:c>
      <x:c r="H126" s="46" t="str">
        <x:v>V1</x:v>
      </x:c>
      <x:c r="I126" s="46" t="str">
        <x:v>Event and Task Outcome Reporting</x:v>
      </x:c>
      <x:c r="J126" s="46" t="str">
        <x:v>Domain test</x:v>
      </x:c>
      <x:c r="K126" s="46" t="str">
        <x:v>Complete</x:v>
      </x:c>
      <x:c r="L126" s="47"/>
    </x:row>
    <x:row r="127" ht="42" customHeight="1">
      <x:c r="A127" s="45" t="str">
        <x:v>FR-G-004</x:v>
      </x:c>
      <x:c r="B127" s="46" t="str">
        <x:v>G. Event and Task Outcome Reporting</x:v>
      </x:c>
      <x:c r="C127" s="46" t="str">
        <x:v>be able to save report drafts.</x:v>
      </x:c>
      <x:c r="D127" s="46" t="str">
        <x:v>BR-G-004, BR-G-009</x:v>
      </x:c>
      <x:c r="E127" s="46" t="str">
        <x:v>ADR-011 — Event and Task Outcome Reporting</x:v>
      </x:c>
      <x:c r="F127" s="46" t="str">
        <x:v>AC-G-004</x:v>
      </x:c>
      <x:c r="G127" s="46" t="str">
        <x:v>Yes</x:v>
      </x:c>
      <x:c r="H127" s="46" t="str">
        <x:v>V1</x:v>
      </x:c>
      <x:c r="I127" s="46" t="str">
        <x:v>Event and Task Outcome Reporting</x:v>
      </x:c>
      <x:c r="J127" s="46" t="str">
        <x:v>Widget test</x:v>
      </x:c>
      <x:c r="K127" s="46" t="str">
        <x:v>Complete</x:v>
      </x:c>
      <x:c r="L127" s="47" t="str">
        <x:v>OPD-2-004</x:v>
      </x:c>
    </x:row>
    <x:row r="128" ht="42" customHeight="1">
      <x:c r="A128" s="45" t="str">
        <x:v>FR-G-005</x:v>
      </x:c>
      <x:c r="B128" s="46" t="str">
        <x:v>G. Event and Task Outcome Reporting</x:v>
      </x:c>
      <x:c r="C128" s="46" t="str">
        <x:v>Drafts shall not affect statuses or Actual.</x:v>
      </x:c>
      <x:c r="D128" s="46" t="str">
        <x:v>BR-G-003</x:v>
      </x:c>
      <x:c r="E128" s="46" t="str">
        <x:v>ADR-005 — Confirmed-Source Progress and Read-Only Actuals; ADR-011 — Event and Task Outcome Reporting</x:v>
      </x:c>
      <x:c r="F128" s="46" t="str">
        <x:v>AC-G-005</x:v>
      </x:c>
      <x:c r="G128" s="46" t="str">
        <x:v>Yes</x:v>
      </x:c>
      <x:c r="H128" s="46" t="str">
        <x:v>V1</x:v>
      </x:c>
      <x:c r="I128" s="46" t="str">
        <x:v>Event and Task Outcome Reporting</x:v>
      </x:c>
      <x:c r="J128" s="46" t="str">
        <x:v>Domain test</x:v>
      </x:c>
      <x:c r="K128" s="46" t="str">
        <x:v>Complete</x:v>
      </x:c>
      <x:c r="L128" s="47" t="str">
        <x:v>OPD-2-004</x:v>
      </x:c>
    </x:row>
    <x:row r="129" ht="42" customHeight="1">
      <x:c r="A129" s="45" t="str">
        <x:v>FR-G-006</x:v>
      </x:c>
      <x:c r="B129" s="46" t="str">
        <x:v>G. Event and Task Outcome Reporting</x:v>
      </x:c>
      <x:c r="C129" s="46" t="str">
        <x:v>Report-required Tasks shall require valid structured reporting.</x:v>
      </x:c>
      <x:c r="D129" s="46" t="str">
        <x:v>BR-G-004, BR-G-005, BR-G-010</x:v>
      </x:c>
      <x:c r="E129" s="46" t="str">
        <x:v>ADR-011 — Event and Task Outcome Reporting</x:v>
      </x:c>
      <x:c r="F129" s="46" t="str">
        <x:v>AC-G-006</x:v>
      </x:c>
      <x:c r="G129" s="46" t="str">
        <x:v>Yes</x:v>
      </x:c>
      <x:c r="H129" s="46" t="str">
        <x:v>V1</x:v>
      </x:c>
      <x:c r="I129" s="46" t="str">
        <x:v>Event and Task Outcome Reporting</x:v>
      </x:c>
      <x:c r="J129" s="46" t="str">
        <x:v>Domain test</x:v>
      </x:c>
      <x:c r="K129" s="46" t="str">
        <x:v>Complete</x:v>
      </x:c>
      <x:c r="L129" s="47" t="str">
        <x:v>OPD-2-005</x:v>
      </x:c>
    </x:row>
    <x:row r="130" ht="42" customHeight="1">
      <x:c r="A130" s="45" t="str">
        <x:v>FR-G-007</x:v>
      </x:c>
      <x:c r="B130" s="46" t="str">
        <x:v>G. Event and Task Outcome Reporting</x:v>
      </x:c>
      <x:c r="C130" s="46" t="str">
        <x:v>commit Task completion and required reporting coherently.</x:v>
      </x:c>
      <x:c r="D130" s="46" t="str">
        <x:v>BR-G-005, BR-G-006, BR-G-010</x:v>
      </x:c>
      <x:c r="E130" s="46" t="str">
        <x:v>ADR-011 — Event and Task Outcome Reporting</x:v>
      </x:c>
      <x:c r="F130" s="46" t="str">
        <x:v>AC-G-007</x:v>
      </x:c>
      <x:c r="G130" s="46" t="str">
        <x:v>Yes</x:v>
      </x:c>
      <x:c r="H130" s="46" t="str">
        <x:v>V1</x:v>
      </x:c>
      <x:c r="I130" s="46" t="str">
        <x:v>Event and Task Outcome Reporting</x:v>
      </x:c>
      <x:c r="J130" s="46" t="str">
        <x:v>Domain test</x:v>
      </x:c>
      <x:c r="K130" s="46" t="str">
        <x:v>Complete</x:v>
      </x:c>
      <x:c r="L130" s="47" t="str">
        <x:v>OPD-1-012</x:v>
      </x:c>
    </x:row>
    <x:row r="131" ht="42" customHeight="1">
      <x:c r="A131" s="45" t="str">
        <x:v>FR-G-008</x:v>
      </x:c>
      <x:c r="B131" s="46" t="str">
        <x:v>G. Event and Task Outcome Reporting</x:v>
      </x:c>
      <x:c r="C131" s="46" t="str">
        <x:v>validate reports offline.</x:v>
      </x:c>
      <x:c r="D131" s="46" t="str">
        <x:v>BR-G-003, BR-G-007, BR-G-010</x:v>
      </x:c>
      <x:c r="E131" s="46" t="str">
        <x:v>ADR-011 — Event and Task Outcome Reporting; ADR-006 — Local-First Operation with Background Synchronization</x:v>
      </x:c>
      <x:c r="F131" s="46" t="str">
        <x:v>AC-G-008</x:v>
      </x:c>
      <x:c r="G131" s="46" t="str">
        <x:v>Yes</x:v>
      </x:c>
      <x:c r="H131" s="46" t="str">
        <x:v>V1</x:v>
      </x:c>
      <x:c r="I131" s="46" t="str">
        <x:v>Event and Task Outcome Reporting</x:v>
      </x:c>
      <x:c r="J131" s="46" t="str">
        <x:v>Domain test</x:v>
      </x:c>
      <x:c r="K131" s="46" t="str">
        <x:v>Complete</x:v>
      </x:c>
      <x:c r="L131" s="47"/>
    </x:row>
    <x:row r="132" ht="42" customHeight="1">
      <x:c r="A132" s="45" t="str">
        <x:v>FR-G-009</x:v>
      </x:c>
      <x:c r="B132" s="46" t="str">
        <x:v>G. Event and Task Outcome Reporting</x:v>
      </x:c>
      <x:c r="C132" s="46" t="str">
        <x:v>Submitted reports shall retain activity date and submission date.</x:v>
      </x:c>
      <x:c r="D132" s="46" t="str">
        <x:v>BR-G-002, BR-G-003, BR-G-007</x:v>
      </x:c>
      <x:c r="E132" s="46" t="str">
        <x:v>ADR-011 — Event and Task Outcome Reporting</x:v>
      </x:c>
      <x:c r="F132" s="46" t="str">
        <x:v>AC-G-009</x:v>
      </x:c>
      <x:c r="G132" s="46" t="str">
        <x:v>No</x:v>
      </x:c>
      <x:c r="H132" s="46" t="str">
        <x:v>V1</x:v>
      </x:c>
      <x:c r="I132" s="46" t="str">
        <x:v>Event and Task Outcome Reporting</x:v>
      </x:c>
      <x:c r="J132" s="46" t="str">
        <x:v>Domain test</x:v>
      </x:c>
      <x:c r="K132" s="46" t="str">
        <x:v>Complete</x:v>
      </x:c>
      <x:c r="L132" s="47"/>
    </x:row>
    <x:row r="133" ht="42" customHeight="1">
      <x:c r="A133" s="45" t="str">
        <x:v>FR-G-010</x:v>
      </x:c>
      <x:c r="B133" s="46" t="str">
        <x:v>G. Event and Task Outcome Reporting</x:v>
      </x:c>
      <x:c r="C133" s="46" t="str">
        <x:v>be able to correct submitted reports.</x:v>
      </x:c>
      <x:c r="D133" s="46" t="str">
        <x:v>BR-G-002, BR-G-003, BR-G-007</x:v>
      </x:c>
      <x:c r="E133" s="46" t="str">
        <x:v>ADR-011 — Event and Task Outcome Reporting</x:v>
      </x:c>
      <x:c r="F133" s="46" t="str">
        <x:v>AC-G-010</x:v>
      </x:c>
      <x:c r="G133" s="46" t="str">
        <x:v>No</x:v>
      </x:c>
      <x:c r="H133" s="46" t="str">
        <x:v>V1</x:v>
      </x:c>
      <x:c r="I133" s="46" t="str">
        <x:v>Event and Task Outcome Reporting</x:v>
      </x:c>
      <x:c r="J133" s="46" t="str">
        <x:v>Widget test</x:v>
      </x:c>
      <x:c r="K133" s="46" t="str">
        <x:v>Complete</x:v>
      </x:c>
      <x:c r="L133" s="47" t="str">
        <x:v>OPD-1-013</x:v>
      </x:c>
    </x:row>
    <x:row r="134" ht="42" customHeight="1">
      <x:c r="A134" s="45" t="str">
        <x:v>FR-G-011</x:v>
      </x:c>
      <x:c r="B134" s="46" t="str">
        <x:v>G. Event and Task Outcome Reporting</x:v>
      </x:c>
      <x:c r="C134" s="46" t="str">
        <x:v>Corrections shall retain original history.</x:v>
      </x:c>
      <x:c r="D134" s="46" t="str">
        <x:v>BR-G-007</x:v>
      </x:c>
      <x:c r="E134" s="46" t="str">
        <x:v>ADR-011 — Event and Task Outcome Reporting</x:v>
      </x:c>
      <x:c r="F134" s="46" t="str">
        <x:v>AC-G-011</x:v>
      </x:c>
      <x:c r="G134" s="46" t="str">
        <x:v>No</x:v>
      </x:c>
      <x:c r="H134" s="46" t="str">
        <x:v>V1</x:v>
      </x:c>
      <x:c r="I134" s="46" t="str">
        <x:v>Event and Task Outcome Reporting</x:v>
      </x:c>
      <x:c r="J134" s="46" t="str">
        <x:v>Domain test</x:v>
      </x:c>
      <x:c r="K134" s="46" t="str">
        <x:v>Complete</x:v>
      </x:c>
      <x:c r="L134" s="47" t="str">
        <x:v>OPD-1-013</x:v>
      </x:c>
    </x:row>
    <x:row r="135" ht="42" customHeight="1">
      <x:c r="A135" s="45" t="str">
        <x:v>FR-G-012</x:v>
      </x:c>
      <x:c r="B135" s="46" t="str">
        <x:v>G. Event and Task Outcome Reporting</x:v>
      </x:c>
      <x:c r="C135" s="46" t="str">
        <x:v>Corrections shall trigger reversal and replacement ledger behavior.</x:v>
      </x:c>
      <x:c r="D135" s="46" t="str">
        <x:v>BR-G-007</x:v>
      </x:c>
      <x:c r="E135" s="46" t="str">
        <x:v>ADR-011 — Event and Task Outcome Reporting; ADR-012 — Activity Ledger and Contribution Engine</x:v>
      </x:c>
      <x:c r="F135" s="46" t="str">
        <x:v>AC-G-012</x:v>
      </x:c>
      <x:c r="G135" s="46" t="str">
        <x:v>No</x:v>
      </x:c>
      <x:c r="H135" s="46" t="str">
        <x:v>V1</x:v>
      </x:c>
      <x:c r="I135" s="46" t="str">
        <x:v>Event and Task Outcome Reporting</x:v>
      </x:c>
      <x:c r="J135" s="46" t="str">
        <x:v>Database test</x:v>
      </x:c>
      <x:c r="K135" s="46" t="str">
        <x:v>Complete</x:v>
      </x:c>
      <x:c r="L135" s="47" t="str">
        <x:v>OPD-1-013</x:v>
      </x:c>
    </x:row>
    <x:row r="136" ht="42" customHeight="1">
      <x:c r="A136" s="45" t="str">
        <x:v>FR-G-013</x:v>
      </x:c>
      <x:c r="B136" s="46" t="str">
        <x:v>G. Event and Task Outcome Reporting</x:v>
      </x:c>
      <x:c r="C136" s="46" t="str">
        <x:v>Submission retries shall be idempotent.</x:v>
      </x:c>
      <x:c r="D136" s="46" t="str">
        <x:v>BR-G-008</x:v>
      </x:c>
      <x:c r="E136" s="46" t="str">
        <x:v>ADR-011 — Event and Task Outcome Reporting; ADR-023 — Testing, Observability, Diagnostics, and Quality Strategy</x:v>
      </x:c>
      <x:c r="F136" s="46" t="str">
        <x:v>AC-G-013</x:v>
      </x:c>
      <x:c r="G136" s="46" t="str">
        <x:v>Yes</x:v>
      </x:c>
      <x:c r="H136" s="46" t="str">
        <x:v>V1</x:v>
      </x:c>
      <x:c r="I136" s="46" t="str">
        <x:v>Event and Task Outcome Reporting</x:v>
      </x:c>
      <x:c r="J136" s="46" t="str">
        <x:v>Domain test</x:v>
      </x:c>
      <x:c r="K136" s="46" t="str">
        <x:v>Complete</x:v>
      </x:c>
      <x:c r="L136" s="47"/>
    </x:row>
    <x:row r="137" ht="42" customHeight="1">
      <x:c r="A137" s="45" t="str">
        <x:v>FR-G-014</x:v>
      </x:c>
      <x:c r="B137" s="46" t="str">
        <x:v>G. Event and Task Outcome Reporting</x:v>
      </x:c>
      <x:c r="C137" s="46" t="str">
        <x:v>show whether a report produced contributions.</x:v>
      </x:c>
      <x:c r="D137" s="46" t="str">
        <x:v>BR-G-004, BR-G-009</x:v>
      </x:c>
      <x:c r="E137" s="46" t="str">
        <x:v>ADR-011 — Event and Task Outcome Reporting; ADR-012 — Activity Ledger and Contribution Engine; ADR-008 — Explicit Multi-Indicator Contributions</x:v>
      </x:c>
      <x:c r="F137" s="46" t="str">
        <x:v>AC-G-014</x:v>
      </x:c>
      <x:c r="G137" s="46" t="str">
        <x:v>No</x:v>
      </x:c>
      <x:c r="H137" s="46" t="str">
        <x:v>V1</x:v>
      </x:c>
      <x:c r="I137" s="46" t="str">
        <x:v>Event and Task Outcome Reporting</x:v>
      </x:c>
      <x:c r="J137" s="46" t="str">
        <x:v>Domain test</x:v>
      </x:c>
      <x:c r="K137" s="46" t="str">
        <x:v>Complete</x:v>
      </x:c>
      <x:c r="L137" s="47"/>
    </x:row>
    <x:row r="138" ht="42" customHeight="1">
      <x:c r="A138" s="45" t="str">
        <x:v>FR-G-015</x:v>
      </x:c>
      <x:c r="B138" s="46" t="str">
        <x:v>G. Event and Task Outcome Reporting</x:v>
      </x:c>
      <x:c r="C138" s="46" t="str">
        <x:v>prevent title-only report classification.</x:v>
      </x:c>
      <x:c r="D138" s="46" t="str">
        <x:v>BR-G-001, BR-G-004, BR-G-009</x:v>
      </x:c>
      <x:c r="E138" s="46" t="str">
        <x:v>ADR-011 — Event and Task Outcome Reporting</x:v>
      </x:c>
      <x:c r="F138" s="46" t="str">
        <x:v>AC-G-015</x:v>
      </x:c>
      <x:c r="G138" s="46" t="str">
        <x:v>Yes</x:v>
      </x:c>
      <x:c r="H138" s="46" t="str">
        <x:v>V1</x:v>
      </x:c>
      <x:c r="I138" s="46" t="str">
        <x:v>Event and Task Outcome Reporting</x:v>
      </x:c>
      <x:c r="J138" s="46" t="str">
        <x:v>Domain test</x:v>
      </x:c>
      <x:c r="K138" s="46" t="str">
        <x:v>Complete</x:v>
      </x:c>
      <x:c r="L138" s="47"/>
    </x:row>
    <x:row r="139" ht="42" customHeight="1">
      <x:c r="A139" s="45" t="str">
        <x:v>FR-G-016</x:v>
      </x:c>
      <x:c r="B139" s="46" t="str">
        <x:v>G. Event and Task Outcome Reporting</x:v>
      </x:c>
      <x:c r="C139" s="46" t="str">
        <x:v>support offline report submission and correction.</x:v>
      </x:c>
      <x:c r="D139" s="46" t="str">
        <x:v>BR-G-004, BR-G-009, BR-G-010</x:v>
      </x:c>
      <x:c r="E139" s="46" t="str">
        <x:v>ADR-011 — Event and Task Outcome Reporting; ADR-006 — Local-First Operation with Background Synchronization</x:v>
      </x:c>
      <x:c r="F139" s="46" t="str">
        <x:v>AC-G-016</x:v>
      </x:c>
      <x:c r="G139" s="46" t="str">
        <x:v>Yes</x:v>
      </x:c>
      <x:c r="H139" s="46" t="str">
        <x:v>V1</x:v>
      </x:c>
      <x:c r="I139" s="46" t="str">
        <x:v>Event and Task Outcome Reporting</x:v>
      </x:c>
      <x:c r="J139" s="46" t="str">
        <x:v>Domain test</x:v>
      </x:c>
      <x:c r="K139" s="46" t="str">
        <x:v>Complete</x:v>
      </x:c>
      <x:c r="L139" s="47" t="str">
        <x:v>OPD-2-005</x:v>
      </x:c>
    </x:row>
    <x:row r="140" ht="42" customHeight="1">
      <x:c r="A140" s="45" t="str">
        <x:v>FR-G-017</x:v>
      </x:c>
      <x:c r="B140" s="46" t="str">
        <x:v>G. Event and Task Outcome Reporting</x:v>
      </x:c>
      <x:c r="C140" s="46" t="str">
        <x:v>preserve drafts across recoverable interruptions.</x:v>
      </x:c>
      <x:c r="D140" s="46" t="str">
        <x:v>BR-G-007</x:v>
      </x:c>
      <x:c r="E140" s="46" t="str">
        <x:v>ADR-011 — Event and Task Outcome Reporting</x:v>
      </x:c>
      <x:c r="F140" s="46" t="str">
        <x:v>AC-G-017</x:v>
      </x:c>
      <x:c r="G140" s="46" t="str">
        <x:v>Yes</x:v>
      </x:c>
      <x:c r="H140" s="46" t="str">
        <x:v>V1</x:v>
      </x:c>
      <x:c r="I140" s="46" t="str">
        <x:v>Event and Task Outcome Reporting</x:v>
      </x:c>
      <x:c r="J140" s="46" t="str">
        <x:v>Domain test</x:v>
      </x:c>
      <x:c r="K140" s="46" t="str">
        <x:v>Complete</x:v>
      </x:c>
      <x:c r="L140" s="47" t="str">
        <x:v>OPD-2-004</x:v>
      </x:c>
    </x:row>
    <x:row r="141" ht="42" customHeight="1">
      <x:c r="A141" s="45" t="str">
        <x:v>FR-G-018</x:v>
      </x:c>
      <x:c r="B141" s="46" t="str">
        <x:v>G. Event and Task Outcome Reporting</x:v>
      </x:c>
      <x:c r="C141" s="46" t="str">
        <x:v>prevent multiple simultaneous effective reports for one source reporting slot.</x:v>
      </x:c>
      <x:c r="D141" s="46" t="str">
        <x:v>BR-G-004, BR-G-007, BR-G-010</x:v>
      </x:c>
      <x:c r="E141" s="46" t="str">
        <x:v>ADR-011 — Event and Task Outcome Reporting</x:v>
      </x:c>
      <x:c r="F141" s="46" t="str">
        <x:v>AC-G-018</x:v>
      </x:c>
      <x:c r="G141" s="46" t="str">
        <x:v>Yes</x:v>
      </x:c>
      <x:c r="H141" s="46" t="str">
        <x:v>V1</x:v>
      </x:c>
      <x:c r="I141" s="46" t="str">
        <x:v>Event and Task Outcome Reporting</x:v>
      </x:c>
      <x:c r="J141" s="46" t="str">
        <x:v>Domain test</x:v>
      </x:c>
      <x:c r="K141" s="46" t="str">
        <x:v>Complete</x:v>
      </x:c>
      <x:c r="L141" s="47"/>
    </x:row>
    <x:row r="142" ht="42" customHeight="1">
      <x:c r="A142" s="45" t="str">
        <x:v>FR-G-019</x:v>
      </x:c>
      <x:c r="B142" s="46" t="str">
        <x:v>G. Event and Task Outcome Reporting</x:v>
      </x:c>
      <x:c r="C142" s="46" t="str">
        <x:v>Cancellation and rescheduling shall remain separate from happened reporting.</x:v>
      </x:c>
      <x:c r="D142" s="46" t="str">
        <x:v>BR-G-001, BR-G-005, BR-G-010</x:v>
      </x:c>
      <x:c r="E142" s="46" t="str">
        <x:v>ADR-011 — Event and Task Outcome Reporting</x:v>
      </x:c>
      <x:c r="F142" s="46" t="str">
        <x:v>AC-G-019</x:v>
      </x:c>
      <x:c r="G142" s="46" t="str">
        <x:v>Yes</x:v>
      </x:c>
      <x:c r="H142" s="46" t="str">
        <x:v>V1</x:v>
      </x:c>
      <x:c r="I142" s="46" t="str">
        <x:v>Event and Task Outcome Reporting</x:v>
      </x:c>
      <x:c r="J142" s="46" t="str">
        <x:v>Domain test</x:v>
      </x:c>
      <x:c r="K142" s="46" t="str">
        <x:v>Complete</x:v>
      </x:c>
      <x:c r="L142" s="47"/>
    </x:row>
    <x:row r="143" ht="42" customHeight="1">
      <x:c r="A143" s="45" t="str">
        <x:v>FR-G-020</x:v>
      </x:c>
      <x:c r="B143" s="46" t="str">
        <x:v>G. Event and Task Outcome Reporting</x:v>
      </x:c>
      <x:c r="C143" s="46" t="str">
        <x:v>Historical reports shall remain accessible through contribution history where needed.</x:v>
      </x:c>
      <x:c r="D143" s="46" t="str">
        <x:v>BR-G-002, BR-G-003, BR-G-007</x:v>
      </x:c>
      <x:c r="E143" s="46" t="str">
        <x:v>ADR-011 — Event and Task Outcome Reporting; ADR-012 — Activity Ledger and Contribution Engine</x:v>
      </x:c>
      <x:c r="F143" s="46" t="str">
        <x:v>AC-G-020</x:v>
      </x:c>
      <x:c r="G143" s="46" t="str">
        <x:v>No</x:v>
      </x:c>
      <x:c r="H143" s="46" t="str">
        <x:v>V1</x:v>
      </x:c>
      <x:c r="I143" s="46" t="str">
        <x:v>Event and Task Outcome Reporting</x:v>
      </x:c>
      <x:c r="J143" s="46" t="str">
        <x:v>Domain test</x:v>
      </x:c>
      <x:c r="K143" s="46" t="str">
        <x:v>Complete</x:v>
      </x:c>
      <x:c r="L143" s="47"/>
    </x:row>
    <x:row r="144" ht="42" customHeight="1">
      <x:c r="A144" s="45" t="str">
        <x:v>FR-H-001</x:v>
      </x:c>
      <x:c r="B144" s="46" t="str">
        <x:v>H. Activity Ledger and Contribution History</x:v>
      </x:c>
      <x:c r="C144" s="46" t="str">
        <x:v>derive Actual from Activity Ledger entries.</x:v>
      </x:c>
      <x:c r="D144" s="46" t="str">
        <x:v>BR-H-001, BR-H-002, BR-H-010</x:v>
      </x:c>
      <x:c r="E144" s="46" t="str">
        <x:v>ADR-005 — Confirmed-Source Progress and Read-Only Actuals; ADR-012 — Activity Ledger and Contribution Engine</x:v>
      </x:c>
      <x:c r="F144" s="46" t="str">
        <x:v>AC-H-001</x:v>
      </x:c>
      <x:c r="G144" s="46" t="str">
        <x:v>Yes</x:v>
      </x:c>
      <x:c r="H144" s="46" t="str">
        <x:v>V1</x:v>
      </x:c>
      <x:c r="I144" s="46" t="str">
        <x:v>Activity Ledger and Contribution History</x:v>
      </x:c>
      <x:c r="J144" s="46" t="str">
        <x:v>Domain test / Database test</x:v>
      </x:c>
      <x:c r="K144" s="46" t="str">
        <x:v>Complete</x:v>
      </x:c>
      <x:c r="L144" s="47" t="str">
        <x:v>OPD-2-007</x:v>
      </x:c>
    </x:row>
    <x:row r="145" ht="42" customHeight="1">
      <x:c r="A145" s="45" t="str">
        <x:v>FR-H-002</x:v>
      </x:c>
      <x:c r="B145" s="46" t="str">
        <x:v>H. Activity Ledger and Contribution History</x:v>
      </x:c>
      <x:c r="C145" s="46" t="str">
        <x:v>prevent direct Actual editing.</x:v>
      </x:c>
      <x:c r="D145" s="46" t="str">
        <x:v>BR-H-001, BR-H-002</x:v>
      </x:c>
      <x:c r="E145" s="46" t="str">
        <x:v>ADR-005 — Confirmed-Source Progress and Read-Only Actuals; ADR-012 — Activity Ledger and Contribution Engine</x:v>
      </x:c>
      <x:c r="F145" s="46" t="str">
        <x:v>AC-H-002</x:v>
      </x:c>
      <x:c r="G145" s="46" t="str">
        <x:v>Yes</x:v>
      </x:c>
      <x:c r="H145" s="46" t="str">
        <x:v>V1</x:v>
      </x:c>
      <x:c r="I145" s="46" t="str">
        <x:v>Activity Ledger and Contribution History</x:v>
      </x:c>
      <x:c r="J145" s="46" t="str">
        <x:v>Domain test</x:v>
      </x:c>
      <x:c r="K145" s="46" t="str">
        <x:v>Complete</x:v>
      </x:c>
      <x:c r="L145" s="47"/>
    </x:row>
    <x:row r="146" ht="42" customHeight="1">
      <x:c r="A146" s="45" t="str">
        <x:v>FR-H-003</x:v>
      </x:c>
      <x:c r="B146" s="46" t="str">
        <x:v>H. Activity Ledger and Contribution History</x:v>
      </x:c>
      <x:c r="C146" s="46" t="str">
        <x:v>create contributions only from approved canonical sources.</x:v>
      </x:c>
      <x:c r="D146" s="46" t="str">
        <x:v>BR-H-001, BR-H-009, BR-H-010</x:v>
      </x:c>
      <x:c r="E146" s="46" t="str">
        <x:v>ADR-012 — Activity Ledger and Contribution Engine; ADR-008 — Explicit Multi-Indicator Contributions</x:v>
      </x:c>
      <x:c r="F146" s="46" t="str">
        <x:v>AC-H-003</x:v>
      </x:c>
      <x:c r="G146" s="46" t="str">
        <x:v>Yes</x:v>
      </x:c>
      <x:c r="H146" s="46" t="str">
        <x:v>V1</x:v>
      </x:c>
      <x:c r="I146" s="46" t="str">
        <x:v>Activity Ledger and Contribution History</x:v>
      </x:c>
      <x:c r="J146" s="46" t="str">
        <x:v>Domain test</x:v>
      </x:c>
      <x:c r="K146" s="46" t="str">
        <x:v>Complete</x:v>
      </x:c>
      <x:c r="L146" s="47"/>
    </x:row>
    <x:row r="147" ht="42" customHeight="1">
      <x:c r="A147" s="45" t="str">
        <x:v>FR-H-004</x:v>
      </x:c>
      <x:c r="B147" s="46" t="str">
        <x:v>H. Activity Ledger and Contribution History</x:v>
      </x:c>
      <x:c r="C147" s="46" t="str">
        <x:v>Contributions shall include an explicit Life Indicator.</x:v>
      </x:c>
      <x:c r="D147" s="46" t="str">
        <x:v>BR-H-003</x:v>
      </x:c>
      <x:c r="E147" s="46" t="str">
        <x:v>ADR-012 — Activity Ledger and Contribution Engine; ADR-008 — Explicit Multi-Indicator Contributions</x:v>
      </x:c>
      <x:c r="F147" s="46" t="str">
        <x:v>AC-H-004</x:v>
      </x:c>
      <x:c r="G147" s="46" t="str">
        <x:v>Yes</x:v>
      </x:c>
      <x:c r="H147" s="46" t="str">
        <x:v>V1</x:v>
      </x:c>
      <x:c r="I147" s="46" t="str">
        <x:v>Activity Ledger and Contribution History</x:v>
      </x:c>
      <x:c r="J147" s="46" t="str">
        <x:v>Domain test</x:v>
      </x:c>
      <x:c r="K147" s="46" t="str">
        <x:v>Complete</x:v>
      </x:c>
      <x:c r="L147" s="47"/>
    </x:row>
    <x:row r="148" ht="42" customHeight="1">
      <x:c r="A148" s="45" t="str">
        <x:v>FR-H-005</x:v>
      </x:c>
      <x:c r="B148" s="46" t="str">
        <x:v>H. Activity Ledger and Contribution History</x:v>
      </x:c>
      <x:c r="C148" s="46" t="str">
        <x:v>Contributions shall include value and unit.</x:v>
      </x:c>
      <x:c r="D148" s="46" t="str">
        <x:v>BR-H-003</x:v>
      </x:c>
      <x:c r="E148" s="46" t="str">
        <x:v>ADR-012 — Activity Ledger and Contribution Engine; ADR-008 — Explicit Multi-Indicator Contributions</x:v>
      </x:c>
      <x:c r="F148" s="46" t="str">
        <x:v>AC-H-005</x:v>
      </x:c>
      <x:c r="G148" s="46" t="str">
        <x:v>Yes</x:v>
      </x:c>
      <x:c r="H148" s="46" t="str">
        <x:v>V1</x:v>
      </x:c>
      <x:c r="I148" s="46" t="str">
        <x:v>Activity Ledger and Contribution History</x:v>
      </x:c>
      <x:c r="J148" s="46" t="str">
        <x:v>Domain test</x:v>
      </x:c>
      <x:c r="K148" s="46" t="str">
        <x:v>Complete</x:v>
      </x:c>
      <x:c r="L148" s="47" t="str">
        <x:v>OPD-2-008</x:v>
      </x:c>
    </x:row>
    <x:row r="149" ht="42" customHeight="1">
      <x:c r="A149" s="45" t="str">
        <x:v>FR-H-006</x:v>
      </x:c>
      <x:c r="B149" s="46" t="str">
        <x:v>H. Activity Ledger and Contribution History</x:v>
      </x:c>
      <x:c r="C149" s="46" t="str">
        <x:v>Contributions shall retain activity date and recorded timestamp.</x:v>
      </x:c>
      <x:c r="D149" s="46" t="str">
        <x:v>BR-H-001, BR-H-003, BR-H-008</x:v>
      </x:c>
      <x:c r="E149" s="46" t="str">
        <x:v>ADR-012 — Activity Ledger and Contribution Engine</x:v>
      </x:c>
      <x:c r="F149" s="46" t="str">
        <x:v>AC-H-006</x:v>
      </x:c>
      <x:c r="G149" s="46" t="str">
        <x:v>Yes</x:v>
      </x:c>
      <x:c r="H149" s="46" t="str">
        <x:v>V1</x:v>
      </x:c>
      <x:c r="I149" s="46" t="str">
        <x:v>Activity Ledger and Contribution History</x:v>
      </x:c>
      <x:c r="J149" s="46" t="str">
        <x:v>Domain test</x:v>
      </x:c>
      <x:c r="K149" s="46" t="str">
        <x:v>Complete</x:v>
      </x:c>
      <x:c r="L149" s="47"/>
    </x:row>
    <x:row r="150" ht="42" customHeight="1">
      <x:c r="A150" s="45" t="str">
        <x:v>FR-H-007</x:v>
      </x:c>
      <x:c r="B150" s="46" t="str">
        <x:v>H. Activity Ledger and Contribution History</x:v>
      </x:c>
      <x:c r="C150" s="46" t="str">
        <x:v>Contributions shall reference their source report.</x:v>
      </x:c>
      <x:c r="D150" s="46" t="str">
        <x:v>BR-H-001, BR-H-003, BR-H-005</x:v>
      </x:c>
      <x:c r="E150" s="46" t="str">
        <x:v>ADR-011 — Event and Task Outcome Reporting; ADR-012 — Activity Ledger and Contribution Engine; ADR-008 — Explicit Multi-Indicator Contributions</x:v>
      </x:c>
      <x:c r="F150" s="46" t="str">
        <x:v>AC-H-007</x:v>
      </x:c>
      <x:c r="G150" s="46" t="str">
        <x:v>Yes</x:v>
      </x:c>
      <x:c r="H150" s="46" t="str">
        <x:v>V1</x:v>
      </x:c>
      <x:c r="I150" s="46" t="str">
        <x:v>Activity Ledger and Contribution History</x:v>
      </x:c>
      <x:c r="J150" s="46" t="str">
        <x:v>Domain test</x:v>
      </x:c>
      <x:c r="K150" s="46" t="str">
        <x:v>Complete</x:v>
      </x:c>
      <x:c r="L150" s="47"/>
    </x:row>
    <x:row r="151" ht="42" customHeight="1">
      <x:c r="A151" s="45" t="str">
        <x:v>FR-H-008</x:v>
      </x:c>
      <x:c r="B151" s="46" t="str">
        <x:v>H. Activity Ledger and Contribution History</x:v>
      </x:c>
      <x:c r="C151" s="46" t="str">
        <x:v>Contributions shall reference their qualifying rule.</x:v>
      </x:c>
      <x:c r="D151" s="46" t="str">
        <x:v>BR-H-003, BR-H-005</x:v>
      </x:c>
      <x:c r="E151" s="46" t="str">
        <x:v>ADR-012 — Activity Ledger and Contribution Engine; ADR-008 — Explicit Multi-Indicator Contributions</x:v>
      </x:c>
      <x:c r="F151" s="46" t="str">
        <x:v>AC-H-008</x:v>
      </x:c>
      <x:c r="G151" s="46" t="str">
        <x:v>Yes</x:v>
      </x:c>
      <x:c r="H151" s="46" t="str">
        <x:v>V1</x:v>
      </x:c>
      <x:c r="I151" s="46" t="str">
        <x:v>Activity Ledger and Contribution History</x:v>
      </x:c>
      <x:c r="J151" s="46" t="str">
        <x:v>Domain test</x:v>
      </x:c>
      <x:c r="K151" s="46" t="str">
        <x:v>Complete</x:v>
      </x:c>
      <x:c r="L151" s="47"/>
    </x:row>
    <x:row r="152" ht="42" customHeight="1">
      <x:c r="A152" s="45" t="str">
        <x:v>FR-H-009</x:v>
      </x:c>
      <x:c r="B152" s="46" t="str">
        <x:v>H. Activity Ledger and Contribution History</x:v>
      </x:c>
      <x:c r="C152" s="46" t="str">
        <x:v>prevent duplicate source-rule application.</x:v>
      </x:c>
      <x:c r="D152" s="46" t="str">
        <x:v>BR-H-001, BR-H-003, BR-H-005</x:v>
      </x:c>
      <x:c r="E152" s="46" t="str">
        <x:v>ADR-012 — Activity Ledger and Contribution Engine; ADR-008 — Explicit Multi-Indicator Contributions</x:v>
      </x:c>
      <x:c r="F152" s="46" t="str">
        <x:v>AC-H-009</x:v>
      </x:c>
      <x:c r="G152" s="46" t="str">
        <x:v>Yes</x:v>
      </x:c>
      <x:c r="H152" s="46" t="str">
        <x:v>V1</x:v>
      </x:c>
      <x:c r="I152" s="46" t="str">
        <x:v>Activity Ledger and Contribution History</x:v>
      </x:c>
      <x:c r="J152" s="46" t="str">
        <x:v>Domain test</x:v>
      </x:c>
      <x:c r="K152" s="46" t="str">
        <x:v>Complete</x:v>
      </x:c>
      <x:c r="L152" s="47"/>
    </x:row>
    <x:row r="153" ht="42" customHeight="1">
      <x:c r="A153" s="45" t="str">
        <x:v>FR-H-010</x:v>
      </x:c>
      <x:c r="B153" s="46" t="str">
        <x:v>H. Activity Ledger and Contribution History</x:v>
      </x:c>
      <x:c r="C153" s="46" t="str">
        <x:v>support reversals.</x:v>
      </x:c>
      <x:c r="D153" s="46" t="str">
        <x:v>BR-H-006</x:v>
      </x:c>
      <x:c r="E153" s="46" t="str">
        <x:v>ADR-012 — Activity Ledger and Contribution Engine</x:v>
      </x:c>
      <x:c r="F153" s="46" t="str">
        <x:v>AC-H-010</x:v>
      </x:c>
      <x:c r="G153" s="46" t="str">
        <x:v>No</x:v>
      </x:c>
      <x:c r="H153" s="46" t="str">
        <x:v>V1</x:v>
      </x:c>
      <x:c r="I153" s="46" t="str">
        <x:v>Activity Ledger and Contribution History</x:v>
      </x:c>
      <x:c r="J153" s="46" t="str">
        <x:v>Domain test</x:v>
      </x:c>
      <x:c r="K153" s="46" t="str">
        <x:v>Complete</x:v>
      </x:c>
      <x:c r="L153" s="47"/>
    </x:row>
    <x:row r="154" ht="42" customHeight="1">
      <x:c r="A154" s="45" t="str">
        <x:v>FR-H-011</x:v>
      </x:c>
      <x:c r="B154" s="46" t="str">
        <x:v>H. Activity Ledger and Contribution History</x:v>
      </x:c>
      <x:c r="C154" s="46" t="str">
        <x:v>support replacement lineage.</x:v>
      </x:c>
      <x:c r="D154" s="46" t="str">
        <x:v>BR-H-001</x:v>
      </x:c>
      <x:c r="E154" s="46" t="str">
        <x:v>ADR-012 — Activity Ledger and Contribution Engine</x:v>
      </x:c>
      <x:c r="F154" s="46" t="str">
        <x:v>AC-H-011</x:v>
      </x:c>
      <x:c r="G154" s="46" t="str">
        <x:v>No</x:v>
      </x:c>
      <x:c r="H154" s="46" t="str">
        <x:v>V1</x:v>
      </x:c>
      <x:c r="I154" s="46" t="str">
        <x:v>Activity Ledger and Contribution History</x:v>
      </x:c>
      <x:c r="J154" s="46" t="str">
        <x:v>Domain test</x:v>
      </x:c>
      <x:c r="K154" s="46" t="str">
        <x:v>Complete</x:v>
      </x:c>
      <x:c r="L154" s="47"/>
    </x:row>
    <x:row r="155" ht="42" customHeight="1">
      <x:c r="A155" s="45" t="str">
        <x:v>FR-H-012</x:v>
      </x:c>
      <x:c r="B155" s="46" t="str">
        <x:v>H. Activity Ledger and Contribution History</x:v>
      </x:c>
      <x:c r="C155" s="46" t="str">
        <x:v>preserve reversed history.</x:v>
      </x:c>
      <x:c r="D155" s="46" t="str">
        <x:v>BR-H-007, BR-H-009, BR-H-010</x:v>
      </x:c>
      <x:c r="E155" s="46" t="str">
        <x:v>ADR-012 — Activity Ledger and Contribution Engine</x:v>
      </x:c>
      <x:c r="F155" s="46" t="str">
        <x:v>AC-H-012</x:v>
      </x:c>
      <x:c r="G155" s="46" t="str">
        <x:v>Yes</x:v>
      </x:c>
      <x:c r="H155" s="46" t="str">
        <x:v>V1</x:v>
      </x:c>
      <x:c r="I155" s="46" t="str">
        <x:v>Activity Ledger and Contribution History</x:v>
      </x:c>
      <x:c r="J155" s="46" t="str">
        <x:v>Domain test</x:v>
      </x:c>
      <x:c r="K155" s="46" t="str">
        <x:v>Complete</x:v>
      </x:c>
      <x:c r="L155" s="47" t="str">
        <x:v>OPD-2-009</x:v>
      </x:c>
    </x:row>
    <x:row r="156" ht="42" customHeight="1">
      <x:c r="A156" s="45" t="str">
        <x:v>FR-H-013</x:v>
      </x:c>
      <x:c r="B156" s="46" t="str">
        <x:v>H. Activity Ledger and Contribution History</x:v>
      </x:c>
      <x:c r="C156" s="46" t="str">
        <x:v>provide contribution history by indicator and period.</x:v>
      </x:c>
      <x:c r="D156" s="46" t="str">
        <x:v>BR-H-003, BR-H-008, BR-H-010</x:v>
      </x:c>
      <x:c r="E156" s="46" t="str">
        <x:v>ADR-012 — Activity Ledger and Contribution Engine; ADR-010 — Weekly Planning Lifecycle</x:v>
      </x:c>
      <x:c r="F156" s="46" t="str">
        <x:v>AC-H-013</x:v>
      </x:c>
      <x:c r="G156" s="46" t="str">
        <x:v>No</x:v>
      </x:c>
      <x:c r="H156" s="46" t="str">
        <x:v>V1</x:v>
      </x:c>
      <x:c r="I156" s="46" t="str">
        <x:v>Activity Ledger and Contribution History</x:v>
      </x:c>
      <x:c r="J156" s="46" t="str">
        <x:v>Domain test</x:v>
      </x:c>
      <x:c r="K156" s="46" t="str">
        <x:v>Complete</x:v>
      </x:c>
      <x:c r="L156" s="47" t="str">
        <x:v>OPD-2-009</x:v>
      </x:c>
    </x:row>
    <x:row r="157" ht="42" customHeight="1">
      <x:c r="A157" s="45" t="str">
        <x:v>FR-H-014</x:v>
      </x:c>
      <x:c r="B157" s="46" t="str">
        <x:v>H. Activity Ledger and Contribution History</x:v>
      </x:c>
      <x:c r="C157" s="46" t="str">
        <x:v>provide source-report access.</x:v>
      </x:c>
      <x:c r="D157" s="46" t="str">
        <x:v>BR-H-001, BR-H-003, BR-H-005</x:v>
      </x:c>
      <x:c r="E157" s="46" t="str">
        <x:v>ADR-011 — Event and Task Outcome Reporting; ADR-012 — Activity Ledger and Contribution Engine</x:v>
      </x:c>
      <x:c r="F157" s="46" t="str">
        <x:v>AC-H-014</x:v>
      </x:c>
      <x:c r="G157" s="46" t="str">
        <x:v>No</x:v>
      </x:c>
      <x:c r="H157" s="46" t="str">
        <x:v>V1</x:v>
      </x:c>
      <x:c r="I157" s="46" t="str">
        <x:v>Activity Ledger and Contribution History</x:v>
      </x:c>
      <x:c r="J157" s="46" t="str">
        <x:v>Domain test</x:v>
      </x:c>
      <x:c r="K157" s="46" t="str">
        <x:v>Complete</x:v>
      </x:c>
      <x:c r="L157" s="47"/>
    </x:row>
    <x:row r="158" ht="42" customHeight="1">
      <x:c r="A158" s="45" t="str">
        <x:v>FR-H-015</x:v>
      </x:c>
      <x:c r="B158" s="46" t="str">
        <x:v>H. Activity Ledger and Contribution History</x:v>
      </x:c>
      <x:c r="C158" s="46" t="str">
        <x:v>rebuild projections from local history.</x:v>
      </x:c>
      <x:c r="D158" s="46" t="str">
        <x:v>BR-H-007, BR-H-009, BR-H-010</x:v>
      </x:c>
      <x:c r="E158" s="46" t="str">
        <x:v>ADR-012 — Activity Ledger and Contribution Engine</x:v>
      </x:c>
      <x:c r="F158" s="46" t="str">
        <x:v>AC-H-015</x:v>
      </x:c>
      <x:c r="G158" s="46" t="str">
        <x:v>No</x:v>
      </x:c>
      <x:c r="H158" s="46" t="str">
        <x:v>V1</x:v>
      </x:c>
      <x:c r="I158" s="46" t="str">
        <x:v>Activity Ledger and Contribution History</x:v>
      </x:c>
      <x:c r="J158" s="46" t="str">
        <x:v>Domain test</x:v>
      </x:c>
      <x:c r="K158" s="46" t="str">
        <x:v>Complete</x:v>
      </x:c>
      <x:c r="L158" s="47"/>
    </x:row>
    <x:row r="159" ht="42" customHeight="1">
      <x:c r="A159" s="45" t="str">
        <x:v>FR-H-016</x:v>
      </x:c>
      <x:c r="B159" s="46" t="str">
        <x:v>H. Activity Ledger and Contribution History</x:v>
      </x:c>
      <x:c r="C159" s="46" t="str">
        <x:v>identify stale or inconsistent projections.</x:v>
      </x:c>
      <x:c r="D159" s="46" t="str">
        <x:v>BR-H-010</x:v>
      </x:c>
      <x:c r="E159" s="46" t="str">
        <x:v>ADR-012 — Activity Ledger and Contribution Engine</x:v>
      </x:c>
      <x:c r="F159" s="46" t="str">
        <x:v>AC-H-016</x:v>
      </x:c>
      <x:c r="G159" s="46" t="str">
        <x:v>No</x:v>
      </x:c>
      <x:c r="H159" s="46" t="str">
        <x:v>V1</x:v>
      </x:c>
      <x:c r="I159" s="46" t="str">
        <x:v>Activity Ledger and Contribution History</x:v>
      </x:c>
      <x:c r="J159" s="46" t="str">
        <x:v>Domain test</x:v>
      </x:c>
      <x:c r="K159" s="46" t="str">
        <x:v>Complete</x:v>
      </x:c>
      <x:c r="L159" s="47"/>
    </x:row>
    <x:row r="160" ht="42" customHeight="1">
      <x:c r="A160" s="45" t="str">
        <x:v>FR-H-017</x:v>
      </x:c>
      <x:c r="B160" s="46" t="str">
        <x:v>H. Activity Ledger and Contribution History</x:v>
      </x:c>
      <x:c r="C160" s="46" t="str">
        <x:v>not post Scheduled Potential to the ledger.</x:v>
      </x:c>
      <x:c r="D160" s="46" t="str">
        <x:v>BR-H-004, BR-H-009, BR-H-010</x:v>
      </x:c>
      <x:c r="E160" s="46" t="str">
        <x:v>ADR-005 — Confirmed-Source Progress and Read-Only Actuals; ADR-012 — Activity Ledger and Contribution Engine</x:v>
      </x:c>
      <x:c r="F160" s="46" t="str">
        <x:v>AC-H-017</x:v>
      </x:c>
      <x:c r="G160" s="46" t="str">
        <x:v>Yes</x:v>
      </x:c>
      <x:c r="H160" s="46" t="str">
        <x:v>V1</x:v>
      </x:c>
      <x:c r="I160" s="46" t="str">
        <x:v>Activity Ledger and Contribution History</x:v>
      </x:c>
      <x:c r="J160" s="46" t="str">
        <x:v>Database test</x:v>
      </x:c>
      <x:c r="K160" s="46" t="str">
        <x:v>Complete</x:v>
      </x:c>
      <x:c r="L160" s="47"/>
    </x:row>
    <x:row r="161" ht="42" customHeight="1">
      <x:c r="A161" s="45" t="str">
        <x:v>FR-H-018</x:v>
      </x:c>
      <x:c r="B161" s="46" t="str">
        <x:v>H. Activity Ledger and Contribution History</x:v>
      </x:c>
      <x:c r="C161" s="46" t="str">
        <x:v>not classify contributions from titles.</x:v>
      </x:c>
      <x:c r="D161" s="46" t="str">
        <x:v>BR-H-010</x:v>
      </x:c>
      <x:c r="E161" s="46" t="str">
        <x:v>ADR-012 — Activity Ledger and Contribution Engine</x:v>
      </x:c>
      <x:c r="F161" s="46" t="str">
        <x:v>AC-H-018</x:v>
      </x:c>
      <x:c r="G161" s="46" t="str">
        <x:v>Yes</x:v>
      </x:c>
      <x:c r="H161" s="46" t="str">
        <x:v>V1</x:v>
      </x:c>
      <x:c r="I161" s="46" t="str">
        <x:v>Activity Ledger and Contribution History</x:v>
      </x:c>
      <x:c r="J161" s="46" t="str">
        <x:v>Domain test</x:v>
      </x:c>
      <x:c r="K161" s="46" t="str">
        <x:v>Complete</x:v>
      </x:c>
      <x:c r="L161" s="47"/>
    </x:row>
    <x:row r="162" ht="42" customHeight="1">
      <x:c r="A162" s="45" t="str">
        <x:v>FR-H-019</x:v>
      </x:c>
      <x:c r="B162" s="46" t="str">
        <x:v>H. Activity Ledger and Contribution History</x:v>
      </x:c>
      <x:c r="C162" s="46" t="str">
        <x:v>preserve ledger history when source planning records are archived.</x:v>
      </x:c>
      <x:c r="D162" s="46" t="str">
        <x:v>BR-H-001, BR-H-009, BR-H-010</x:v>
      </x:c>
      <x:c r="E162" s="46" t="str">
        <x:v>ADR-012 — Activity Ledger and Contribution Engine</x:v>
      </x:c>
      <x:c r="F162" s="46" t="str">
        <x:v>AC-H-019</x:v>
      </x:c>
      <x:c r="G162" s="46" t="str">
        <x:v>Yes</x:v>
      </x:c>
      <x:c r="H162" s="46" t="str">
        <x:v>V1</x:v>
      </x:c>
      <x:c r="I162" s="46" t="str">
        <x:v>Activity Ledger and Contribution History</x:v>
      </x:c>
      <x:c r="J162" s="46" t="str">
        <x:v>Database test</x:v>
      </x:c>
      <x:c r="K162" s="46" t="str">
        <x:v>Complete</x:v>
      </x:c>
      <x:c r="L162" s="47"/>
    </x:row>
    <x:row r="163" ht="42" customHeight="1">
      <x:c r="A163" s="45" t="str">
        <x:v>FR-H-020</x:v>
      </x:c>
      <x:c r="B163" s="46" t="str">
        <x:v>H. Activity Ledger and Contribution History</x:v>
      </x:c>
      <x:c r="C163" s="46" t="str">
        <x:v>Ledger operations shall function offline.</x:v>
      </x:c>
      <x:c r="D163" s="46" t="str">
        <x:v>BR-H-004, BR-H-009, BR-H-010</x:v>
      </x:c>
      <x:c r="E163" s="46" t="str">
        <x:v>ADR-012 — Activity Ledger and Contribution Engine; ADR-006 — Local-First Operation with Background Synchronization</x:v>
      </x:c>
      <x:c r="F163" s="46" t="str">
        <x:v>AC-H-020</x:v>
      </x:c>
      <x:c r="G163" s="46" t="str">
        <x:v>Yes</x:v>
      </x:c>
      <x:c r="H163" s="46" t="str">
        <x:v>V1</x:v>
      </x:c>
      <x:c r="I163" s="46" t="str">
        <x:v>Activity Ledger and Contribution History</x:v>
      </x:c>
      <x:c r="J163" s="46" t="str">
        <x:v>Database test</x:v>
      </x:c>
      <x:c r="K163" s="46" t="str">
        <x:v>Complete</x:v>
      </x:c>
      <x:c r="L163" s="47"/>
    </x:row>
    <x:row r="164" ht="42" customHeight="1">
      <x:c r="A164" s="45" t="str">
        <x:v>FR-I-001</x:v>
      </x:c>
      <x:c r="B164" s="46" t="str">
        <x:v>I. Weekly Planning</x:v>
      </x:c>
      <x:c r="C164" s="46" t="str">
        <x:v>support one effective Weekly Plan per profile and period.</x:v>
      </x:c>
      <x:c r="D164" s="46" t="str">
        <x:v>BR-I-001, BR-I-002, BR-I-010</x:v>
      </x:c>
      <x:c r="E164" s="46" t="str">
        <x:v>ADR-010 — Weekly Planning Lifecycle</x:v>
      </x:c>
      <x:c r="F164" s="46" t="str">
        <x:v>AC-I-001</x:v>
      </x:c>
      <x:c r="G164" s="46" t="str">
        <x:v>Yes</x:v>
      </x:c>
      <x:c r="H164" s="46" t="str">
        <x:v>V1</x:v>
      </x:c>
      <x:c r="I164" s="46" t="str">
        <x:v>Weekly Planning</x:v>
      </x:c>
      <x:c r="J164" s="46" t="str">
        <x:v>Domain test</x:v>
      </x:c>
      <x:c r="K164" s="46" t="str">
        <x:v>Complete</x:v>
      </x:c>
      <x:c r="L164" s="47" t="str">
        <x:v>OPD-2-010</x:v>
      </x:c>
    </x:row>
    <x:row r="165" ht="42" customHeight="1">
      <x:c r="A165" s="45" t="str">
        <x:v>FR-I-002</x:v>
      </x:c>
      <x:c r="B165" s="46" t="str">
        <x:v>I. Weekly Planning</x:v>
      </x:c>
      <x:c r="C165" s="46" t="str">
        <x:v>Weekly Plans shall display exact start and end dates.</x:v>
      </x:c>
      <x:c r="D165" s="46" t="str">
        <x:v>BR-I-001, BR-I-002, BR-I-010</x:v>
      </x:c>
      <x:c r="E165" s="46" t="str">
        <x:v>ADR-010 — Weekly Planning Lifecycle</x:v>
      </x:c>
      <x:c r="F165" s="46" t="str">
        <x:v>AC-I-002</x:v>
      </x:c>
      <x:c r="G165" s="46" t="str">
        <x:v>Yes</x:v>
      </x:c>
      <x:c r="H165" s="46" t="str">
        <x:v>V1</x:v>
      </x:c>
      <x:c r="I165" s="46" t="str">
        <x:v>Weekly Planning</x:v>
      </x:c>
      <x:c r="J165" s="46" t="str">
        <x:v>Widget test</x:v>
      </x:c>
      <x:c r="K165" s="46" t="str">
        <x:v>Complete</x:v>
      </x:c>
      <x:c r="L165" s="47" t="str">
        <x:v>OPD-2-010</x:v>
      </x:c>
    </x:row>
    <x:row r="166" ht="42" customHeight="1">
      <x:c r="A166" s="45" t="str">
        <x:v>FR-I-003</x:v>
      </x:c>
      <x:c r="B166" s="46" t="str">
        <x:v>I. Weekly Planning</x:v>
      </x:c>
      <x:c r="C166" s="46" t="str">
        <x:v>be able to create a Weekly Plan offline.</x:v>
      </x:c>
      <x:c r="D166" s="46" t="str">
        <x:v>BR-I-001, BR-I-002, BR-I-010</x:v>
      </x:c>
      <x:c r="E166" s="46" t="str">
        <x:v>ADR-010 — Weekly Planning Lifecycle; ADR-006 — Local-First Operation with Background Synchronization</x:v>
      </x:c>
      <x:c r="F166" s="46" t="str">
        <x:v>AC-I-003</x:v>
      </x:c>
      <x:c r="G166" s="46" t="str">
        <x:v>Yes</x:v>
      </x:c>
      <x:c r="H166" s="46" t="str">
        <x:v>V1</x:v>
      </x:c>
      <x:c r="I166" s="46" t="str">
        <x:v>Weekly Planning</x:v>
      </x:c>
      <x:c r="J166" s="46" t="str">
        <x:v>Widget test</x:v>
      </x:c>
      <x:c r="K166" s="46" t="str">
        <x:v>Complete</x:v>
      </x:c>
      <x:c r="L166" s="47"/>
    </x:row>
    <x:row r="167" ht="42" customHeight="1">
      <x:c r="A167" s="45" t="str">
        <x:v>FR-I-004</x:v>
      </x:c>
      <x:c r="B167" s="46" t="str">
        <x:v>I. Weekly Planning</x:v>
      </x:c>
      <x:c r="C167" s="46" t="str">
        <x:v>be able to set Weekly Targets.</x:v>
      </x:c>
      <x:c r="D167" s="46" t="str">
        <x:v>BR-I-001, BR-I-002, BR-I-010</x:v>
      </x:c>
      <x:c r="E167" s="46" t="str">
        <x:v>ADR-010 — Weekly Planning Lifecycle</x:v>
      </x:c>
      <x:c r="F167" s="46" t="str">
        <x:v>AC-I-004</x:v>
      </x:c>
      <x:c r="G167" s="46" t="str">
        <x:v>Yes</x:v>
      </x:c>
      <x:c r="H167" s="46" t="str">
        <x:v>V1</x:v>
      </x:c>
      <x:c r="I167" s="46" t="str">
        <x:v>Weekly Planning</x:v>
      </x:c>
      <x:c r="J167" s="46" t="str">
        <x:v>Domain test / Widget test</x:v>
      </x:c>
      <x:c r="K167" s="46" t="str">
        <x:v>Complete</x:v>
      </x:c>
      <x:c r="L167" s="47" t="str">
        <x:v>OPD-1-005</x:v>
      </x:c>
    </x:row>
    <x:row r="168" ht="42" customHeight="1">
      <x:c r="A168" s="45" t="str">
        <x:v>FR-I-005</x:v>
      </x:c>
      <x:c r="B168" s="46" t="str">
        <x:v>I. Weekly Planning</x:v>
      </x:c>
      <x:c r="C168" s="46" t="str">
        <x:v>distinguish zero from Not set.</x:v>
      </x:c>
      <x:c r="D168" s="46" t="str">
        <x:v>BR-I-002, BR-I-003</x:v>
      </x:c>
      <x:c r="E168" s="46" t="str">
        <x:v>ADR-010 — Weekly Planning Lifecycle</x:v>
      </x:c>
      <x:c r="F168" s="46" t="str">
        <x:v>AC-I-005</x:v>
      </x:c>
      <x:c r="G168" s="46" t="str">
        <x:v>Yes</x:v>
      </x:c>
      <x:c r="H168" s="46" t="str">
        <x:v>V1</x:v>
      </x:c>
      <x:c r="I168" s="46" t="str">
        <x:v>Weekly Planning</x:v>
      </x:c>
      <x:c r="J168" s="46" t="str">
        <x:v>Domain test</x:v>
      </x:c>
      <x:c r="K168" s="46" t="str">
        <x:v>Complete</x:v>
      </x:c>
      <x:c r="L168" s="47"/>
    </x:row>
    <x:row r="169" ht="42" customHeight="1">
      <x:c r="A169" s="45" t="str">
        <x:v>FR-I-006</x:v>
      </x:c>
      <x:c r="B169" s="46" t="str">
        <x:v>I. Weekly Planning</x:v>
      </x:c>
      <x:c r="C169" s="46" t="str">
        <x:v>preserve target revisions.</x:v>
      </x:c>
      <x:c r="D169" s="46" t="str">
        <x:v>BR-I-004</x:v>
      </x:c>
      <x:c r="E169" s="46" t="str">
        <x:v>ADR-010 — Weekly Planning Lifecycle</x:v>
      </x:c>
      <x:c r="F169" s="46" t="str">
        <x:v>AC-I-006</x:v>
      </x:c>
      <x:c r="G169" s="46" t="str">
        <x:v>Yes</x:v>
      </x:c>
      <x:c r="H169" s="46" t="str">
        <x:v>V1</x:v>
      </x:c>
      <x:c r="I169" s="46" t="str">
        <x:v>Weekly Planning</x:v>
      </x:c>
      <x:c r="J169" s="46" t="str">
        <x:v>Domain test</x:v>
      </x:c>
      <x:c r="K169" s="46" t="str">
        <x:v>Complete</x:v>
      </x:c>
      <x:c r="L169" s="47"/>
    </x:row>
    <x:row r="170" ht="42" customHeight="1">
      <x:c r="A170" s="45" t="str">
        <x:v>FR-I-007</x:v>
      </x:c>
      <x:c r="B170" s="46" t="str">
        <x:v>I. Weekly Planning</x:v>
      </x:c>
      <x:c r="C170" s="46" t="str">
        <x:v>display Actual separately from Target and Scheduled Potential.</x:v>
      </x:c>
      <x:c r="D170" s="46" t="str">
        <x:v>BR-I-002, BR-I-005, BR-I-007</x:v>
      </x:c>
      <x:c r="E170" s="46" t="str">
        <x:v>ADR-005 — Confirmed-Source Progress and Read-Only Actuals; ADR-010 — Weekly Planning Lifecycle</x:v>
      </x:c>
      <x:c r="F170" s="46" t="str">
        <x:v>AC-I-007</x:v>
      </x:c>
      <x:c r="G170" s="46" t="str">
        <x:v>Yes</x:v>
      </x:c>
      <x:c r="H170" s="46" t="str">
        <x:v>V1</x:v>
      </x:c>
      <x:c r="I170" s="46" t="str">
        <x:v>Weekly Planning</x:v>
      </x:c>
      <x:c r="J170" s="46" t="str">
        <x:v>Domain test / Widget test</x:v>
      </x:c>
      <x:c r="K170" s="46" t="str">
        <x:v>Complete</x:v>
      </x:c>
      <x:c r="L170" s="47" t="str">
        <x:v>OPD-2-012</x:v>
      </x:c>
    </x:row>
    <x:row r="171" ht="42" customHeight="1">
      <x:c r="A171" s="45" t="str">
        <x:v>FR-I-008</x:v>
      </x:c>
      <x:c r="B171" s="46" t="str">
        <x:v>I. Weekly Planning</x:v>
      </x:c>
      <x:c r="C171" s="46" t="str">
        <x:v>be able to add or select Tasks.</x:v>
      </x:c>
      <x:c r="D171" s="46" t="str">
        <x:v>BR-I-001</x:v>
      </x:c>
      <x:c r="E171" s="46" t="str">
        <x:v>ADR-010 — Weekly Planning Lifecycle</x:v>
      </x:c>
      <x:c r="F171" s="46" t="str">
        <x:v>AC-I-008</x:v>
      </x:c>
      <x:c r="G171" s="46" t="str">
        <x:v>Yes</x:v>
      </x:c>
      <x:c r="H171" s="46" t="str">
        <x:v>V1</x:v>
      </x:c>
      <x:c r="I171" s="46" t="str">
        <x:v>Weekly Planning</x:v>
      </x:c>
      <x:c r="J171" s="46" t="str">
        <x:v>Widget test</x:v>
      </x:c>
      <x:c r="K171" s="46" t="str">
        <x:v>Complete</x:v>
      </x:c>
      <x:c r="L171" s="47"/>
    </x:row>
    <x:row r="172" ht="42" customHeight="1">
      <x:c r="A172" s="45" t="str">
        <x:v>FR-I-009</x:v>
      </x:c>
      <x:c r="B172" s="46" t="str">
        <x:v>I. Weekly Planning</x:v>
      </x:c>
      <x:c r="C172" s="46" t="str">
        <x:v>be able to create or link Calendar Events.</x:v>
      </x:c>
      <x:c r="D172" s="46" t="str">
        <x:v>BR-I-009</x:v>
      </x:c>
      <x:c r="E172" s="46" t="str">
        <x:v>ADR-009 — Domain Ownership and Relationship Model; ADR-010 — Weekly Planning Lifecycle</x:v>
      </x:c>
      <x:c r="F172" s="46" t="str">
        <x:v>AC-I-009</x:v>
      </x:c>
      <x:c r="G172" s="46" t="str">
        <x:v>No</x:v>
      </x:c>
      <x:c r="H172" s="46" t="str">
        <x:v>V1</x:v>
      </x:c>
      <x:c r="I172" s="46" t="str">
        <x:v>Weekly Planning</x:v>
      </x:c>
      <x:c r="J172" s="46" t="str">
        <x:v>Widget test / Integration test</x:v>
      </x:c>
      <x:c r="K172" s="46" t="str">
        <x:v>Complete</x:v>
      </x:c>
      <x:c r="L172" s="47"/>
    </x:row>
    <x:row r="173" ht="42" customHeight="1">
      <x:c r="A173" s="45" t="str">
        <x:v>FR-I-010</x:v>
      </x:c>
      <x:c r="B173" s="46" t="str">
        <x:v>I. Weekly Planning</x:v>
      </x:c>
      <x:c r="C173" s="46" t="str">
        <x:v>provide Review Due attention after period end.</x:v>
      </x:c>
      <x:c r="D173" s="46" t="str">
        <x:v>BR-I-001, BR-I-006, BR-I-007</x:v>
      </x:c>
      <x:c r="E173" s="46" t="str">
        <x:v>ADR-010 — Weekly Planning Lifecycle</x:v>
      </x:c>
      <x:c r="F173" s="46" t="str">
        <x:v>AC-I-010</x:v>
      </x:c>
      <x:c r="G173" s="46" t="str">
        <x:v>No</x:v>
      </x:c>
      <x:c r="H173" s="46" t="str">
        <x:v>V1</x:v>
      </x:c>
      <x:c r="I173" s="46" t="str">
        <x:v>Weekly Planning</x:v>
      </x:c>
      <x:c r="J173" s="46" t="str">
        <x:v>Domain test</x:v>
      </x:c>
      <x:c r="K173" s="46" t="str">
        <x:v>Complete</x:v>
      </x:c>
      <x:c r="L173" s="47"/>
    </x:row>
    <x:row r="174" ht="42" customHeight="1">
      <x:c r="A174" s="45" t="str">
        <x:v>FR-I-011</x:v>
      </x:c>
      <x:c r="B174" s="46" t="str">
        <x:v>I. Weekly Planning</x:v>
      </x:c>
      <x:c r="C174" s="46" t="str">
        <x:v>Weekly Review shall display outcomes and outstanding reports.</x:v>
      </x:c>
      <x:c r="D174" s="46" t="str">
        <x:v>BR-I-006, BR-I-007, BR-I-010</x:v>
      </x:c>
      <x:c r="E174" s="46" t="str">
        <x:v>ADR-011 — Event and Task Outcome Reporting; ADR-010 — Weekly Planning Lifecycle</x:v>
      </x:c>
      <x:c r="F174" s="46" t="str">
        <x:v>AC-I-011</x:v>
      </x:c>
      <x:c r="G174" s="46" t="str">
        <x:v>No</x:v>
      </x:c>
      <x:c r="H174" s="46" t="str">
        <x:v>V1</x:v>
      </x:c>
      <x:c r="I174" s="46" t="str">
        <x:v>Weekly Planning</x:v>
      </x:c>
      <x:c r="J174" s="46" t="str">
        <x:v>Domain test / Widget test</x:v>
      </x:c>
      <x:c r="K174" s="46" t="str">
        <x:v>Complete</x:v>
      </x:c>
      <x:c r="L174" s="47" t="str">
        <x:v>OPD-2-011</x:v>
      </x:c>
    </x:row>
    <x:row r="175" ht="42" customHeight="1">
      <x:c r="A175" s="45" t="str">
        <x:v>FR-I-012</x:v>
      </x:c>
      <x:c r="B175" s="46" t="str">
        <x:v>I. Weekly Planning</x:v>
      </x:c>
      <x:c r="C175" s="46" t="str">
        <x:v>Weekly Review shall provide contribution-history access.</x:v>
      </x:c>
      <x:c r="D175" s="46" t="str">
        <x:v>BR-I-006, BR-I-007, BR-I-010</x:v>
      </x:c>
      <x:c r="E175" s="46" t="str">
        <x:v>ADR-012 — Activity Ledger and Contribution Engine; ADR-010 — Weekly Planning Lifecycle</x:v>
      </x:c>
      <x:c r="F175" s="46" t="str">
        <x:v>AC-I-012</x:v>
      </x:c>
      <x:c r="G175" s="46" t="str">
        <x:v>No</x:v>
      </x:c>
      <x:c r="H175" s="46" t="str">
        <x:v>V1</x:v>
      </x:c>
      <x:c r="I175" s="46" t="str">
        <x:v>Weekly Planning</x:v>
      </x:c>
      <x:c r="J175" s="46" t="str">
        <x:v>Domain test</x:v>
      </x:c>
      <x:c r="K175" s="46" t="str">
        <x:v>Complete</x:v>
      </x:c>
      <x:c r="L175" s="47"/>
    </x:row>
    <x:row r="176" ht="42" customHeight="1">
      <x:c r="A176" s="45" t="str">
        <x:v>FR-I-013</x:v>
      </x:c>
      <x:c r="B176" s="46" t="str">
        <x:v>I. Weekly Planning</x:v>
      </x:c>
      <x:c r="C176" s="46" t="str">
        <x:v>be able to record an optional private reflection.</x:v>
      </x:c>
      <x:c r="D176" s="46" t="str">
        <x:v>BR-I-001</x:v>
      </x:c>
      <x:c r="E176" s="46" t="str">
        <x:v>ADR-010 — Weekly Planning Lifecycle</x:v>
      </x:c>
      <x:c r="F176" s="46" t="str">
        <x:v>AC-I-013</x:v>
      </x:c>
      <x:c r="G176" s="46" t="str">
        <x:v>Yes</x:v>
      </x:c>
      <x:c r="H176" s="46" t="str">
        <x:v>V1</x:v>
      </x:c>
      <x:c r="I176" s="46" t="str">
        <x:v>Weekly Planning</x:v>
      </x:c>
      <x:c r="J176" s="46" t="str">
        <x:v>Widget test</x:v>
      </x:c>
      <x:c r="K176" s="46" t="str">
        <x:v>Complete</x:v>
      </x:c>
      <x:c r="L176" s="47"/>
    </x:row>
    <x:row r="177" ht="42" customHeight="1">
      <x:c r="A177" s="45" t="str">
        <x:v>FR-I-014</x:v>
      </x:c>
      <x:c r="B177" s="46" t="str">
        <x:v>I. Weekly Planning</x:v>
      </x:c>
      <x:c r="C177" s="46" t="str">
        <x:v>be able to complete a Weekly Review.</x:v>
      </x:c>
      <x:c r="D177" s="46" t="str">
        <x:v>BR-I-006, BR-I-007, BR-I-010</x:v>
      </x:c>
      <x:c r="E177" s="46" t="str">
        <x:v>ADR-010 — Weekly Planning Lifecycle</x:v>
      </x:c>
      <x:c r="F177" s="46" t="str">
        <x:v>AC-I-014</x:v>
      </x:c>
      <x:c r="G177" s="46" t="str">
        <x:v>No</x:v>
      </x:c>
      <x:c r="H177" s="46" t="str">
        <x:v>V1</x:v>
      </x:c>
      <x:c r="I177" s="46" t="str">
        <x:v>Weekly Planning</x:v>
      </x:c>
      <x:c r="J177" s="46" t="str">
        <x:v>Widget test</x:v>
      </x:c>
      <x:c r="K177" s="46" t="str">
        <x:v>Complete</x:v>
      </x:c>
      <x:c r="L177" s="47"/>
    </x:row>
    <x:row r="178" ht="42" customHeight="1">
      <x:c r="A178" s="45" t="str">
        <x:v>FR-I-015</x:v>
      </x:c>
      <x:c r="B178" s="46" t="str">
        <x:v>I. Weekly Planning</x:v>
      </x:c>
      <x:c r="C178" s="46" t="str">
        <x:v>record post-review factual changes.</x:v>
      </x:c>
      <x:c r="D178" s="46" t="str">
        <x:v>BR-I-006, BR-I-007</x:v>
      </x:c>
      <x:c r="E178" s="46" t="str">
        <x:v>ADR-005 — Confirmed-Source Progress and Read-Only Actuals; ADR-010 — Weekly Planning Lifecycle</x:v>
      </x:c>
      <x:c r="F178" s="46" t="str">
        <x:v>AC-I-015</x:v>
      </x:c>
      <x:c r="G178" s="46" t="str">
        <x:v>Yes</x:v>
      </x:c>
      <x:c r="H178" s="46" t="str">
        <x:v>V1</x:v>
      </x:c>
      <x:c r="I178" s="46" t="str">
        <x:v>Weekly Planning</x:v>
      </x:c>
      <x:c r="J178" s="46" t="str">
        <x:v>Domain test</x:v>
      </x:c>
      <x:c r="K178" s="46" t="str">
        <x:v>Complete</x:v>
      </x:c>
      <x:c r="L178" s="47"/>
    </x:row>
    <x:row r="179" ht="42" customHeight="1">
      <x:c r="A179" s="45" t="str">
        <x:v>FR-I-016</x:v>
      </x:c>
      <x:c r="B179" s="46" t="str">
        <x:v>I. Weekly Planning</x:v>
      </x:c>
      <x:c r="C179" s="46" t="str">
        <x:v>be able to start the next Weekly Plan.</x:v>
      </x:c>
      <x:c r="D179" s="46" t="str">
        <x:v>BR-I-001, BR-I-002, BR-I-010</x:v>
      </x:c>
      <x:c r="E179" s="46" t="str">
        <x:v>ADR-010 — Weekly Planning Lifecycle</x:v>
      </x:c>
      <x:c r="F179" s="46" t="str">
        <x:v>AC-I-016</x:v>
      </x:c>
      <x:c r="G179" s="46" t="str">
        <x:v>No</x:v>
      </x:c>
      <x:c r="H179" s="46" t="str">
        <x:v>V1</x:v>
      </x:c>
      <x:c r="I179" s="46" t="str">
        <x:v>Weekly Planning</x:v>
      </x:c>
      <x:c r="J179" s="46" t="str">
        <x:v>Widget test</x:v>
      </x:c>
      <x:c r="K179" s="46" t="str">
        <x:v>Complete</x:v>
      </x:c>
      <x:c r="L179" s="47"/>
    </x:row>
    <x:row r="180" ht="42" customHeight="1">
      <x:c r="A180" s="45" t="str">
        <x:v>FR-I-017</x:v>
      </x:c>
      <x:c r="B180" s="46" t="str">
        <x:v>I. Weekly Planning</x:v>
      </x:c>
      <x:c r="C180" s="46" t="str">
        <x:v>explicitly decide Task carryover.</x:v>
      </x:c>
      <x:c r="D180" s="46" t="str">
        <x:v>BR-I-008</x:v>
      </x:c>
      <x:c r="E180" s="46" t="str">
        <x:v>ADR-010 — Weekly Planning Lifecycle</x:v>
      </x:c>
      <x:c r="F180" s="46" t="str">
        <x:v>AC-I-017</x:v>
      </x:c>
      <x:c r="G180" s="46" t="str">
        <x:v>No</x:v>
      </x:c>
      <x:c r="H180" s="46" t="str">
        <x:v>V1</x:v>
      </x:c>
      <x:c r="I180" s="46" t="str">
        <x:v>Weekly Planning</x:v>
      </x:c>
      <x:c r="J180" s="46" t="str">
        <x:v>Domain test</x:v>
      </x:c>
      <x:c r="K180" s="46" t="str">
        <x:v>Complete</x:v>
      </x:c>
      <x:c r="L180" s="47"/>
    </x:row>
    <x:row r="181" ht="42" customHeight="1">
      <x:c r="A181" s="45" t="str">
        <x:v>FR-I-018</x:v>
      </x:c>
      <x:c r="B181" s="46" t="str">
        <x:v>I. Weekly Planning</x:v>
      </x:c>
      <x:c r="C181" s="46" t="str">
        <x:v>Calendar Events shall not carry over automatically.</x:v>
      </x:c>
      <x:c r="D181" s="46" t="str">
        <x:v>BR-I-009</x:v>
      </x:c>
      <x:c r="E181" s="46" t="str">
        <x:v>ADR-010 — Weekly Planning Lifecycle</x:v>
      </x:c>
      <x:c r="F181" s="46" t="str">
        <x:v>AC-I-018</x:v>
      </x:c>
      <x:c r="G181" s="46" t="str">
        <x:v>Yes</x:v>
      </x:c>
      <x:c r="H181" s="46" t="str">
        <x:v>V1</x:v>
      </x:c>
      <x:c r="I181" s="46" t="str">
        <x:v>Weekly Planning</x:v>
      </x:c>
      <x:c r="J181" s="46" t="str">
        <x:v>Integration test</x:v>
      </x:c>
      <x:c r="K181" s="46" t="str">
        <x:v>Complete</x:v>
      </x:c>
      <x:c r="L181" s="47"/>
    </x:row>
    <x:row r="182" ht="42" customHeight="1">
      <x:c r="A182" s="45" t="str">
        <x:v>FR-I-019</x:v>
      </x:c>
      <x:c r="B182" s="46" t="str">
        <x:v>I. Weekly Planning</x:v>
      </x:c>
      <x:c r="C182" s="46" t="str">
        <x:v>Prior plans shall remain accessible.</x:v>
      </x:c>
      <x:c r="D182" s="46" t="str">
        <x:v>BR-I-004, BR-I-005, BR-I-010</x:v>
      </x:c>
      <x:c r="E182" s="46" t="str">
        <x:v>ADR-010 — Weekly Planning Lifecycle</x:v>
      </x:c>
      <x:c r="F182" s="46" t="str">
        <x:v>AC-I-019</x:v>
      </x:c>
      <x:c r="G182" s="46" t="str">
        <x:v>No</x:v>
      </x:c>
      <x:c r="H182" s="46" t="str">
        <x:v>V1</x:v>
      </x:c>
      <x:c r="I182" s="46" t="str">
        <x:v>Weekly Planning</x:v>
      </x:c>
      <x:c r="J182" s="46" t="str">
        <x:v>Domain test</x:v>
      </x:c>
      <x:c r="K182" s="46" t="str">
        <x:v>Complete</x:v>
      </x:c>
      <x:c r="L182" s="47"/>
    </x:row>
    <x:row r="183" ht="42" customHeight="1">
      <x:c r="A183" s="45" t="str">
        <x:v>FR-I-020</x:v>
      </x:c>
      <x:c r="B183" s="46" t="str">
        <x:v>I. Weekly Planning</x:v>
      </x:c>
      <x:c r="C183" s="46" t="str">
        <x:v>Weekly Plan workflows shall function offline.</x:v>
      </x:c>
      <x:c r="D183" s="46" t="str">
        <x:v>BR-I-001, BR-I-002, BR-I-010</x:v>
      </x:c>
      <x:c r="E183" s="46" t="str">
        <x:v>ADR-010 — Weekly Planning Lifecycle; ADR-006 — Local-First Operation with Background Synchronization</x:v>
      </x:c>
      <x:c r="F183" s="46" t="str">
        <x:v>AC-I-020</x:v>
      </x:c>
      <x:c r="G183" s="46" t="str">
        <x:v>Yes</x:v>
      </x:c>
      <x:c r="H183" s="46" t="str">
        <x:v>V1</x:v>
      </x:c>
      <x:c r="I183" s="46" t="str">
        <x:v>Weekly Planning</x:v>
      </x:c>
      <x:c r="J183" s="46" t="str">
        <x:v>Domain test</x:v>
      </x:c>
      <x:c r="K183" s="46" t="str">
        <x:v>Complete</x:v>
      </x:c>
      <x:c r="L183" s="47"/>
    </x:row>
    <x:row r="184" ht="42" customHeight="1">
      <x:c r="A184" s="45" t="str">
        <x:v>FR-J-001</x:v>
      </x:c>
      <x:c r="B184" s="46" t="str">
        <x:v>J. Pathways, Goals, and Milestones</x:v>
      </x:c>
      <x:c r="C184" s="46" t="str">
        <x:v>be able to activate a Pathway.</x:v>
      </x:c>
      <x:c r="D184" s="46" t="str">
        <x:v>BR-J-001</x:v>
      </x:c>
      <x:c r="E184" s="46" t="str">
        <x:v>ADR-009 — Domain Ownership and Relationship Model</x:v>
      </x:c>
      <x:c r="F184" s="46" t="str">
        <x:v>AC-J-001</x:v>
      </x:c>
      <x:c r="G184" s="46" t="str">
        <x:v>Yes</x:v>
      </x:c>
      <x:c r="H184" s="46" t="str">
        <x:v>V1</x:v>
      </x:c>
      <x:c r="I184" s="46" t="str">
        <x:v>Pathways, Goals, and Milestones</x:v>
      </x:c>
      <x:c r="J184" s="46" t="str">
        <x:v>Widget test</x:v>
      </x:c>
      <x:c r="K184" s="46" t="str">
        <x:v>Complete</x:v>
      </x:c>
      <x:c r="L184" s="47"/>
    </x:row>
    <x:row r="185" ht="42" customHeight="1">
      <x:c r="A185" s="45" t="str">
        <x:v>FR-J-002</x:v>
      </x:c>
      <x:c r="B185" s="46" t="str">
        <x:v>J. Pathways, Goals, and Milestones</x:v>
      </x:c>
      <x:c r="C185" s="46" t="str">
        <x:v>be able to view bundled Pathway content offline.</x:v>
      </x:c>
      <x:c r="D185" s="46" t="str">
        <x:v>BR-J-001, BR-J-008</x:v>
      </x:c>
      <x:c r="E185" s="46" t="str">
        <x:v>ADR-009 — Domain Ownership and Relationship Model; ADR-006 — Local-First Operation with Background Synchronization</x:v>
      </x:c>
      <x:c r="F185" s="46" t="str">
        <x:v>AC-J-002</x:v>
      </x:c>
      <x:c r="G185" s="46" t="str">
        <x:v>Yes</x:v>
      </x:c>
      <x:c r="H185" s="46" t="str">
        <x:v>V1</x:v>
      </x:c>
      <x:c r="I185" s="46" t="str">
        <x:v>Pathways, Goals, and Milestones</x:v>
      </x:c>
      <x:c r="J185" s="46" t="str">
        <x:v>Widget test</x:v>
      </x:c>
      <x:c r="K185" s="46" t="str">
        <x:v>Complete</x:v>
      </x:c>
      <x:c r="L185" s="47"/>
    </x:row>
    <x:row r="186" ht="42" customHeight="1">
      <x:c r="A186" s="45" t="str">
        <x:v>FR-J-003</x:v>
      </x:c>
      <x:c r="B186" s="46" t="str">
        <x:v>J. Pathways, Goals, and Milestones</x:v>
      </x:c>
      <x:c r="C186" s="46" t="str">
        <x:v>be able to create and edit Goals where permitted.</x:v>
      </x:c>
      <x:c r="D186" s="46" t="str">
        <x:v>BR-J-001</x:v>
      </x:c>
      <x:c r="E186" s="46" t="str">
        <x:v>ADR-009 — Domain Ownership and Relationship Model</x:v>
      </x:c>
      <x:c r="F186" s="46" t="str">
        <x:v>AC-J-003</x:v>
      </x:c>
      <x:c r="G186" s="46" t="str">
        <x:v>Yes</x:v>
      </x:c>
      <x:c r="H186" s="46" t="str">
        <x:v>V1</x:v>
      </x:c>
      <x:c r="I186" s="46" t="str">
        <x:v>Pathways, Goals, and Milestones</x:v>
      </x:c>
      <x:c r="J186" s="46" t="str">
        <x:v>Widget test</x:v>
      </x:c>
      <x:c r="K186" s="46" t="str">
        <x:v>Complete</x:v>
      </x:c>
      <x:c r="L186" s="47"/>
    </x:row>
    <x:row r="187" ht="42" customHeight="1">
      <x:c r="A187" s="45" t="str">
        <x:v>FR-J-004</x:v>
      </x:c>
      <x:c r="B187" s="46" t="str">
        <x:v>J. Pathways, Goals, and Milestones</x:v>
      </x:c>
      <x:c r="C187" s="46" t="str">
        <x:v>be able to create and edit Milestones where permitted.</x:v>
      </x:c>
      <x:c r="D187" s="46" t="str">
        <x:v>BR-J-001</x:v>
      </x:c>
      <x:c r="E187" s="46" t="str">
        <x:v>ADR-009 — Domain Ownership and Relationship Model</x:v>
      </x:c>
      <x:c r="F187" s="46" t="str">
        <x:v>AC-J-004</x:v>
      </x:c>
      <x:c r="G187" s="46" t="str">
        <x:v>Yes</x:v>
      </x:c>
      <x:c r="H187" s="46" t="str">
        <x:v>V1</x:v>
      </x:c>
      <x:c r="I187" s="46" t="str">
        <x:v>Pathways, Goals, and Milestones</x:v>
      </x:c>
      <x:c r="J187" s="46" t="str">
        <x:v>Widget test</x:v>
      </x:c>
      <x:c r="K187" s="46" t="str">
        <x:v>Complete</x:v>
      </x:c>
      <x:c r="L187" s="47"/>
    </x:row>
    <x:row r="188" ht="42" customHeight="1">
      <x:c r="A188" s="45" t="str">
        <x:v>FR-J-005</x:v>
      </x:c>
      <x:c r="B188" s="46" t="str">
        <x:v>J. Pathways, Goals, and Milestones</x:v>
      </x:c>
      <x:c r="C188" s="46" t="str">
        <x:v>Pathways, Goals, and Milestones shall retain separate identities.</x:v>
      </x:c>
      <x:c r="D188" s="46" t="str">
        <x:v>BR-J-001</x:v>
      </x:c>
      <x:c r="E188" s="46" t="str">
        <x:v>ADR-009 — Domain Ownership and Relationship Model</x:v>
      </x:c>
      <x:c r="F188" s="46" t="str">
        <x:v>AC-J-005</x:v>
      </x:c>
      <x:c r="G188" s="46" t="str">
        <x:v>Yes</x:v>
      </x:c>
      <x:c r="H188" s="46" t="str">
        <x:v>V1</x:v>
      </x:c>
      <x:c r="I188" s="46" t="str">
        <x:v>Pathways, Goals, and Milestones</x:v>
      </x:c>
      <x:c r="J188" s="46" t="str">
        <x:v>Domain test</x:v>
      </x:c>
      <x:c r="K188" s="46" t="str">
        <x:v>Complete</x:v>
      </x:c>
      <x:c r="L188" s="47" t="str">
        <x:v>OPD-2-013</x:v>
      </x:c>
    </x:row>
    <x:row r="189" ht="42" customHeight="1">
      <x:c r="A189" s="45" t="str">
        <x:v>FR-J-006</x:v>
      </x:c>
      <x:c r="B189" s="46" t="str">
        <x:v>J. Pathways, Goals, and Milestones</x:v>
      </x:c>
      <x:c r="C189" s="46" t="str">
        <x:v>be able to reorder Goals and Milestones.</x:v>
      </x:c>
      <x:c r="D189" s="46" t="str">
        <x:v>BR-J-001</x:v>
      </x:c>
      <x:c r="E189" s="46" t="str">
        <x:v>ADR-009 — Domain Ownership and Relationship Model</x:v>
      </x:c>
      <x:c r="F189" s="46" t="str">
        <x:v>AC-J-006</x:v>
      </x:c>
      <x:c r="G189" s="46" t="str">
        <x:v>Yes</x:v>
      </x:c>
      <x:c r="H189" s="46" t="str">
        <x:v>V1</x:v>
      </x:c>
      <x:c r="I189" s="46" t="str">
        <x:v>Pathways, Goals, and Milestones</x:v>
      </x:c>
      <x:c r="J189" s="46" t="str">
        <x:v>Widget test</x:v>
      </x:c>
      <x:c r="K189" s="46" t="str">
        <x:v>Complete</x:v>
      </x:c>
      <x:c r="L189" s="47" t="str">
        <x:v>OPD-2-013</x:v>
      </x:c>
    </x:row>
    <x:row r="190" ht="42" customHeight="1">
      <x:c r="A190" s="45" t="str">
        <x:v>FR-J-007</x:v>
      </x:c>
      <x:c r="B190" s="46" t="str">
        <x:v>J. Pathways, Goals, and Milestones</x:v>
      </x:c>
      <x:c r="C190" s="46" t="str">
        <x:v>be able to pause supported records.</x:v>
      </x:c>
      <x:c r="D190" s="46" t="str">
        <x:v>BR-J-001, BR-J-005</x:v>
      </x:c>
      <x:c r="E190" s="46" t="str">
        <x:v>ADR-009 — Domain Ownership and Relationship Model</x:v>
      </x:c>
      <x:c r="F190" s="46" t="str">
        <x:v>AC-J-007</x:v>
      </x:c>
      <x:c r="G190" s="46" t="str">
        <x:v>Yes</x:v>
      </x:c>
      <x:c r="H190" s="46" t="str">
        <x:v>V1</x:v>
      </x:c>
      <x:c r="I190" s="46" t="str">
        <x:v>Pathways, Goals, and Milestones</x:v>
      </x:c>
      <x:c r="J190" s="46" t="str">
        <x:v>Widget test</x:v>
      </x:c>
      <x:c r="K190" s="46" t="str">
        <x:v>Complete</x:v>
      </x:c>
      <x:c r="L190" s="47" t="str">
        <x:v>OPD-2-014</x:v>
      </x:c>
    </x:row>
    <x:row r="191" ht="42" customHeight="1">
      <x:c r="A191" s="45" t="str">
        <x:v>FR-J-008</x:v>
      </x:c>
      <x:c r="B191" s="46" t="str">
        <x:v>J. Pathways, Goals, and Milestones</x:v>
      </x:c>
      <x:c r="C191" s="46" t="str">
        <x:v>be able to complete supported records.</x:v>
      </x:c>
      <x:c r="D191" s="46" t="str">
        <x:v>BR-J-001, BR-J-005</x:v>
      </x:c>
      <x:c r="E191" s="46" t="str">
        <x:v>ADR-009 — Domain Ownership and Relationship Model</x:v>
      </x:c>
      <x:c r="F191" s="46" t="str">
        <x:v>AC-J-008</x:v>
      </x:c>
      <x:c r="G191" s="46" t="str">
        <x:v>Yes</x:v>
      </x:c>
      <x:c r="H191" s="46" t="str">
        <x:v>V1</x:v>
      </x:c>
      <x:c r="I191" s="46" t="str">
        <x:v>Pathways, Goals, and Milestones</x:v>
      </x:c>
      <x:c r="J191" s="46" t="str">
        <x:v>Widget test</x:v>
      </x:c>
      <x:c r="K191" s="46" t="str">
        <x:v>Complete</x:v>
      </x:c>
      <x:c r="L191" s="47" t="str">
        <x:v>OPD-2-014</x:v>
      </x:c>
    </x:row>
    <x:row r="192" ht="42" customHeight="1">
      <x:c r="A192" s="45" t="str">
        <x:v>FR-J-009</x:v>
      </x:c>
      <x:c r="B192" s="46" t="str">
        <x:v>J. Pathways, Goals, and Milestones</x:v>
      </x:c>
      <x:c r="C192" s="46" t="str">
        <x:v>be able to reopen completed records.</x:v>
      </x:c>
      <x:c r="D192" s="46" t="str">
        <x:v>BR-J-001, BR-J-005</x:v>
      </x:c>
      <x:c r="E192" s="46" t="str">
        <x:v>ADR-009 — Domain Ownership and Relationship Model</x:v>
      </x:c>
      <x:c r="F192" s="46" t="str">
        <x:v>AC-J-009</x:v>
      </x:c>
      <x:c r="G192" s="46" t="str">
        <x:v>No</x:v>
      </x:c>
      <x:c r="H192" s="46" t="str">
        <x:v>V1</x:v>
      </x:c>
      <x:c r="I192" s="46" t="str">
        <x:v>Pathways, Goals, and Milestones</x:v>
      </x:c>
      <x:c r="J192" s="46" t="str">
        <x:v>Widget test</x:v>
      </x:c>
      <x:c r="K192" s="46" t="str">
        <x:v>Complete</x:v>
      </x:c>
      <x:c r="L192" s="47" t="str">
        <x:v>OPD-2-014</x:v>
      </x:c>
    </x:row>
    <x:row r="193" ht="42" customHeight="1">
      <x:c r="A193" s="45" t="str">
        <x:v>FR-J-010</x:v>
      </x:c>
      <x:c r="B193" s="46" t="str">
        <x:v>J. Pathways, Goals, and Milestones</x:v>
      </x:c>
      <x:c r="C193" s="46" t="str">
        <x:v>be able to archive supported records.</x:v>
      </x:c>
      <x:c r="D193" s="46" t="str">
        <x:v>BR-J-001, BR-J-005</x:v>
      </x:c>
      <x:c r="E193" s="46" t="str">
        <x:v>ADR-009 — Domain Ownership and Relationship Model</x:v>
      </x:c>
      <x:c r="F193" s="46" t="str">
        <x:v>AC-J-010</x:v>
      </x:c>
      <x:c r="G193" s="46" t="str">
        <x:v>No</x:v>
      </x:c>
      <x:c r="H193" s="46" t="str">
        <x:v>V1</x:v>
      </x:c>
      <x:c r="I193" s="46" t="str">
        <x:v>Pathways, Goals, and Milestones</x:v>
      </x:c>
      <x:c r="J193" s="46" t="str">
        <x:v>Widget test</x:v>
      </x:c>
      <x:c r="K193" s="46" t="str">
        <x:v>Complete</x:v>
      </x:c>
      <x:c r="L193" s="47" t="str">
        <x:v>OPD-2-014</x:v>
      </x:c>
    </x:row>
    <x:row r="194" ht="42" customHeight="1">
      <x:c r="A194" s="45" t="str">
        <x:v>FR-J-011</x:v>
      </x:c>
      <x:c r="B194" s="46" t="str">
        <x:v>J. Pathways, Goals, and Milestones</x:v>
      </x:c>
      <x:c r="C194" s="46" t="str">
        <x:v>preserve completion history.</x:v>
      </x:c>
      <x:c r="D194" s="46" t="str">
        <x:v>BR-J-006, BR-J-007, BR-J-008</x:v>
      </x:c>
      <x:c r="E194" s="46" t="str">
        <x:v>ADR-009 — Domain Ownership and Relationship Model</x:v>
      </x:c>
      <x:c r="F194" s="46" t="str">
        <x:v>AC-J-011</x:v>
      </x:c>
      <x:c r="G194" s="46" t="str">
        <x:v>Yes</x:v>
      </x:c>
      <x:c r="H194" s="46" t="str">
        <x:v>V1</x:v>
      </x:c>
      <x:c r="I194" s="46" t="str">
        <x:v>Pathways, Goals, and Milestones</x:v>
      </x:c>
      <x:c r="J194" s="46" t="str">
        <x:v>Domain test</x:v>
      </x:c>
      <x:c r="K194" s="46" t="str">
        <x:v>Complete</x:v>
      </x:c>
      <x:c r="L194" s="47"/>
    </x:row>
    <x:row r="195" ht="42" customHeight="1">
      <x:c r="A195" s="45" t="str">
        <x:v>FR-J-012</x:v>
      </x:c>
      <x:c r="B195" s="46" t="str">
        <x:v>J. Pathways, Goals, and Milestones</x:v>
      </x:c>
      <x:c r="C195" s="46" t="str">
        <x:v>display each item’s completion method.</x:v>
      </x:c>
      <x:c r="D195" s="46" t="str">
        <x:v>BR-J-002, BR-J-007</x:v>
      </x:c>
      <x:c r="E195" s="46" t="str">
        <x:v>ADR-009 — Domain Ownership and Relationship Model</x:v>
      </x:c>
      <x:c r="F195" s="46" t="str">
        <x:v>AC-J-012</x:v>
      </x:c>
      <x:c r="G195" s="46" t="str">
        <x:v>No</x:v>
      </x:c>
      <x:c r="H195" s="46" t="str">
        <x:v>V1</x:v>
      </x:c>
      <x:c r="I195" s="46" t="str">
        <x:v>Pathways, Goals, and Milestones</x:v>
      </x:c>
      <x:c r="J195" s="46" t="str">
        <x:v>Widget test</x:v>
      </x:c>
      <x:c r="K195" s="46" t="str">
        <x:v>Complete</x:v>
      </x:c>
      <x:c r="L195" s="47" t="str">
        <x:v>OPD-2-015</x:v>
      </x:c>
    </x:row>
    <x:row r="196" ht="42" customHeight="1">
      <x:c r="A196" s="45" t="str">
        <x:v>FR-J-013</x:v>
      </x:c>
      <x:c r="B196" s="46" t="str">
        <x:v>J. Pathways, Goals, and Milestones</x:v>
      </x:c>
      <x:c r="C196" s="46" t="str">
        <x:v>provide factual source access for derived progress.</x:v>
      </x:c>
      <x:c r="D196" s="46" t="str">
        <x:v>BR-J-002, BR-J-003, BR-J-009</x:v>
      </x:c>
      <x:c r="E196" s="46" t="str">
        <x:v>ADR-005 — Confirmed-Source Progress and Read-Only Actuals; ADR-009 — Domain Ownership and Relationship Model</x:v>
      </x:c>
      <x:c r="F196" s="46" t="str">
        <x:v>AC-J-013</x:v>
      </x:c>
      <x:c r="G196" s="46" t="str">
        <x:v>Yes</x:v>
      </x:c>
      <x:c r="H196" s="46" t="str">
        <x:v>V1</x:v>
      </x:c>
      <x:c r="I196" s="46" t="str">
        <x:v>Pathways, Goals, and Milestones</x:v>
      </x:c>
      <x:c r="J196" s="46" t="str">
        <x:v>Domain test</x:v>
      </x:c>
      <x:c r="K196" s="46" t="str">
        <x:v>Complete</x:v>
      </x:c>
      <x:c r="L196" s="47"/>
    </x:row>
    <x:row r="197" ht="42" customHeight="1">
      <x:c r="A197" s="45" t="str">
        <x:v>FR-J-014</x:v>
      </x:c>
      <x:c r="B197" s="46" t="str">
        <x:v>J. Pathways, Goals, and Milestones</x:v>
      </x:c>
      <x:c r="C197" s="46" t="str">
        <x:v>not infer progress from titles.</x:v>
      </x:c>
      <x:c r="D197" s="46" t="str">
        <x:v>BR-J-003, BR-J-009</x:v>
      </x:c>
      <x:c r="E197" s="46" t="str">
        <x:v>ADR-009 — Domain Ownership and Relationship Model</x:v>
      </x:c>
      <x:c r="F197" s="46" t="str">
        <x:v>AC-J-014</x:v>
      </x:c>
      <x:c r="G197" s="46" t="str">
        <x:v>Yes</x:v>
      </x:c>
      <x:c r="H197" s="46" t="str">
        <x:v>V1</x:v>
      </x:c>
      <x:c r="I197" s="46" t="str">
        <x:v>Pathways, Goals, and Milestones</x:v>
      </x:c>
      <x:c r="J197" s="46" t="str">
        <x:v>Domain test</x:v>
      </x:c>
      <x:c r="K197" s="46" t="str">
        <x:v>Complete</x:v>
      </x:c>
      <x:c r="L197" s="47"/>
    </x:row>
    <x:row r="198" ht="42" customHeight="1">
      <x:c r="A198" s="45" t="str">
        <x:v>FR-J-015</x:v>
      </x:c>
      <x:c r="B198" s="46" t="str">
        <x:v>J. Pathways, Goals, and Milestones</x:v>
      </x:c>
      <x:c r="C198" s="46" t="str">
        <x:v>not display unexplained percentages.</x:v>
      </x:c>
      <x:c r="D198" s="46" t="str">
        <x:v>BR-J-004</x:v>
      </x:c>
      <x:c r="E198" s="46" t="str">
        <x:v>ADR-009 — Domain Ownership and Relationship Model</x:v>
      </x:c>
      <x:c r="F198" s="46" t="str">
        <x:v>AC-J-015</x:v>
      </x:c>
      <x:c r="G198" s="46" t="str">
        <x:v>Yes</x:v>
      </x:c>
      <x:c r="H198" s="46" t="str">
        <x:v>V1</x:v>
      </x:c>
      <x:c r="I198" s="46" t="str">
        <x:v>Pathways, Goals, and Milestones</x:v>
      </x:c>
      <x:c r="J198" s="46" t="str">
        <x:v>Widget test</x:v>
      </x:c>
      <x:c r="K198" s="46" t="str">
        <x:v>Complete</x:v>
      </x:c>
      <x:c r="L198" s="47" t="str">
        <x:v>OPD-2-016</x:v>
      </x:c>
    </x:row>
    <x:row r="199" ht="42" customHeight="1">
      <x:c r="A199" s="45" t="str">
        <x:v>FR-J-016</x:v>
      </x:c>
      <x:c r="B199" s="46" t="str">
        <x:v>J. Pathways, Goals, and Milestones</x:v>
      </x:c>
      <x:c r="C199" s="46" t="str">
        <x:v>be able to create Tasks and Calendar Events from Pathway context.</x:v>
      </x:c>
      <x:c r="D199" s="46" t="str">
        <x:v>BR-J-001</x:v>
      </x:c>
      <x:c r="E199" s="46" t="str">
        <x:v>ADR-004 — Separation of Tasks and Calendar Events; ADR-009 — Domain Ownership and Relationship Model</x:v>
      </x:c>
      <x:c r="F199" s="46" t="str">
        <x:v>AC-J-016</x:v>
      </x:c>
      <x:c r="G199" s="46" t="str">
        <x:v>No</x:v>
      </x:c>
      <x:c r="H199" s="46" t="str">
        <x:v>V1</x:v>
      </x:c>
      <x:c r="I199" s="46" t="str">
        <x:v>Pathways, Goals, and Milestones</x:v>
      </x:c>
      <x:c r="J199" s="46" t="str">
        <x:v>Widget test / Integration test</x:v>
      </x:c>
      <x:c r="K199" s="46" t="str">
        <x:v>Complete</x:v>
      </x:c>
      <x:c r="L199" s="47"/>
    </x:row>
    <x:row r="200" ht="42" customHeight="1">
      <x:c r="A200" s="45" t="str">
        <x:v>FR-J-017</x:v>
      </x:c>
      <x:c r="B200" s="46" t="str">
        <x:v>J. Pathways, Goals, and Milestones</x:v>
      </x:c>
      <x:c r="C200" s="46" t="str">
        <x:v>Linked Task and event statuses shall remain independent.</x:v>
      </x:c>
      <x:c r="D200" s="46" t="str">
        <x:v>BR-J-001, BR-J-005</x:v>
      </x:c>
      <x:c r="E200" s="46" t="str">
        <x:v>ADR-009 — Domain Ownership and Relationship Model</x:v>
      </x:c>
      <x:c r="F200" s="46" t="str">
        <x:v>AC-J-017</x:v>
      </x:c>
      <x:c r="G200" s="46" t="str">
        <x:v>No</x:v>
      </x:c>
      <x:c r="H200" s="46" t="str">
        <x:v>V1</x:v>
      </x:c>
      <x:c r="I200" s="46" t="str">
        <x:v>Pathways, Goals, and Milestones</x:v>
      </x:c>
      <x:c r="J200" s="46" t="str">
        <x:v>Domain test</x:v>
      </x:c>
      <x:c r="K200" s="46" t="str">
        <x:v>Complete</x:v>
      </x:c>
      <x:c r="L200" s="47"/>
    </x:row>
    <x:row r="201" ht="42" customHeight="1">
      <x:c r="A201" s="45" t="str">
        <x:v>FR-J-018</x:v>
      </x:c>
      <x:c r="B201" s="46" t="str">
        <x:v>J. Pathways, Goals, and Milestones</x:v>
      </x:c>
      <x:c r="C201" s="46" t="str">
        <x:v>Bundled updates shall preserve user state.</x:v>
      </x:c>
      <x:c r="D201" s="46" t="str">
        <x:v>BR-J-008</x:v>
      </x:c>
      <x:c r="E201" s="46" t="str">
        <x:v>ADR-009 — Domain Ownership and Relationship Model</x:v>
      </x:c>
      <x:c r="F201" s="46" t="str">
        <x:v>AC-J-018</x:v>
      </x:c>
      <x:c r="G201" s="46" t="str">
        <x:v>Yes</x:v>
      </x:c>
      <x:c r="H201" s="46" t="str">
        <x:v>V1</x:v>
      </x:c>
      <x:c r="I201" s="46" t="str">
        <x:v>Pathways, Goals, and Milestones</x:v>
      </x:c>
      <x:c r="J201" s="46" t="str">
        <x:v>Domain test</x:v>
      </x:c>
      <x:c r="K201" s="46" t="str">
        <x:v>Complete</x:v>
      </x:c>
      <x:c r="L201" s="47"/>
    </x:row>
    <x:row r="202" ht="42" customHeight="1">
      <x:c r="A202" s="45" t="str">
        <x:v>FR-J-019</x:v>
      </x:c>
      <x:c r="B202" s="46" t="str">
        <x:v>J. Pathways, Goals, and Milestones</x:v>
      </x:c>
      <x:c r="C202" s="46" t="str">
        <x:v>Covenant Path shall use neutral factual presentation.</x:v>
      </x:c>
      <x:c r="D202" s="46" t="str">
        <x:v>BR-J-002, BR-J-010</x:v>
      </x:c>
      <x:c r="E202" s="46" t="str">
        <x:v>ADR-005 — Confirmed-Source Progress and Read-Only Actuals; ADR-009 — Domain Ownership and Relationship Model</x:v>
      </x:c>
      <x:c r="F202" s="46" t="str">
        <x:v>AC-J-019</x:v>
      </x:c>
      <x:c r="G202" s="46" t="str">
        <x:v>Yes</x:v>
      </x:c>
      <x:c r="H202" s="46" t="str">
        <x:v>V1</x:v>
      </x:c>
      <x:c r="I202" s="46" t="str">
        <x:v>Pathways, Goals, and Milestones</x:v>
      </x:c>
      <x:c r="J202" s="46" t="str">
        <x:v>Domain test / Manual review</x:v>
      </x:c>
      <x:c r="K202" s="46" t="str">
        <x:v>Complete</x:v>
      </x:c>
      <x:c r="L202" s="47"/>
    </x:row>
    <x:row r="203" ht="42" customHeight="1">
      <x:c r="A203" s="45" t="str">
        <x:v>FR-J-020</x:v>
      </x:c>
      <x:c r="B203" s="46" t="str">
        <x:v>J. Pathways, Goals, and Milestones</x:v>
      </x:c>
      <x:c r="C203" s="46" t="str">
        <x:v>Covenant Path shall not provide spiritual-quality scoring or sharing.</x:v>
      </x:c>
      <x:c r="D203" s="46" t="str">
        <x:v>BR-J-010</x:v>
      </x:c>
      <x:c r="E203" s="46" t="str">
        <x:v>ADR-009 — Domain Ownership and Relationship Model</x:v>
      </x:c>
      <x:c r="F203" s="46" t="str">
        <x:v>AC-J-020</x:v>
      </x:c>
      <x:c r="G203" s="46" t="str">
        <x:v>Yes</x:v>
      </x:c>
      <x:c r="H203" s="46" t="str">
        <x:v>V1</x:v>
      </x:c>
      <x:c r="I203" s="46" t="str">
        <x:v>Pathways, Goals, and Milestones</x:v>
      </x:c>
      <x:c r="J203" s="46" t="str">
        <x:v>Manual review</x:v>
      </x:c>
      <x:c r="K203" s="46" t="str">
        <x:v>Complete</x:v>
      </x:c>
      <x:c r="L203" s="47"/>
    </x:row>
    <x:row r="204" ht="42" customHeight="1">
      <x:c r="A204" s="45" t="str">
        <x:v>FR-J-021</x:v>
      </x:c>
      <x:c r="B204" s="46" t="str">
        <x:v>J. Pathways, Goals, and Milestones</x:v>
      </x:c>
      <x:c r="C204" s="46" t="str">
        <x:v>Pathway workflows shall function offline.</x:v>
      </x:c>
      <x:c r="D204" s="46" t="str">
        <x:v>BR-J-001</x:v>
      </x:c>
      <x:c r="E204" s="46" t="str">
        <x:v>ADR-009 — Domain Ownership and Relationship Model; ADR-006 — Local-First Operation with Background Synchronization</x:v>
      </x:c>
      <x:c r="F204" s="46" t="str">
        <x:v>AC-J-021</x:v>
      </x:c>
      <x:c r="G204" s="46" t="str">
        <x:v>Yes</x:v>
      </x:c>
      <x:c r="H204" s="46" t="str">
        <x:v>V1</x:v>
      </x:c>
      <x:c r="I204" s="46" t="str">
        <x:v>Pathways, Goals, and Milestones</x:v>
      </x:c>
      <x:c r="J204" s="46" t="str">
        <x:v>Domain test</x:v>
      </x:c>
      <x:c r="K204" s="46" t="str">
        <x:v>Complete</x:v>
      </x:c>
      <x:c r="L204" s="47"/>
    </x:row>
    <x:row r="205" ht="42" customHeight="1">
      <x:c r="A205" s="45" t="str">
        <x:v>FR-J-022</x:v>
      </x:c>
      <x:c r="B205" s="46" t="str">
        <x:v>J. Pathways, Goals, and Milestones</x:v>
      </x:c>
      <x:c r="C205" s="46" t="str">
        <x:v>Private reflections shall remain non-contributory.</x:v>
      </x:c>
      <x:c r="D205" s="46" t="str">
        <x:v>BR-J-001, BR-J-009</x:v>
      </x:c>
      <x:c r="E205" s="46" t="str">
        <x:v>ADR-009 — Domain Ownership and Relationship Model</x:v>
      </x:c>
      <x:c r="F205" s="46" t="str">
        <x:v>AC-J-022</x:v>
      </x:c>
      <x:c r="G205" s="46" t="str">
        <x:v>No</x:v>
      </x:c>
      <x:c r="H205" s="46" t="str">
        <x:v>V1</x:v>
      </x:c>
      <x:c r="I205" s="46" t="str">
        <x:v>Pathways, Goals, and Milestones</x:v>
      </x:c>
      <x:c r="J205" s="46" t="str">
        <x:v>Domain test</x:v>
      </x:c>
      <x:c r="K205" s="46" t="str">
        <x:v>Complete</x:v>
      </x:c>
      <x:c r="L205" s="47"/>
    </x:row>
    <x:row r="206" ht="42" customHeight="1">
      <x:c r="A206" s="45" t="str">
        <x:v>FR-K-001</x:v>
      </x:c>
      <x:c r="B206" s="46" t="str">
        <x:v>K. Covenant Path</x:v>
      </x:c>
      <x:c r="C206" s="46" t="str">
        <x:v>present Covenant Path as optional and private.</x:v>
      </x:c>
      <x:c r="D206" s="46" t="str">
        <x:v>BR-K-001, BR-K-004, BR-K-007</x:v>
      </x:c>
      <x:c r="E206" s="46" t="str">
        <x:v>ADR-021 — Security, Privacy, Permissions, and Sensitive Data; ADR-019 — Philippine Content Packs and Official Source Governance</x:v>
      </x:c>
      <x:c r="F206" s="46" t="str">
        <x:v>AC-K-001</x:v>
      </x:c>
      <x:c r="G206" s="46" t="str">
        <x:v>Yes</x:v>
      </x:c>
      <x:c r="H206" s="46" t="str">
        <x:v>V1</x:v>
      </x:c>
      <x:c r="I206" s="46" t="str">
        <x:v>Covenant Path</x:v>
      </x:c>
      <x:c r="J206" s="46" t="str">
        <x:v>Domain test</x:v>
      </x:c>
      <x:c r="K206" s="46" t="str">
        <x:v>Complete</x:v>
      </x:c>
      <x:c r="L206" s="47"/>
    </x:row>
    <x:row r="207" ht="42" customHeight="1">
      <x:c r="A207" s="45" t="str">
        <x:v>FR-K-002</x:v>
      </x:c>
      <x:c r="B207" s="46" t="str">
        <x:v>K. Covenant Path</x:v>
      </x:c>
      <x:c r="C207" s="46" t="str">
        <x:v>be able to activate, pause, reopen, and archive Covenant Path.</x:v>
      </x:c>
      <x:c r="D207" s="46" t="str">
        <x:v>BR-K-001</x:v>
      </x:c>
      <x:c r="E207" s="46" t="str">
        <x:v>ADR-021 — Security, Privacy, Permissions, and Sensitive Data; ADR-019 — Philippine Content Packs and Official Source Governance</x:v>
      </x:c>
      <x:c r="F207" s="46" t="str">
        <x:v>AC-K-002</x:v>
      </x:c>
      <x:c r="G207" s="46" t="str">
        <x:v>Yes</x:v>
      </x:c>
      <x:c r="H207" s="46" t="str">
        <x:v>V1</x:v>
      </x:c>
      <x:c r="I207" s="46" t="str">
        <x:v>Covenant Path</x:v>
      </x:c>
      <x:c r="J207" s="46" t="str">
        <x:v>Widget test</x:v>
      </x:c>
      <x:c r="K207" s="46" t="str">
        <x:v>Complete</x:v>
      </x:c>
      <x:c r="L207" s="47"/>
    </x:row>
    <x:row r="208" ht="42" customHeight="1">
      <x:c r="A208" s="45" t="str">
        <x:v>FR-K-003</x:v>
      </x:c>
      <x:c r="B208" s="46" t="str">
        <x:v>K. Covenant Path</x:v>
      </x:c>
      <x:c r="C208" s="46" t="str">
        <x:v>be able to activate selected Goals or Milestones without activating every suggestion.</x:v>
      </x:c>
      <x:c r="D208" s="46" t="str">
        <x:v>BR-K-001</x:v>
      </x:c>
      <x:c r="E208" s="46" t="str">
        <x:v>ADR-021 — Security, Privacy, Permissions, and Sensitive Data; ADR-019 — Philippine Content Packs and Official Source Governance</x:v>
      </x:c>
      <x:c r="F208" s="46" t="str">
        <x:v>AC-K-003</x:v>
      </x:c>
      <x:c r="G208" s="46" t="str">
        <x:v>Yes</x:v>
      </x:c>
      <x:c r="H208" s="46" t="str">
        <x:v>V1</x:v>
      </x:c>
      <x:c r="I208" s="46" t="str">
        <x:v>Covenant Path</x:v>
      </x:c>
      <x:c r="J208" s="46" t="str">
        <x:v>Widget test</x:v>
      </x:c>
      <x:c r="K208" s="46" t="str">
        <x:v>Complete</x:v>
      </x:c>
      <x:c r="L208" s="47"/>
    </x:row>
    <x:row r="209" ht="42" customHeight="1">
      <x:c r="A209" s="45" t="str">
        <x:v>FR-K-004</x:v>
      </x:c>
      <x:c r="B209" s="46" t="str">
        <x:v>K. Covenant Path</x:v>
      </x:c>
      <x:c r="C209" s="46" t="str">
        <x:v>be able to create Tasks and Calendar Events from Covenant Path context.</x:v>
      </x:c>
      <x:c r="D209" s="46" t="str">
        <x:v>BR-K-001</x:v>
      </x:c>
      <x:c r="E209" s="46" t="str">
        <x:v>ADR-004 — Separation of Tasks and Calendar Events; ADR-021 — Security, Privacy, Permissions, and Sensitive Data; ADR-019 — Philippine Content Packs and Official Source Governance</x:v>
      </x:c>
      <x:c r="F209" s="46" t="str">
        <x:v>AC-K-004</x:v>
      </x:c>
      <x:c r="G209" s="46" t="str">
        <x:v>Yes</x:v>
      </x:c>
      <x:c r="H209" s="46" t="str">
        <x:v>V1</x:v>
      </x:c>
      <x:c r="I209" s="46" t="str">
        <x:v>Covenant Path</x:v>
      </x:c>
      <x:c r="J209" s="46" t="str">
        <x:v>Widget test / Integration test</x:v>
      </x:c>
      <x:c r="K209" s="46" t="str">
        <x:v>Complete</x:v>
      </x:c>
      <x:c r="L209" s="47"/>
    </x:row>
    <x:row r="210" ht="42" customHeight="1">
      <x:c r="A210" s="45" t="str">
        <x:v>FR-K-005</x:v>
      </x:c>
      <x:c r="B210" s="46" t="str">
        <x:v>K. Covenant Path</x:v>
      </x:c>
      <x:c r="C210" s="46" t="str">
        <x:v>Linked records shall retain independent identities and statuses.</x:v>
      </x:c>
      <x:c r="D210" s="46" t="str">
        <x:v>BR-K-001</x:v>
      </x:c>
      <x:c r="E210" s="46" t="str">
        <x:v>ADR-009 — Domain Ownership and Relationship Model; ADR-021 — Security, Privacy, Permissions, and Sensitive Data; ADR-019 — Philippine Content Packs and Official Source Governance</x:v>
      </x:c>
      <x:c r="F210" s="46" t="str">
        <x:v>AC-K-005</x:v>
      </x:c>
      <x:c r="G210" s="46" t="str">
        <x:v>Yes</x:v>
      </x:c>
      <x:c r="H210" s="46" t="str">
        <x:v>V1</x:v>
      </x:c>
      <x:c r="I210" s="46" t="str">
        <x:v>Covenant Path</x:v>
      </x:c>
      <x:c r="J210" s="46" t="str">
        <x:v>Domain test</x:v>
      </x:c>
      <x:c r="K210" s="46" t="str">
        <x:v>Complete</x:v>
      </x:c>
      <x:c r="L210" s="47"/>
    </x:row>
    <x:row r="211" ht="42" customHeight="1">
      <x:c r="A211" s="45" t="str">
        <x:v>FR-K-006</x:v>
      </x:c>
      <x:c r="B211" s="46" t="str">
        <x:v>K. Covenant Path</x:v>
      </x:c>
      <x:c r="C211" s="46" t="str">
        <x:v>distinguish Scheduled Potential from Actual.</x:v>
      </x:c>
      <x:c r="D211" s="46" t="str">
        <x:v>BR-K-006</x:v>
      </x:c>
      <x:c r="E211" s="46" t="str">
        <x:v>ADR-005 — Confirmed-Source Progress and Read-Only Actuals; ADR-021 — Security, Privacy, Permissions, and Sensitive Data; ADR-019 — Philippine Content Packs and Official Source Governance</x:v>
      </x:c>
      <x:c r="F211" s="46" t="str">
        <x:v>AC-K-006</x:v>
      </x:c>
      <x:c r="G211" s="46" t="str">
        <x:v>Yes</x:v>
      </x:c>
      <x:c r="H211" s="46" t="str">
        <x:v>V1</x:v>
      </x:c>
      <x:c r="I211" s="46" t="str">
        <x:v>Covenant Path</x:v>
      </x:c>
      <x:c r="J211" s="46" t="str">
        <x:v>Domain test</x:v>
      </x:c>
      <x:c r="K211" s="46" t="str">
        <x:v>Complete</x:v>
      </x:c>
      <x:c r="L211" s="47"/>
    </x:row>
    <x:row r="212" ht="42" customHeight="1">
      <x:c r="A212" s="45" t="str">
        <x:v>FR-K-007</x:v>
      </x:c>
      <x:c r="B212" s="46" t="str">
        <x:v>K. Covenant Path</x:v>
      </x:c>
      <x:c r="C212" s="46" t="str">
        <x:v>Actual shall be derived from valid Activity Ledger entries.</x:v>
      </x:c>
      <x:c r="D212" s="46" t="str">
        <x:v>BR-K-006</x:v>
      </x:c>
      <x:c r="E212" s="46" t="str">
        <x:v>ADR-005 — Confirmed-Source Progress and Read-Only Actuals; ADR-012 — Activity Ledger and Contribution Engine; ADR-021 — Security, Privacy, Permissions, and Sensitive Data; ADR-019 — Philippine Content Packs and Official Source Governance</x:v>
      </x:c>
      <x:c r="F212" s="46" t="str">
        <x:v>AC-K-007</x:v>
      </x:c>
      <x:c r="G212" s="46" t="str">
        <x:v>Yes</x:v>
      </x:c>
      <x:c r="H212" s="46" t="str">
        <x:v>V1</x:v>
      </x:c>
      <x:c r="I212" s="46" t="str">
        <x:v>Covenant Path</x:v>
      </x:c>
      <x:c r="J212" s="46" t="str">
        <x:v>Domain test / Database test</x:v>
      </x:c>
      <x:c r="K212" s="46" t="str">
        <x:v>Complete</x:v>
      </x:c>
      <x:c r="L212" s="47"/>
    </x:row>
    <x:row r="213" ht="42" customHeight="1">
      <x:c r="A213" s="45" t="str">
        <x:v>FR-K-008</x:v>
      </x:c>
      <x:c r="B213" s="46" t="str">
        <x:v>K. Covenant Path</x:v>
      </x:c>
      <x:c r="C213" s="46" t="str">
        <x:v>be able to record optional private reflections.</x:v>
      </x:c>
      <x:c r="D213" s="46" t="str">
        <x:v>BR-K-001, BR-K-004, BR-K-007</x:v>
      </x:c>
      <x:c r="E213" s="46" t="str">
        <x:v>ADR-021 — Security, Privacy, Permissions, and Sensitive Data; ADR-019 — Philippine Content Packs and Official Source Governance</x:v>
      </x:c>
      <x:c r="F213" s="46" t="str">
        <x:v>AC-K-008</x:v>
      </x:c>
      <x:c r="G213" s="46" t="str">
        <x:v>Yes</x:v>
      </x:c>
      <x:c r="H213" s="46" t="str">
        <x:v>V1</x:v>
      </x:c>
      <x:c r="I213" s="46" t="str">
        <x:v>Covenant Path</x:v>
      </x:c>
      <x:c r="J213" s="46" t="str">
        <x:v>Widget test</x:v>
      </x:c>
      <x:c r="K213" s="46" t="str">
        <x:v>Complete</x:v>
      </x:c>
      <x:c r="L213" s="47" t="str">
        <x:v>OPD-3-002</x:v>
      </x:c>
    </x:row>
    <x:row r="214" ht="42" customHeight="1">
      <x:c r="A214" s="45" t="str">
        <x:v>FR-K-009</x:v>
      </x:c>
      <x:c r="B214" s="46" t="str">
        <x:v>K. Covenant Path</x:v>
      </x:c>
      <x:c r="C214" s="46" t="str">
        <x:v>Reflections shall not affect progress.</x:v>
      </x:c>
      <x:c r="D214" s="46" t="str">
        <x:v>BR-K-007</x:v>
      </x:c>
      <x:c r="E214" s="46" t="str">
        <x:v>ADR-021 — Security, Privacy, Permissions, and Sensitive Data; ADR-019 — Philippine Content Packs and Official Source Governance</x:v>
      </x:c>
      <x:c r="F214" s="46" t="str">
        <x:v>AC-K-009</x:v>
      </x:c>
      <x:c r="G214" s="46" t="str">
        <x:v>Yes</x:v>
      </x:c>
      <x:c r="H214" s="46" t="str">
        <x:v>V1</x:v>
      </x:c>
      <x:c r="I214" s="46" t="str">
        <x:v>Covenant Path</x:v>
      </x:c>
      <x:c r="J214" s="46" t="str">
        <x:v>Domain test</x:v>
      </x:c>
      <x:c r="K214" s="46" t="str">
        <x:v>Complete</x:v>
      </x:c>
      <x:c r="L214" s="47" t="str">
        <x:v>OPD-3-002</x:v>
      </x:c>
    </x:row>
    <x:row r="215" ht="42" customHeight="1">
      <x:c r="A215" s="45" t="str">
        <x:v>FR-K-010</x:v>
      </x:c>
      <x:c r="B215" s="46" t="str">
        <x:v>K. Covenant Path</x:v>
      </x:c>
      <x:c r="C215" s="46" t="str">
        <x:v>provide factual contribution history for Scripture Study and Temple Visit.</x:v>
      </x:c>
      <x:c r="D215" s="46" t="str">
        <x:v>BR-K-005, BR-K-010</x:v>
      </x:c>
      <x:c r="E215" s="46" t="str">
        <x:v>ADR-005 — Confirmed-Source Progress and Read-Only Actuals; ADR-012 — Activity Ledger and Contribution Engine; ADR-021 — Security, Privacy, Permissions, and Sensitive Data; ADR-019 — Philippine Content Packs and Official Source Governance</x:v>
      </x:c>
      <x:c r="F215" s="46" t="str">
        <x:v>AC-K-010</x:v>
      </x:c>
      <x:c r="G215" s="46" t="str">
        <x:v>Yes</x:v>
      </x:c>
      <x:c r="H215" s="46" t="str">
        <x:v>V1</x:v>
      </x:c>
      <x:c r="I215" s="46" t="str">
        <x:v>Covenant Path</x:v>
      </x:c>
      <x:c r="J215" s="46" t="str">
        <x:v>Domain test</x:v>
      </x:c>
      <x:c r="K215" s="46" t="str">
        <x:v>Complete</x:v>
      </x:c>
      <x:c r="L215" s="47" t="str">
        <x:v>OPD-3-001</x:v>
      </x:c>
    </x:row>
    <x:row r="216" ht="42" customHeight="1">
      <x:c r="A216" s="45" t="str">
        <x:v>FR-K-011</x:v>
      </x:c>
      <x:c r="B216" s="46" t="str">
        <x:v>K. Covenant Path</x:v>
      </x:c>
      <x:c r="C216" s="46" t="str">
        <x:v>identify bundled and external resource content.</x:v>
      </x:c>
      <x:c r="D216" s="46" t="str">
        <x:v>BR-K-009</x:v>
      </x:c>
      <x:c r="E216" s="46" t="str">
        <x:v>ADR-021 — Security, Privacy, Permissions, and Sensitive Data; ADR-019 — Philippine Content Packs and Official Source Governance</x:v>
      </x:c>
      <x:c r="F216" s="46" t="str">
        <x:v>AC-K-011</x:v>
      </x:c>
      <x:c r="G216" s="46" t="str">
        <x:v>No</x:v>
      </x:c>
      <x:c r="H216" s="46" t="str">
        <x:v>V1</x:v>
      </x:c>
      <x:c r="I216" s="46" t="str">
        <x:v>Covenant Path</x:v>
      </x:c>
      <x:c r="J216" s="46" t="str">
        <x:v>Integration test</x:v>
      </x:c>
      <x:c r="K216" s="46" t="str">
        <x:v>Complete</x:v>
      </x:c>
      <x:c r="L216" s="47" t="str">
        <x:v>OPD-3-003, OPD-3-001</x:v>
      </x:c>
    </x:row>
    <x:row r="217" ht="42" customHeight="1">
      <x:c r="A217" s="45" t="str">
        <x:v>FR-K-012</x:v>
      </x:c>
      <x:c r="B217" s="46" t="str">
        <x:v>K. Covenant Path</x:v>
      </x:c>
      <x:c r="C217" s="46" t="str">
        <x:v>Bundled content shall remain available offline.</x:v>
      </x:c>
      <x:c r="D217" s="46" t="str">
        <x:v>BR-K-009</x:v>
      </x:c>
      <x:c r="E217" s="46" t="str">
        <x:v>ADR-021 — Security, Privacy, Permissions, and Sensitive Data; ADR-019 — Philippine Content Packs and Official Source Governance; ADR-006 — Local-First Operation with Background Synchronization</x:v>
      </x:c>
      <x:c r="F217" s="46" t="str">
        <x:v>AC-K-012</x:v>
      </x:c>
      <x:c r="G217" s="46" t="str">
        <x:v>Yes</x:v>
      </x:c>
      <x:c r="H217" s="46" t="str">
        <x:v>V1</x:v>
      </x:c>
      <x:c r="I217" s="46" t="str">
        <x:v>Covenant Path</x:v>
      </x:c>
      <x:c r="J217" s="46" t="str">
        <x:v>Domain test</x:v>
      </x:c>
      <x:c r="K217" s="46" t="str">
        <x:v>Complete</x:v>
      </x:c>
      <x:c r="L217" s="47"/>
    </x:row>
    <x:row r="218" ht="42" customHeight="1">
      <x:c r="A218" s="45" t="str">
        <x:v>FR-K-013</x:v>
      </x:c>
      <x:c r="B218" s="46" t="str">
        <x:v>K. Covenant Path</x:v>
      </x:c>
      <x:c r="C218" s="46" t="str">
        <x:v>Content updates shall preserve user state.</x:v>
      </x:c>
      <x:c r="D218" s="46" t="str">
        <x:v>BR-K-009</x:v>
      </x:c>
      <x:c r="E218" s="46" t="str">
        <x:v>ADR-021 — Security, Privacy, Permissions, and Sensitive Data; ADR-019 — Philippine Content Packs and Official Source Governance</x:v>
      </x:c>
      <x:c r="F218" s="46" t="str">
        <x:v>AC-K-013</x:v>
      </x:c>
      <x:c r="G218" s="46" t="str">
        <x:v>Yes</x:v>
      </x:c>
      <x:c r="H218" s="46" t="str">
        <x:v>V1</x:v>
      </x:c>
      <x:c r="I218" s="46" t="str">
        <x:v>Covenant Path</x:v>
      </x:c>
      <x:c r="J218" s="46" t="str">
        <x:v>Domain test</x:v>
      </x:c>
      <x:c r="K218" s="46" t="str">
        <x:v>Complete</x:v>
      </x:c>
      <x:c r="L218" s="47"/>
    </x:row>
    <x:row r="219" ht="42" customHeight="1">
      <x:c r="A219" s="45" t="str">
        <x:v>FR-K-014</x:v>
      </x:c>
      <x:c r="B219" s="46" t="str">
        <x:v>K. Covenant Path</x:v>
      </x:c>
      <x:c r="C219" s="46" t="str">
        <x:v>not generate spiritual-quality scores.</x:v>
      </x:c>
      <x:c r="D219" s="46" t="str">
        <x:v>BR-K-003, BR-K-006</x:v>
      </x:c>
      <x:c r="E219" s="46" t="str">
        <x:v>ADR-021 — Security, Privacy, Permissions, and Sensitive Data; ADR-019 — Philippine Content Packs and Official Source Governance</x:v>
      </x:c>
      <x:c r="F219" s="46" t="str">
        <x:v>AC-K-014</x:v>
      </x:c>
      <x:c r="G219" s="46" t="str">
        <x:v>Yes</x:v>
      </x:c>
      <x:c r="H219" s="46" t="str">
        <x:v>V1</x:v>
      </x:c>
      <x:c r="I219" s="46" t="str">
        <x:v>Covenant Path</x:v>
      </x:c>
      <x:c r="J219" s="46" t="str">
        <x:v>Manual review</x:v>
      </x:c>
      <x:c r="K219" s="46" t="str">
        <x:v>Complete</x:v>
      </x:c>
      <x:c r="L219" s="47" t="str">
        <x:v>OPD-3-001</x:v>
      </x:c>
    </x:row>
    <x:row r="220" ht="42" customHeight="1">
      <x:c r="A220" s="45" t="str">
        <x:v>FR-K-015</x:v>
      </x:c>
      <x:c r="B220" s="46" t="str">
        <x:v>K. Covenant Path</x:v>
      </x:c>
      <x:c r="C220" s="46" t="str">
        <x:v>not provide sharing or leader access.</x:v>
      </x:c>
      <x:c r="D220" s="46" t="str">
        <x:v>BR-K-008</x:v>
      </x:c>
      <x:c r="E220" s="46" t="str">
        <x:v>ADR-021 — Security, Privacy, Permissions, and Sensitive Data; ADR-019 — Philippine Content Packs and Official Source Governance; ADR-003 — Private Single-User Data Model</x:v>
      </x:c>
      <x:c r="F220" s="46" t="str">
        <x:v>AC-K-015</x:v>
      </x:c>
      <x:c r="G220" s="46" t="str">
        <x:v>Yes</x:v>
      </x:c>
      <x:c r="H220" s="46" t="str">
        <x:v>V1</x:v>
      </x:c>
      <x:c r="I220" s="46" t="str">
        <x:v>Covenant Path</x:v>
      </x:c>
      <x:c r="J220" s="46" t="str">
        <x:v>Domain test</x:v>
      </x:c>
      <x:c r="K220" s="46" t="str">
        <x:v>Complete</x:v>
      </x:c>
      <x:c r="L220" s="47"/>
    </x:row>
    <x:row r="221" ht="42" customHeight="1">
      <x:c r="A221" s="45" t="str">
        <x:v>FR-K-016</x:v>
      </x:c>
      <x:c r="B221" s="46" t="str">
        <x:v>K. Covenant Path</x:v>
      </x:c>
      <x:c r="C221" s="46" t="str">
        <x:v>not require Church membership verification.</x:v>
      </x:c>
      <x:c r="D221" s="46" t="str">
        <x:v>BR-K-002, BR-K-010</x:v>
      </x:c>
      <x:c r="E221" s="46" t="str">
        <x:v>ADR-021 — Security, Privacy, Permissions, and Sensitive Data; ADR-019 — Philippine Content Packs and Official Source Governance</x:v>
      </x:c>
      <x:c r="F221" s="46" t="str">
        <x:v>AC-K-016</x:v>
      </x:c>
      <x:c r="G221" s="46" t="str">
        <x:v>Yes</x:v>
      </x:c>
      <x:c r="H221" s="46" t="str">
        <x:v>V1</x:v>
      </x:c>
      <x:c r="I221" s="46" t="str">
        <x:v>Covenant Path</x:v>
      </x:c>
      <x:c r="J221" s="46" t="str">
        <x:v>Domain test</x:v>
      </x:c>
      <x:c r="K221" s="46" t="str">
        <x:v>Complete</x:v>
      </x:c>
      <x:c r="L221" s="47"/>
    </x:row>
    <x:row r="222" ht="42" customHeight="1">
      <x:c r="A222" s="45" t="str">
        <x:v>FR-K-017</x:v>
      </x:c>
      <x:c r="B222" s="46" t="str">
        <x:v>K. Covenant Path</x:v>
      </x:c>
      <x:c r="C222" s="46" t="str">
        <x:v>not request unrelated permissions.</x:v>
      </x:c>
      <x:c r="D222" s="46" t="str">
        <x:v>BR-K-001</x:v>
      </x:c>
      <x:c r="E222" s="46" t="str">
        <x:v>ADR-021 — Security, Privacy, Permissions, and Sensitive Data; ADR-019 — Philippine Content Packs and Official Source Governance</x:v>
      </x:c>
      <x:c r="F222" s="46" t="str">
        <x:v>AC-K-017</x:v>
      </x:c>
      <x:c r="G222" s="46" t="str">
        <x:v>Yes</x:v>
      </x:c>
      <x:c r="H222" s="46" t="str">
        <x:v>V1</x:v>
      </x:c>
      <x:c r="I222" s="46" t="str">
        <x:v>Covenant Path</x:v>
      </x:c>
      <x:c r="J222" s="46" t="str">
        <x:v>Widget test</x:v>
      </x:c>
      <x:c r="K222" s="46" t="str">
        <x:v>Complete</x:v>
      </x:c>
      <x:c r="L222" s="47"/>
    </x:row>
    <x:row r="223" ht="42" customHeight="1">
      <x:c r="A223" s="45" t="str">
        <x:v>FR-K-018</x:v>
      </x:c>
      <x:c r="B223" s="46" t="str">
        <x:v>K. Covenant Path</x:v>
      </x:c>
      <x:c r="C223" s="46" t="str">
        <x:v>display clear limitations of its role.</x:v>
      </x:c>
      <x:c r="D223" s="46" t="str">
        <x:v>BR-K-001</x:v>
      </x:c>
      <x:c r="E223" s="46" t="str">
        <x:v>ADR-021 — Security, Privacy, Permissions, and Sensitive Data; ADR-019 — Philippine Content Packs and Official Source Governance</x:v>
      </x:c>
      <x:c r="F223" s="46" t="str">
        <x:v>AC-K-018</x:v>
      </x:c>
      <x:c r="G223" s="46" t="str">
        <x:v>No</x:v>
      </x:c>
      <x:c r="H223" s="46" t="str">
        <x:v>V1</x:v>
      </x:c>
      <x:c r="I223" s="46" t="str">
        <x:v>Covenant Path</x:v>
      </x:c>
      <x:c r="J223" s="46" t="str">
        <x:v>Widget test</x:v>
      </x:c>
      <x:c r="K223" s="46" t="str">
        <x:v>Complete</x:v>
      </x:c>
      <x:c r="L223" s="47"/>
    </x:row>
    <x:row r="224" ht="42" customHeight="1">
      <x:c r="A224" s="45" t="str">
        <x:v>FR-K-019</x:v>
      </x:c>
      <x:c r="B224" s="46" t="str">
        <x:v>K. Covenant Path</x:v>
      </x:c>
      <x:c r="C224" s="46" t="str">
        <x:v>use neutral factual language for missed or incomplete activities.</x:v>
      </x:c>
      <x:c r="D224" s="46" t="str">
        <x:v>BR-K-004, BR-K-005</x:v>
      </x:c>
      <x:c r="E224" s="46" t="str">
        <x:v>ADR-005 — Confirmed-Source Progress and Read-Only Actuals; ADR-021 — Security, Privacy, Permissions, and Sensitive Data; ADR-019 — Philippine Content Packs and Official Source Governance</x:v>
      </x:c>
      <x:c r="F224" s="46" t="str">
        <x:v>AC-K-019</x:v>
      </x:c>
      <x:c r="G224" s="46" t="str">
        <x:v>Yes</x:v>
      </x:c>
      <x:c r="H224" s="46" t="str">
        <x:v>V1</x:v>
      </x:c>
      <x:c r="I224" s="46" t="str">
        <x:v>Covenant Path</x:v>
      </x:c>
      <x:c r="J224" s="46" t="str">
        <x:v>Domain test / Manual review</x:v>
      </x:c>
      <x:c r="K224" s="46" t="str">
        <x:v>Complete</x:v>
      </x:c>
      <x:c r="L224" s="47"/>
    </x:row>
    <x:row r="225" ht="42" customHeight="1">
      <x:c r="A225" s="45" t="str">
        <x:v>FR-K-020</x:v>
      </x:c>
      <x:c r="B225" s="46" t="str">
        <x:v>K. Covenant Path</x:v>
      </x:c>
      <x:c r="C225" s="46" t="str">
        <x:v>The feature shall function without an account.</x:v>
      </x:c>
      <x:c r="D225" s="46" t="str">
        <x:v>BR-K-001</x:v>
      </x:c>
      <x:c r="E225" s="46" t="str">
        <x:v>ADR-021 — Security, Privacy, Permissions, and Sensitive Data; ADR-019 — Philippine Content Packs and Official Source Governance</x:v>
      </x:c>
      <x:c r="F225" s="46" t="str">
        <x:v>AC-K-020</x:v>
      </x:c>
      <x:c r="G225" s="46" t="str">
        <x:v>Yes</x:v>
      </x:c>
      <x:c r="H225" s="46" t="str">
        <x:v>V1</x:v>
      </x:c>
      <x:c r="I225" s="46" t="str">
        <x:v>Covenant Path</x:v>
      </x:c>
      <x:c r="J225" s="46" t="str">
        <x:v>Domain test</x:v>
      </x:c>
      <x:c r="K225" s="46" t="str">
        <x:v>Complete</x:v>
      </x:c>
      <x:c r="L225" s="47"/>
    </x:row>
    <x:row r="226" ht="42" customHeight="1">
      <x:c r="A226" s="45" t="str">
        <x:v>FR-L-001</x:v>
      </x:c>
      <x:c r="B226" s="46" t="str">
        <x:v>L. Contacts and Follow-Ups</x:v>
      </x:c>
      <x:c r="C226" s="46" t="str">
        <x:v>be able to create and edit contacts manually.</x:v>
      </x:c>
      <x:c r="D226" s="46" t="str">
        <x:v>BR-L-001, BR-L-006, BR-L-009</x:v>
      </x:c>
      <x:c r="E226" s="46" t="str">
        <x:v>ADR-009 — Domain Ownership and Relationship Model; ADR-003 — Private Single-User Data Model</x:v>
      </x:c>
      <x:c r="F226" s="46" t="str">
        <x:v>AC-L-001</x:v>
      </x:c>
      <x:c r="G226" s="46" t="str">
        <x:v>Yes</x:v>
      </x:c>
      <x:c r="H226" s="46" t="str">
        <x:v>V1</x:v>
      </x:c>
      <x:c r="I226" s="46" t="str">
        <x:v>Contacts and Follow-Ups</x:v>
      </x:c>
      <x:c r="J226" s="46" t="str">
        <x:v>Widget test</x:v>
      </x:c>
      <x:c r="K226" s="46" t="str">
        <x:v>Complete</x:v>
      </x:c>
      <x:c r="L226" s="47"/>
    </x:row>
    <x:row r="227" ht="42" customHeight="1">
      <x:c r="A227" s="45" t="str">
        <x:v>FR-L-002</x:v>
      </x:c>
      <x:c r="B227" s="46" t="str">
        <x:v>L. Contacts and Follow-Ups</x:v>
      </x:c>
      <x:c r="C227" s="46" t="str">
        <x:v>be able to search contacts.</x:v>
      </x:c>
      <x:c r="D227" s="46" t="str">
        <x:v>BR-L-001, BR-L-009</x:v>
      </x:c>
      <x:c r="E227" s="46" t="str">
        <x:v>ADR-009 — Domain Ownership and Relationship Model; ADR-003 — Private Single-User Data Model</x:v>
      </x:c>
      <x:c r="F227" s="46" t="str">
        <x:v>AC-L-002</x:v>
      </x:c>
      <x:c r="G227" s="46" t="str">
        <x:v>Yes</x:v>
      </x:c>
      <x:c r="H227" s="46" t="str">
        <x:v>V1</x:v>
      </x:c>
      <x:c r="I227" s="46" t="str">
        <x:v>Contacts and Follow-Ups</x:v>
      </x:c>
      <x:c r="J227" s="46" t="str">
        <x:v>Widget test</x:v>
      </x:c>
      <x:c r="K227" s="46" t="str">
        <x:v>Complete</x:v>
      </x:c>
      <x:c r="L227" s="47"/>
    </x:row>
    <x:row r="228" ht="42" customHeight="1">
      <x:c r="A228" s="45" t="str">
        <x:v>FR-L-003</x:v>
      </x:c>
      <x:c r="B228" s="46" t="str">
        <x:v>L. Contacts and Follow-Ups</x:v>
      </x:c>
      <x:c r="C228" s="46" t="str">
        <x:v>be able to assign tags and favorites.</x:v>
      </x:c>
      <x:c r="D228" s="46" t="str">
        <x:v>BR-L-001</x:v>
      </x:c>
      <x:c r="E228" s="46" t="str">
        <x:v>ADR-009 — Domain Ownership and Relationship Model; ADR-003 — Private Single-User Data Model</x:v>
      </x:c>
      <x:c r="F228" s="46" t="str">
        <x:v>AC-L-003</x:v>
      </x:c>
      <x:c r="G228" s="46" t="str">
        <x:v>Yes</x:v>
      </x:c>
      <x:c r="H228" s="46" t="str">
        <x:v>V1</x:v>
      </x:c>
      <x:c r="I228" s="46" t="str">
        <x:v>Contacts and Follow-Ups</x:v>
      </x:c>
      <x:c r="J228" s="46" t="str">
        <x:v>Widget test</x:v>
      </x:c>
      <x:c r="K228" s="46" t="str">
        <x:v>Complete</x:v>
      </x:c>
      <x:c r="L228" s="47"/>
    </x:row>
    <x:row r="229" ht="42" customHeight="1">
      <x:c r="A229" s="45" t="str">
        <x:v>FR-L-004</x:v>
      </x:c>
      <x:c r="B229" s="46" t="str">
        <x:v>L. Contacts and Follow-Ups</x:v>
      </x:c>
      <x:c r="C229" s="46" t="str">
        <x:v>be able to archive and restore contacts.</x:v>
      </x:c>
      <x:c r="D229" s="46" t="str">
        <x:v>BR-L-001, BR-L-009</x:v>
      </x:c>
      <x:c r="E229" s="46" t="str">
        <x:v>ADR-009 — Domain Ownership and Relationship Model; ADR-017 — Local Backup, Export, Restore, and Disaster Recovery; ADR-003 — Private Single-User Data Model</x:v>
      </x:c>
      <x:c r="F229" s="46" t="str">
        <x:v>AC-L-004</x:v>
      </x:c>
      <x:c r="G229" s="46" t="str">
        <x:v>Yes</x:v>
      </x:c>
      <x:c r="H229" s="46" t="str">
        <x:v>V1</x:v>
      </x:c>
      <x:c r="I229" s="46" t="str">
        <x:v>Contacts and Follow-Ups</x:v>
      </x:c>
      <x:c r="J229" s="46" t="str">
        <x:v>Database test / Widget test</x:v>
      </x:c>
      <x:c r="K229" s="46" t="str">
        <x:v>Complete</x:v>
      </x:c>
      <x:c r="L229" s="47"/>
    </x:row>
    <x:row r="230" ht="42" customHeight="1">
      <x:c r="A230" s="45" t="str">
        <x:v>FR-L-005</x:v>
      </x:c>
      <x:c r="B230" s="46" t="str">
        <x:v>L. Contacts and Follow-Ups</x:v>
      </x:c>
      <x:c r="C230" s="46" t="str">
        <x:v>be able to create follow-up Tasks and Calendar Events.</x:v>
      </x:c>
      <x:c r="D230" s="46" t="str">
        <x:v>BR-L-006</x:v>
      </x:c>
      <x:c r="E230" s="46" t="str">
        <x:v>ADR-004 — Separation of Tasks and Calendar Events; ADR-009 — Domain Ownership and Relationship Model; ADR-003 — Private Single-User Data Model</x:v>
      </x:c>
      <x:c r="F230" s="46" t="str">
        <x:v>AC-L-005</x:v>
      </x:c>
      <x:c r="G230" s="46" t="str">
        <x:v>Yes</x:v>
      </x:c>
      <x:c r="H230" s="46" t="str">
        <x:v>V1</x:v>
      </x:c>
      <x:c r="I230" s="46" t="str">
        <x:v>Contacts and Follow-Ups</x:v>
      </x:c>
      <x:c r="J230" s="46" t="str">
        <x:v>Widget test / Integration test</x:v>
      </x:c>
      <x:c r="K230" s="46" t="str">
        <x:v>Complete</x:v>
      </x:c>
      <x:c r="L230" s="47"/>
    </x:row>
    <x:row r="231" ht="42" customHeight="1">
      <x:c r="A231" s="45" t="str">
        <x:v>FR-L-006</x:v>
      </x:c>
      <x:c r="B231" s="46" t="str">
        <x:v>L. Contacts and Follow-Ups</x:v>
      </x:c>
      <x:c r="C231" s="46" t="str">
        <x:v>keep follow-ups separate from Contact records.</x:v>
      </x:c>
      <x:c r="D231" s="46" t="str">
        <x:v>BR-L-002, BR-L-003, BR-L-007</x:v>
      </x:c>
      <x:c r="E231" s="46" t="str">
        <x:v>ADR-009 — Domain Ownership and Relationship Model; ADR-003 — Private Single-User Data Model</x:v>
      </x:c>
      <x:c r="F231" s="46" t="str">
        <x:v>AC-L-006</x:v>
      </x:c>
      <x:c r="G231" s="46" t="str">
        <x:v>Yes</x:v>
      </x:c>
      <x:c r="H231" s="46" t="str">
        <x:v>V1</x:v>
      </x:c>
      <x:c r="I231" s="46" t="str">
        <x:v>Contacts and Follow-Ups</x:v>
      </x:c>
      <x:c r="J231" s="46" t="str">
        <x:v>Domain test</x:v>
      </x:c>
      <x:c r="K231" s="46" t="str">
        <x:v>Complete</x:v>
      </x:c>
      <x:c r="L231" s="47"/>
    </x:row>
    <x:row r="232" ht="42" customHeight="1">
      <x:c r="A232" s="45" t="str">
        <x:v>FR-L-007</x:v>
      </x:c>
      <x:c r="B232" s="46" t="str">
        <x:v>L. Contacts and Follow-Ups</x:v>
      </x:c>
      <x:c r="C232" s="46" t="str">
        <x:v>be able to confirm meaningful interactions through a structured report.</x:v>
      </x:c>
      <x:c r="D232" s="46" t="str">
        <x:v>BR-L-005, BR-L-007</x:v>
      </x:c>
      <x:c r="E232" s="46" t="str">
        <x:v>ADR-011 — Event and Task Outcome Reporting; ADR-009 — Domain Ownership and Relationship Model; ADR-003 — Private Single-User Data Model</x:v>
      </x:c>
      <x:c r="F232" s="46" t="str">
        <x:v>AC-L-007</x:v>
      </x:c>
      <x:c r="G232" s="46" t="str">
        <x:v>Yes</x:v>
      </x:c>
      <x:c r="H232" s="46" t="str">
        <x:v>V1</x:v>
      </x:c>
      <x:c r="I232" s="46" t="str">
        <x:v>Contacts and Follow-Ups</x:v>
      </x:c>
      <x:c r="J232" s="46" t="str">
        <x:v>Widget test</x:v>
      </x:c>
      <x:c r="K232" s="46" t="str">
        <x:v>Complete</x:v>
      </x:c>
      <x:c r="L232" s="47"/>
    </x:row>
    <x:row r="233" ht="42" customHeight="1">
      <x:c r="A233" s="45" t="str">
        <x:v>FR-L-008</x:v>
      </x:c>
      <x:c r="B233" s="46" t="str">
        <x:v>L. Contacts and Follow-Ups</x:v>
      </x:c>
      <x:c r="C233" s="46" t="str">
        <x:v>Meaningful Connections Actual shall derive from Activity Ledger entries.</x:v>
      </x:c>
      <x:c r="D233" s="46" t="str">
        <x:v>BR-L-004, BR-L-005, BR-L-006</x:v>
      </x:c>
      <x:c r="E233" s="46" t="str">
        <x:v>ADR-005 — Confirmed-Source Progress and Read-Only Actuals; ADR-012 — Activity Ledger and Contribution Engine; ADR-009 — Domain Ownership and Relationship Model; ADR-003 — Private Single-User Data Model</x:v>
      </x:c>
      <x:c r="F233" s="46" t="str">
        <x:v>AC-L-008</x:v>
      </x:c>
      <x:c r="G233" s="46" t="str">
        <x:v>Yes</x:v>
      </x:c>
      <x:c r="H233" s="46" t="str">
        <x:v>V1</x:v>
      </x:c>
      <x:c r="I233" s="46" t="str">
        <x:v>Contacts and Follow-Ups</x:v>
      </x:c>
      <x:c r="J233" s="46" t="str">
        <x:v>Domain test / Database test</x:v>
      </x:c>
      <x:c r="K233" s="46" t="str">
        <x:v>Complete</x:v>
      </x:c>
      <x:c r="L233" s="47"/>
    </x:row>
    <x:row r="234" ht="42" customHeight="1">
      <x:c r="A234" s="45" t="str">
        <x:v>FR-L-009</x:v>
      </x:c>
      <x:c r="B234" s="46" t="str">
        <x:v>L. Contacts and Follow-Ups</x:v>
      </x:c>
      <x:c r="C234" s="46" t="str">
        <x:v>Planned interactions shall remain Scheduled Potential.</x:v>
      </x:c>
      <x:c r="D234" s="46" t="str">
        <x:v>BR-L-004</x:v>
      </x:c>
      <x:c r="E234" s="46" t="str">
        <x:v>ADR-005 — Confirmed-Source Progress and Read-Only Actuals; ADR-009 — Domain Ownership and Relationship Model; ADR-003 — Private Single-User Data Model</x:v>
      </x:c>
      <x:c r="F234" s="46" t="str">
        <x:v>AC-L-009</x:v>
      </x:c>
      <x:c r="G234" s="46" t="str">
        <x:v>No</x:v>
      </x:c>
      <x:c r="H234" s="46" t="str">
        <x:v>V1</x:v>
      </x:c>
      <x:c r="I234" s="46" t="str">
        <x:v>Contacts and Follow-Ups</x:v>
      </x:c>
      <x:c r="J234" s="46" t="str">
        <x:v>Domain test</x:v>
      </x:c>
      <x:c r="K234" s="46" t="str">
        <x:v>Complete</x:v>
      </x:c>
      <x:c r="L234" s="47"/>
    </x:row>
    <x:row r="235" ht="42" customHeight="1">
      <x:c r="A235" s="45" t="str">
        <x:v>FR-L-010</x:v>
      </x:c>
      <x:c r="B235" s="46" t="str">
        <x:v>L. Contacts and Follow-Ups</x:v>
      </x:c>
      <x:c r="C235" s="46" t="str">
        <x:v>prevent duplicate interaction contributions.</x:v>
      </x:c>
      <x:c r="D235" s="46" t="str">
        <x:v>BR-L-005, BR-L-007</x:v>
      </x:c>
      <x:c r="E235" s="46" t="str">
        <x:v>ADR-012 — Activity Ledger and Contribution Engine; ADR-009 — Domain Ownership and Relationship Model; ADR-003 — Private Single-User Data Model</x:v>
      </x:c>
      <x:c r="F235" s="46" t="str">
        <x:v>AC-L-010</x:v>
      </x:c>
      <x:c r="G235" s="46" t="str">
        <x:v>Yes</x:v>
      </x:c>
      <x:c r="H235" s="46" t="str">
        <x:v>V1</x:v>
      </x:c>
      <x:c r="I235" s="46" t="str">
        <x:v>Contacts and Follow-Ups</x:v>
      </x:c>
      <x:c r="J235" s="46" t="str">
        <x:v>Domain test</x:v>
      </x:c>
      <x:c r="K235" s="46" t="str">
        <x:v>Complete</x:v>
      </x:c>
      <x:c r="L235" s="47" t="str">
        <x:v>OPD-3-004</x:v>
      </x:c>
    </x:row>
    <x:row r="236" ht="42" customHeight="1">
      <x:c r="A236" s="45" t="str">
        <x:v>FR-L-011</x:v>
      </x:c>
      <x:c r="B236" s="46" t="str">
        <x:v>L. Contacts and Follow-Ups</x:v>
      </x:c>
      <x:c r="C236" s="46" t="str">
        <x:v>not infer meaningfulness from titles, call logs, or messages.</x:v>
      </x:c>
      <x:c r="D236" s="46" t="str">
        <x:v>BR-L-006</x:v>
      </x:c>
      <x:c r="E236" s="46" t="str">
        <x:v>ADR-009 — Domain Ownership and Relationship Model; ADR-021 — Security, Privacy, Permissions, and Sensitive Data; ADR-003 — Private Single-User Data Model</x:v>
      </x:c>
      <x:c r="F236" s="46" t="str">
        <x:v>AC-L-011</x:v>
      </x:c>
      <x:c r="G236" s="46" t="str">
        <x:v>Yes</x:v>
      </x:c>
      <x:c r="H236" s="46" t="str">
        <x:v>V1</x:v>
      </x:c>
      <x:c r="I236" s="46" t="str">
        <x:v>Contacts and Follow-Ups</x:v>
      </x:c>
      <x:c r="J236" s="46" t="str">
        <x:v>Domain test</x:v>
      </x:c>
      <x:c r="K236" s="46" t="str">
        <x:v>Complete</x:v>
      </x:c>
      <x:c r="L236" s="47"/>
    </x:row>
    <x:row r="237" ht="42" customHeight="1">
      <x:c r="A237" s="45" t="str">
        <x:v>FR-L-012</x:v>
      </x:c>
      <x:c r="B237" s="46" t="str">
        <x:v>L. Contacts and Follow-Ups</x:v>
      </x:c>
      <x:c r="C237" s="46" t="str">
        <x:v>be able to import selected device contacts.</x:v>
      </x:c>
      <x:c r="D237" s="46" t="str">
        <x:v>BR-L-001, BR-L-003, BR-L-009</x:v>
      </x:c>
      <x:c r="E237" s="46" t="str">
        <x:v>ADR-009 — Domain Ownership and Relationship Model; ADR-003 — Private Single-User Data Model</x:v>
      </x:c>
      <x:c r="F237" s="46" t="str">
        <x:v>AC-L-012</x:v>
      </x:c>
      <x:c r="G237" s="46" t="str">
        <x:v>No</x:v>
      </x:c>
      <x:c r="H237" s="46" t="str">
        <x:v>V1</x:v>
      </x:c>
      <x:c r="I237" s="46" t="str">
        <x:v>Contacts and Follow-Ups</x:v>
      </x:c>
      <x:c r="J237" s="46" t="str">
        <x:v>Widget test / Integration test</x:v>
      </x:c>
      <x:c r="K237" s="46" t="str">
        <x:v>Complete</x:v>
      </x:c>
      <x:c r="L237" s="47"/>
    </x:row>
    <x:row r="238" ht="42" customHeight="1">
      <x:c r="A238" s="45" t="str">
        <x:v>FR-L-013</x:v>
      </x:c>
      <x:c r="B238" s="46" t="str">
        <x:v>L. Contacts and Follow-Ups</x:v>
      </x:c>
      <x:c r="C238" s="46" t="str">
        <x:v>Import shall remain optional.</x:v>
      </x:c>
      <x:c r="D238" s="46" t="str">
        <x:v>BR-L-003</x:v>
      </x:c>
      <x:c r="E238" s="46" t="str">
        <x:v>ADR-009 — Domain Ownership and Relationship Model; ADR-003 — Private Single-User Data Model</x:v>
      </x:c>
      <x:c r="F238" s="46" t="str">
        <x:v>AC-L-013</x:v>
      </x:c>
      <x:c r="G238" s="46" t="str">
        <x:v>Yes</x:v>
      </x:c>
      <x:c r="H238" s="46" t="str">
        <x:v>V1</x:v>
      </x:c>
      <x:c r="I238" s="46" t="str">
        <x:v>Contacts and Follow-Ups</x:v>
      </x:c>
      <x:c r="J238" s="46" t="str">
        <x:v>Integration test</x:v>
      </x:c>
      <x:c r="K238" s="46" t="str">
        <x:v>Complete</x:v>
      </x:c>
      <x:c r="L238" s="47"/>
    </x:row>
    <x:row r="239" ht="42" customHeight="1">
      <x:c r="A239" s="45" t="str">
        <x:v>FR-L-014</x:v>
      </x:c>
      <x:c r="B239" s="46" t="str">
        <x:v>L. Contacts and Follow-Ups</x:v>
      </x:c>
      <x:c r="C239" s="46" t="str">
        <x:v>not require call-log or message-reading permission.</x:v>
      </x:c>
      <x:c r="D239" s="46" t="str">
        <x:v>BR-L-002, BR-L-006</x:v>
      </x:c>
      <x:c r="E239" s="46" t="str">
        <x:v>ADR-009 — Domain Ownership and Relationship Model; ADR-021 — Security, Privacy, Permissions, and Sensitive Data; ADR-003 — Private Single-User Data Model</x:v>
      </x:c>
      <x:c r="F239" s="46" t="str">
        <x:v>AC-L-014</x:v>
      </x:c>
      <x:c r="G239" s="46" t="str">
        <x:v>Yes</x:v>
      </x:c>
      <x:c r="H239" s="46" t="str">
        <x:v>V1</x:v>
      </x:c>
      <x:c r="I239" s="46" t="str">
        <x:v>Contacts and Follow-Ups</x:v>
      </x:c>
      <x:c r="J239" s="46" t="str">
        <x:v>Widget test</x:v>
      </x:c>
      <x:c r="K239" s="46" t="str">
        <x:v>Complete</x:v>
      </x:c>
      <x:c r="L239" s="47"/>
    </x:row>
    <x:row r="240" ht="42" customHeight="1">
      <x:c r="A240" s="45" t="str">
        <x:v>FR-L-015</x:v>
      </x:c>
      <x:c r="B240" s="46" t="str">
        <x:v>L. Contacts and Follow-Ups</x:v>
      </x:c>
      <x:c r="C240" s="46" t="str">
        <x:v>be able to open supported external communication actions.</x:v>
      </x:c>
      <x:c r="D240" s="46" t="str">
        <x:v>BR-L-004</x:v>
      </x:c>
      <x:c r="E240" s="46" t="str">
        <x:v>ADR-009 — Domain Ownership and Relationship Model; ADR-003 — Private Single-User Data Model</x:v>
      </x:c>
      <x:c r="F240" s="46" t="str">
        <x:v>AC-L-015</x:v>
      </x:c>
      <x:c r="G240" s="46" t="str">
        <x:v>No</x:v>
      </x:c>
      <x:c r="H240" s="46" t="str">
        <x:v>V1</x:v>
      </x:c>
      <x:c r="I240" s="46" t="str">
        <x:v>Contacts and Follow-Ups</x:v>
      </x:c>
      <x:c r="J240" s="46" t="str">
        <x:v>Widget test / Integration test</x:v>
      </x:c>
      <x:c r="K240" s="46" t="str">
        <x:v>Complete</x:v>
      </x:c>
      <x:c r="L240" s="47"/>
    </x:row>
    <x:row r="241" ht="42" customHeight="1">
      <x:c r="A241" s="45" t="str">
        <x:v>FR-L-016</x:v>
      </x:c>
      <x:c r="B241" s="46" t="str">
        <x:v>L. Contacts and Follow-Ups</x:v>
      </x:c>
      <x:c r="C241" s="46" t="str">
        <x:v>Returning from an external action shall not create Actual automatically.</x:v>
      </x:c>
      <x:c r="D241" s="46" t="str">
        <x:v>BR-L-005, BR-L-006, BR-L-008</x:v>
      </x:c>
      <x:c r="E241" s="46" t="str">
        <x:v>ADR-005 — Confirmed-Source Progress and Read-Only Actuals; ADR-009 — Domain Ownership and Relationship Model; ADR-003 — Private Single-User Data Model</x:v>
      </x:c>
      <x:c r="F241" s="46" t="str">
        <x:v>AC-L-016</x:v>
      </x:c>
      <x:c r="G241" s="46" t="str">
        <x:v>Yes</x:v>
      </x:c>
      <x:c r="H241" s="46" t="str">
        <x:v>V1</x:v>
      </x:c>
      <x:c r="I241" s="46" t="str">
        <x:v>Contacts and Follow-Ups</x:v>
      </x:c>
      <x:c r="J241" s="46" t="str">
        <x:v>Domain test / Integration test</x:v>
      </x:c>
      <x:c r="K241" s="46" t="str">
        <x:v>Complete</x:v>
      </x:c>
      <x:c r="L241" s="47"/>
    </x:row>
    <x:row r="242" ht="42" customHeight="1">
      <x:c r="A242" s="45" t="str">
        <x:v>FR-L-017</x:v>
      </x:c>
      <x:c r="B242" s="46" t="str">
        <x:v>L. Contacts and Follow-Ups</x:v>
      </x:c>
      <x:c r="C242" s="46" t="str">
        <x:v>preserve contact history through archive and merge operations.</x:v>
      </x:c>
      <x:c r="D242" s="46" t="str">
        <x:v>BR-L-002, BR-L-003, BR-L-007</x:v>
      </x:c>
      <x:c r="E242" s="46" t="str">
        <x:v>ADR-009 — Domain Ownership and Relationship Model; ADR-003 — Private Single-User Data Model</x:v>
      </x:c>
      <x:c r="F242" s="46" t="str">
        <x:v>AC-L-017</x:v>
      </x:c>
      <x:c r="G242" s="46" t="str">
        <x:v>Yes</x:v>
      </x:c>
      <x:c r="H242" s="46" t="str">
        <x:v>V1</x:v>
      </x:c>
      <x:c r="I242" s="46" t="str">
        <x:v>Contacts and Follow-Ups</x:v>
      </x:c>
      <x:c r="J242" s="46" t="str">
        <x:v>Domain test</x:v>
      </x:c>
      <x:c r="K242" s="46" t="str">
        <x:v>Complete</x:v>
      </x:c>
      <x:c r="L242" s="47" t="str">
        <x:v>OPD-3-006</x:v>
      </x:c>
    </x:row>
    <x:row r="243" ht="42" customHeight="1">
      <x:c r="A243" s="45" t="str">
        <x:v>FR-L-018</x:v>
      </x:c>
      <x:c r="B243" s="46" t="str">
        <x:v>L. Contacts and Follow-Ups</x:v>
      </x:c>
      <x:c r="C243" s="46" t="str">
        <x:v>Contact and follow-up workflows shall operate offline.</x:v>
      </x:c>
      <x:c r="D243" s="46" t="str">
        <x:v>BR-L-002, BR-L-003</x:v>
      </x:c>
      <x:c r="E243" s="46" t="str">
        <x:v>ADR-009 — Domain Ownership and Relationship Model; ADR-006 — Local-First Operation with Background Synchronization; ADR-003 — Private Single-User Data Model</x:v>
      </x:c>
      <x:c r="F243" s="46" t="str">
        <x:v>AC-L-018</x:v>
      </x:c>
      <x:c r="G243" s="46" t="str">
        <x:v>Yes</x:v>
      </x:c>
      <x:c r="H243" s="46" t="str">
        <x:v>V1</x:v>
      </x:c>
      <x:c r="I243" s="46" t="str">
        <x:v>Contacts and Follow-Ups</x:v>
      </x:c>
      <x:c r="J243" s="46" t="str">
        <x:v>Domain test</x:v>
      </x:c>
      <x:c r="K243" s="46" t="str">
        <x:v>Complete</x:v>
      </x:c>
      <x:c r="L243" s="47"/>
    </x:row>
    <x:row r="244" ht="42" customHeight="1">
      <x:c r="A244" s="45" t="str">
        <x:v>FR-L-019</x:v>
      </x:c>
      <x:c r="B244" s="46" t="str">
        <x:v>L. Contacts and Follow-Ups</x:v>
      </x:c>
      <x:c r="C244" s="46" t="str">
        <x:v>provide interaction contribution history.</x:v>
      </x:c>
      <x:c r="D244" s="46" t="str">
        <x:v>BR-L-005, BR-L-007</x:v>
      </x:c>
      <x:c r="E244" s="46" t="str">
        <x:v>ADR-012 — Activity Ledger and Contribution Engine; ADR-009 — Domain Ownership and Relationship Model; ADR-003 — Private Single-User Data Model</x:v>
      </x:c>
      <x:c r="F244" s="46" t="str">
        <x:v>AC-L-019</x:v>
      </x:c>
      <x:c r="G244" s="46" t="str">
        <x:v>No</x:v>
      </x:c>
      <x:c r="H244" s="46" t="str">
        <x:v>V1</x:v>
      </x:c>
      <x:c r="I244" s="46" t="str">
        <x:v>Contacts and Follow-Ups</x:v>
      </x:c>
      <x:c r="J244" s="46" t="str">
        <x:v>Domain test</x:v>
      </x:c>
      <x:c r="K244" s="46" t="str">
        <x:v>Complete</x:v>
      </x:c>
      <x:c r="L244" s="47" t="str">
        <x:v>OPD-3-004</x:v>
      </x:c>
    </x:row>
    <x:row r="245" ht="42" customHeight="1">
      <x:c r="A245" s="45" t="str">
        <x:v>FR-L-020</x:v>
      </x:c>
      <x:c r="B245" s="46" t="str">
        <x:v>L. Contacts and Follow-Ups</x:v>
      </x:c>
      <x:c r="C245" s="46" t="str">
        <x:v>not provide shared directories.</x:v>
      </x:c>
      <x:c r="D245" s="46" t="str">
        <x:v>BR-L-010</x:v>
      </x:c>
      <x:c r="E245" s="46" t="str">
        <x:v>ADR-009 — Domain Ownership and Relationship Model; ADR-003 — Private Single-User Data Model</x:v>
      </x:c>
      <x:c r="F245" s="46" t="str">
        <x:v>AC-L-020</x:v>
      </x:c>
      <x:c r="G245" s="46" t="str">
        <x:v>Yes</x:v>
      </x:c>
      <x:c r="H245" s="46" t="str">
        <x:v>V1</x:v>
      </x:c>
      <x:c r="I245" s="46" t="str">
        <x:v>Contacts and Follow-Ups</x:v>
      </x:c>
      <x:c r="J245" s="46" t="str">
        <x:v>Domain test</x:v>
      </x:c>
      <x:c r="K245" s="46" t="str">
        <x:v>Complete</x:v>
      </x:c>
      <x:c r="L245" s="47"/>
    </x:row>
    <x:row r="246" ht="42" customHeight="1">
      <x:c r="A246" s="45" t="str">
        <x:v>FR-M-001</x:v>
      </x:c>
      <x:c r="B246" s="46" t="str">
        <x:v>M. Employment Applications</x:v>
      </x:c>
      <x:c r="C246" s="46" t="str">
        <x:v>be able to create an Employment Application record.</x:v>
      </x:c>
      <x:c r="D246" s="46" t="str">
        <x:v>BR-M-001, BR-M-010</x:v>
      </x:c>
      <x:c r="E246" s="46" t="str">
        <x:v>ADR-009 — Domain Ownership and Relationship Model</x:v>
      </x:c>
      <x:c r="F246" s="46" t="str">
        <x:v>AC-M-001</x:v>
      </x:c>
      <x:c r="G246" s="46" t="str">
        <x:v>Yes</x:v>
      </x:c>
      <x:c r="H246" s="46" t="str">
        <x:v>V1</x:v>
      </x:c>
      <x:c r="I246" s="46" t="str">
        <x:v>Employment Applications</x:v>
      </x:c>
      <x:c r="J246" s="46" t="str">
        <x:v>Widget test</x:v>
      </x:c>
      <x:c r="K246" s="46" t="str">
        <x:v>Complete</x:v>
      </x:c>
      <x:c r="L246" s="47" t="str">
        <x:v>OPD-3-007</x:v>
      </x:c>
    </x:row>
    <x:row r="247" ht="42" customHeight="1">
      <x:c r="A247" s="45" t="str">
        <x:v>FR-M-002</x:v>
      </x:c>
      <x:c r="B247" s="46" t="str">
        <x:v>M. Employment Applications</x:v>
      </x:c>
      <x:c r="C247" s="46" t="str">
        <x:v>Applications shall support a structured stage.</x:v>
      </x:c>
      <x:c r="D247" s="46" t="str">
        <x:v>BR-M-002, BR-M-003, BR-M-006</x:v>
      </x:c>
      <x:c r="E247" s="46" t="str">
        <x:v>ADR-009 — Domain Ownership and Relationship Model</x:v>
      </x:c>
      <x:c r="F247" s="46" t="str">
        <x:v>AC-M-002</x:v>
      </x:c>
      <x:c r="G247" s="46" t="str">
        <x:v>Yes</x:v>
      </x:c>
      <x:c r="H247" s="46" t="str">
        <x:v>V1</x:v>
      </x:c>
      <x:c r="I247" s="46" t="str">
        <x:v>Employment Applications</x:v>
      </x:c>
      <x:c r="J247" s="46" t="str">
        <x:v>Domain test</x:v>
      </x:c>
      <x:c r="K247" s="46" t="str">
        <x:v>Complete</x:v>
      </x:c>
      <x:c r="L247" s="47"/>
    </x:row>
    <x:row r="248" ht="42" customHeight="1">
      <x:c r="A248" s="45" t="str">
        <x:v>FR-M-003</x:v>
      </x:c>
      <x:c r="B248" s="46" t="str">
        <x:v>M. Employment Applications</x:v>
      </x:c>
      <x:c r="C248" s="46" t="str">
        <x:v>Applications shall retain stage history.</x:v>
      </x:c>
      <x:c r="D248" s="46" t="str">
        <x:v>BR-M-002, BR-M-003, BR-M-006</x:v>
      </x:c>
      <x:c r="E248" s="46" t="str">
        <x:v>ADR-009 — Domain Ownership and Relationship Model</x:v>
      </x:c>
      <x:c r="F248" s="46" t="str">
        <x:v>AC-M-003</x:v>
      </x:c>
      <x:c r="G248" s="46" t="str">
        <x:v>Yes</x:v>
      </x:c>
      <x:c r="H248" s="46" t="str">
        <x:v>V1</x:v>
      </x:c>
      <x:c r="I248" s="46" t="str">
        <x:v>Employment Applications</x:v>
      </x:c>
      <x:c r="J248" s="46" t="str">
        <x:v>Domain test</x:v>
      </x:c>
      <x:c r="K248" s="46" t="str">
        <x:v>Complete</x:v>
      </x:c>
      <x:c r="L248" s="47"/>
    </x:row>
    <x:row r="249" ht="42" customHeight="1">
      <x:c r="A249" s="45" t="str">
        <x:v>FR-M-004</x:v>
      </x:c>
      <x:c r="B249" s="46" t="str">
        <x:v>M. Employment Applications</x:v>
      </x:c>
      <x:c r="C249" s="46" t="str">
        <x:v>be able to record application and deadline dates.</x:v>
      </x:c>
      <x:c r="D249" s="46" t="str">
        <x:v>BR-M-001</x:v>
      </x:c>
      <x:c r="E249" s="46" t="str">
        <x:v>ADR-009 — Domain Ownership and Relationship Model</x:v>
      </x:c>
      <x:c r="F249" s="46" t="str">
        <x:v>AC-M-004</x:v>
      </x:c>
      <x:c r="G249" s="46" t="str">
        <x:v>Yes</x:v>
      </x:c>
      <x:c r="H249" s="46" t="str">
        <x:v>V1</x:v>
      </x:c>
      <x:c r="I249" s="46" t="str">
        <x:v>Employment Applications</x:v>
      </x:c>
      <x:c r="J249" s="46" t="str">
        <x:v>Widget test</x:v>
      </x:c>
      <x:c r="K249" s="46" t="str">
        <x:v>Complete</x:v>
      </x:c>
      <x:c r="L249" s="47"/>
    </x:row>
    <x:row r="250" ht="42" customHeight="1">
      <x:c r="A250" s="45" t="str">
        <x:v>FR-M-005</x:v>
      </x:c>
      <x:c r="B250" s="46" t="str">
        <x:v>M. Employment Applications</x:v>
      </x:c>
      <x:c r="C250" s="46" t="str">
        <x:v>be able to link Contacts, Tasks, and Calendar Events.</x:v>
      </x:c>
      <x:c r="D250" s="46" t="str">
        <x:v>BR-M-001</x:v>
      </x:c>
      <x:c r="E250" s="46" t="str">
        <x:v>ADR-009 — Domain Ownership and Relationship Model</x:v>
      </x:c>
      <x:c r="F250" s="46" t="str">
        <x:v>AC-M-005</x:v>
      </x:c>
      <x:c r="G250" s="46" t="str">
        <x:v>Yes</x:v>
      </x:c>
      <x:c r="H250" s="46" t="str">
        <x:v>V1</x:v>
      </x:c>
      <x:c r="I250" s="46" t="str">
        <x:v>Employment Applications</x:v>
      </x:c>
      <x:c r="J250" s="46" t="str">
        <x:v>Widget test / Integration test</x:v>
      </x:c>
      <x:c r="K250" s="46" t="str">
        <x:v>Complete</x:v>
      </x:c>
      <x:c r="L250" s="47"/>
    </x:row>
    <x:row r="251" ht="42" customHeight="1">
      <x:c r="A251" s="45" t="str">
        <x:v>FR-M-006</x:v>
      </x:c>
      <x:c r="B251" s="46" t="str">
        <x:v>M. Employment Applications</x:v>
      </x:c>
      <x:c r="C251" s="46" t="str">
        <x:v>be able to confirm a submitted application.</x:v>
      </x:c>
      <x:c r="D251" s="46" t="str">
        <x:v>BR-M-001, BR-M-002</x:v>
      </x:c>
      <x:c r="E251" s="46" t="str">
        <x:v>ADR-009 — Domain Ownership and Relationship Model</x:v>
      </x:c>
      <x:c r="F251" s="46" t="str">
        <x:v>AC-M-006</x:v>
      </x:c>
      <x:c r="G251" s="46" t="str">
        <x:v>Yes</x:v>
      </x:c>
      <x:c r="H251" s="46" t="str">
        <x:v>V1</x:v>
      </x:c>
      <x:c r="I251" s="46" t="str">
        <x:v>Employment Applications</x:v>
      </x:c>
      <x:c r="J251" s="46" t="str">
        <x:v>Widget test</x:v>
      </x:c>
      <x:c r="K251" s="46" t="str">
        <x:v>Complete</x:v>
      </x:c>
      <x:c r="L251" s="47"/>
    </x:row>
    <x:row r="252" ht="42" customHeight="1">
      <x:c r="A252" s="45" t="str">
        <x:v>FR-M-007</x:v>
      </x:c>
      <x:c r="B252" s="46" t="str">
        <x:v>M. Employment Applications</x:v>
      </x:c>
      <x:c r="C252" s="46" t="str">
        <x:v>Submission confirmation shall create a qualifying Job Applications contribution.</x:v>
      </x:c>
      <x:c r="D252" s="46" t="str">
        <x:v>BR-M-003, BR-M-004, BR-M-005</x:v>
      </x:c>
      <x:c r="E252" s="46" t="str">
        <x:v>ADR-012 — Activity Ledger and Contribution Engine; ADR-009 — Domain Ownership and Relationship Model</x:v>
      </x:c>
      <x:c r="F252" s="46" t="str">
        <x:v>AC-M-007</x:v>
      </x:c>
      <x:c r="G252" s="46" t="str">
        <x:v>Yes</x:v>
      </x:c>
      <x:c r="H252" s="46" t="str">
        <x:v>V1</x:v>
      </x:c>
      <x:c r="I252" s="46" t="str">
        <x:v>Employment Applications</x:v>
      </x:c>
      <x:c r="J252" s="46" t="str">
        <x:v>Domain test</x:v>
      </x:c>
      <x:c r="K252" s="46" t="str">
        <x:v>Complete</x:v>
      </x:c>
      <x:c r="L252" s="47" t="str">
        <x:v>OPD-3-009</x:v>
      </x:c>
    </x:row>
    <x:row r="253" ht="42" customHeight="1">
      <x:c r="A253" s="45" t="str">
        <x:v>FR-M-008</x:v>
      </x:c>
      <x:c r="B253" s="46" t="str">
        <x:v>M. Employment Applications</x:v>
      </x:c>
      <x:c r="C253" s="46" t="str">
        <x:v>Saved, Considering, and Preparing stages shall not create Actual.</x:v>
      </x:c>
      <x:c r="D253" s="46" t="str">
        <x:v>BR-M-002, BR-M-003</x:v>
      </x:c>
      <x:c r="E253" s="46" t="str">
        <x:v>ADR-005 — Confirmed-Source Progress and Read-Only Actuals; ADR-009 — Domain Ownership and Relationship Model</x:v>
      </x:c>
      <x:c r="F253" s="46" t="str">
        <x:v>AC-M-008</x:v>
      </x:c>
      <x:c r="G253" s="46" t="str">
        <x:v>Yes</x:v>
      </x:c>
      <x:c r="H253" s="46" t="str">
        <x:v>V1</x:v>
      </x:c>
      <x:c r="I253" s="46" t="str">
        <x:v>Employment Applications</x:v>
      </x:c>
      <x:c r="J253" s="46" t="str">
        <x:v>Domain test</x:v>
      </x:c>
      <x:c r="K253" s="46" t="str">
        <x:v>Complete</x:v>
      </x:c>
      <x:c r="L253" s="47"/>
    </x:row>
    <x:row r="254" ht="42" customHeight="1">
      <x:c r="A254" s="45" t="str">
        <x:v>FR-M-009</x:v>
      </x:c>
      <x:c r="B254" s="46" t="str">
        <x:v>M. Employment Applications</x:v>
      </x:c>
      <x:c r="C254" s="46" t="str">
        <x:v>Submission retries shall not duplicate Actual.</x:v>
      </x:c>
      <x:c r="D254" s="46" t="str">
        <x:v>BR-M-003, BR-M-004, BR-M-005</x:v>
      </x:c>
      <x:c r="E254" s="46" t="str">
        <x:v>ADR-005 — Confirmed-Source Progress and Read-Only Actuals; ADR-009 — Domain Ownership and Relationship Model</x:v>
      </x:c>
      <x:c r="F254" s="46" t="str">
        <x:v>AC-M-009</x:v>
      </x:c>
      <x:c r="G254" s="46" t="str">
        <x:v>Yes</x:v>
      </x:c>
      <x:c r="H254" s="46" t="str">
        <x:v>V1</x:v>
      </x:c>
      <x:c r="I254" s="46" t="str">
        <x:v>Employment Applications</x:v>
      </x:c>
      <x:c r="J254" s="46" t="str">
        <x:v>Domain test</x:v>
      </x:c>
      <x:c r="K254" s="46" t="str">
        <x:v>Complete</x:v>
      </x:c>
      <x:c r="L254" s="47"/>
    </x:row>
    <x:row r="255" ht="42" customHeight="1">
      <x:c r="A255" s="45" t="str">
        <x:v>FR-M-010</x:v>
      </x:c>
      <x:c r="B255" s="46" t="str">
        <x:v>M. Employment Applications</x:v>
      </x:c>
      <x:c r="C255" s="46" t="str">
        <x:v>be able to record interview invitations and schedules.</x:v>
      </x:c>
      <x:c r="D255" s="46" t="str">
        <x:v>BR-M-007</x:v>
      </x:c>
      <x:c r="E255" s="46" t="str">
        <x:v>ADR-009 — Domain Ownership and Relationship Model</x:v>
      </x:c>
      <x:c r="F255" s="46" t="str">
        <x:v>AC-M-010</x:v>
      </x:c>
      <x:c r="G255" s="46" t="str">
        <x:v>No</x:v>
      </x:c>
      <x:c r="H255" s="46" t="str">
        <x:v>V1</x:v>
      </x:c>
      <x:c r="I255" s="46" t="str">
        <x:v>Employment Applications</x:v>
      </x:c>
      <x:c r="J255" s="46" t="str">
        <x:v>Widget test</x:v>
      </x:c>
      <x:c r="K255" s="46" t="str">
        <x:v>Complete</x:v>
      </x:c>
      <x:c r="L255" s="47"/>
    </x:row>
    <x:row r="256" ht="42" customHeight="1">
      <x:c r="A256" s="45" t="str">
        <x:v>FR-M-011</x:v>
      </x:c>
      <x:c r="B256" s="46" t="str">
        <x:v>M. Employment Applications</x:v>
      </x:c>
      <x:c r="C256" s="46" t="str">
        <x:v>be able to record offers, acceptance, rejection, withdrawal, and closure.</x:v>
      </x:c>
      <x:c r="D256" s="46" t="str">
        <x:v>BR-M-005</x:v>
      </x:c>
      <x:c r="E256" s="46" t="str">
        <x:v>ADR-009 — Domain Ownership and Relationship Model</x:v>
      </x:c>
      <x:c r="F256" s="46" t="str">
        <x:v>AC-M-011</x:v>
      </x:c>
      <x:c r="G256" s="46" t="str">
        <x:v>No</x:v>
      </x:c>
      <x:c r="H256" s="46" t="str">
        <x:v>V1</x:v>
      </x:c>
      <x:c r="I256" s="46" t="str">
        <x:v>Employment Applications</x:v>
      </x:c>
      <x:c r="J256" s="46" t="str">
        <x:v>Widget test</x:v>
      </x:c>
      <x:c r="K256" s="46" t="str">
        <x:v>Complete</x:v>
      </x:c>
      <x:c r="L256" s="47"/>
    </x:row>
    <x:row r="257" ht="42" customHeight="1">
      <x:c r="A257" s="45" t="str">
        <x:v>FR-M-012</x:v>
      </x:c>
      <x:c r="B257" s="46" t="str">
        <x:v>M. Employment Applications</x:v>
      </x:c>
      <x:c r="C257" s="46" t="str">
        <x:v>Closed outcomes shall preserve submission history.</x:v>
      </x:c>
      <x:c r="D257" s="46" t="str">
        <x:v>BR-M-004, BR-M-005, BR-M-006</x:v>
      </x:c>
      <x:c r="E257" s="46" t="str">
        <x:v>ADR-011 — Event and Task Outcome Reporting; ADR-009 — Domain Ownership and Relationship Model</x:v>
      </x:c>
      <x:c r="F257" s="46" t="str">
        <x:v>AC-M-012</x:v>
      </x:c>
      <x:c r="G257" s="46" t="str">
        <x:v>Yes</x:v>
      </x:c>
      <x:c r="H257" s="46" t="str">
        <x:v>V1</x:v>
      </x:c>
      <x:c r="I257" s="46" t="str">
        <x:v>Employment Applications</x:v>
      </x:c>
      <x:c r="J257" s="46" t="str">
        <x:v>Domain test</x:v>
      </x:c>
      <x:c r="K257" s="46" t="str">
        <x:v>Complete</x:v>
      </x:c>
      <x:c r="L257" s="47"/>
    </x:row>
    <x:row r="258" ht="42" customHeight="1">
      <x:c r="A258" s="45" t="str">
        <x:v>FR-M-013</x:v>
      </x:c>
      <x:c r="B258" s="46" t="str">
        <x:v>M. Employment Applications</x:v>
      </x:c>
      <x:c r="C258" s="46" t="str">
        <x:v>support separate reapplication cycles.</x:v>
      </x:c>
      <x:c r="D258" s="46" t="str">
        <x:v>BR-M-001, BR-M-008</x:v>
      </x:c>
      <x:c r="E258" s="46" t="str">
        <x:v>ADR-009 — Domain Ownership and Relationship Model</x:v>
      </x:c>
      <x:c r="F258" s="46" t="str">
        <x:v>AC-M-013</x:v>
      </x:c>
      <x:c r="G258" s="46" t="str">
        <x:v>Yes</x:v>
      </x:c>
      <x:c r="H258" s="46" t="str">
        <x:v>V1</x:v>
      </x:c>
      <x:c r="I258" s="46" t="str">
        <x:v>Employment Applications</x:v>
      </x:c>
      <x:c r="J258" s="46" t="str">
        <x:v>Domain test</x:v>
      </x:c>
      <x:c r="K258" s="46" t="str">
        <x:v>Complete</x:v>
      </x:c>
      <x:c r="L258" s="47"/>
    </x:row>
    <x:row r="259" ht="42" customHeight="1">
      <x:c r="A259" s="45" t="str">
        <x:v>FR-M-014</x:v>
      </x:c>
      <x:c r="B259" s="46" t="str">
        <x:v>M. Employment Applications</x:v>
      </x:c>
      <x:c r="C259" s="46" t="str">
        <x:v>distinguish source dates and verification status for external information.</x:v>
      </x:c>
      <x:c r="D259" s="46" t="str">
        <x:v>BR-M-009</x:v>
      </x:c>
      <x:c r="E259" s="46" t="str">
        <x:v>ADR-009 — Domain Ownership and Relationship Model</x:v>
      </x:c>
      <x:c r="F259" s="46" t="str">
        <x:v>AC-M-014</x:v>
      </x:c>
      <x:c r="G259" s="46" t="str">
        <x:v>No</x:v>
      </x:c>
      <x:c r="H259" s="46" t="str">
        <x:v>V1</x:v>
      </x:c>
      <x:c r="I259" s="46" t="str">
        <x:v>Employment Applications</x:v>
      </x:c>
      <x:c r="J259" s="46" t="str">
        <x:v>Domain test / Integration test</x:v>
      </x:c>
      <x:c r="K259" s="46" t="str">
        <x:v>Complete</x:v>
      </x:c>
      <x:c r="L259" s="47"/>
    </x:row>
    <x:row r="260" ht="42" customHeight="1">
      <x:c r="A260" s="45" t="str">
        <x:v>FR-M-015</x:v>
      </x:c>
      <x:c r="B260" s="46" t="str">
        <x:v>M. Employment Applications</x:v>
      </x:c>
      <x:c r="C260" s="46" t="str">
        <x:v>be able to archive and restore applications.</x:v>
      </x:c>
      <x:c r="D260" s="46" t="str">
        <x:v>BR-M-002, BR-M-003</x:v>
      </x:c>
      <x:c r="E260" s="46" t="str">
        <x:v>ADR-009 — Domain Ownership and Relationship Model; ADR-017 — Local Backup, Export, Restore, and Disaster Recovery</x:v>
      </x:c>
      <x:c r="F260" s="46" t="str">
        <x:v>AC-M-015</x:v>
      </x:c>
      <x:c r="G260" s="46" t="str">
        <x:v>Yes</x:v>
      </x:c>
      <x:c r="H260" s="46" t="str">
        <x:v>V1</x:v>
      </x:c>
      <x:c r="I260" s="46" t="str">
        <x:v>Employment Applications</x:v>
      </x:c>
      <x:c r="J260" s="46" t="str">
        <x:v>Database test / Widget test</x:v>
      </x:c>
      <x:c r="K260" s="46" t="str">
        <x:v>Complete</x:v>
      </x:c>
      <x:c r="L260" s="47"/>
    </x:row>
    <x:row r="261" ht="42" customHeight="1">
      <x:c r="A261" s="45" t="str">
        <x:v>FR-M-016</x:v>
      </x:c>
      <x:c r="B261" s="46" t="str">
        <x:v>M. Employment Applications</x:v>
      </x:c>
      <x:c r="C261" s="46" t="str">
        <x:v>provide Job Applications contribution history.</x:v>
      </x:c>
      <x:c r="D261" s="46" t="str">
        <x:v>BR-M-003, BR-M-004, BR-M-006</x:v>
      </x:c>
      <x:c r="E261" s="46" t="str">
        <x:v>ADR-012 — Activity Ledger and Contribution Engine; ADR-009 — Domain Ownership and Relationship Model</x:v>
      </x:c>
      <x:c r="F261" s="46" t="str">
        <x:v>AC-M-016</x:v>
      </x:c>
      <x:c r="G261" s="46" t="str">
        <x:v>No</x:v>
      </x:c>
      <x:c r="H261" s="46" t="str">
        <x:v>V1</x:v>
      </x:c>
      <x:c r="I261" s="46" t="str">
        <x:v>Employment Applications</x:v>
      </x:c>
      <x:c r="J261" s="46" t="str">
        <x:v>Domain test</x:v>
      </x:c>
      <x:c r="K261" s="46" t="str">
        <x:v>Complete</x:v>
      </x:c>
      <x:c r="L261" s="47" t="str">
        <x:v>OPD-3-009</x:v>
      </x:c>
    </x:row>
    <x:row r="262" ht="42" customHeight="1">
      <x:c r="A262" s="45" t="str">
        <x:v>FR-M-017</x:v>
      </x:c>
      <x:c r="B262" s="46" t="str">
        <x:v>M. Employment Applications</x:v>
      </x:c>
      <x:c r="C262" s="46" t="str">
        <x:v>not classify applications from titles alone.</x:v>
      </x:c>
      <x:c r="D262" s="46" t="str">
        <x:v>BR-M-001, BR-M-002, BR-M-003</x:v>
      </x:c>
      <x:c r="E262" s="46" t="str">
        <x:v>ADR-009 — Domain Ownership and Relationship Model</x:v>
      </x:c>
      <x:c r="F262" s="46" t="str">
        <x:v>AC-M-017</x:v>
      </x:c>
      <x:c r="G262" s="46" t="str">
        <x:v>Yes</x:v>
      </x:c>
      <x:c r="H262" s="46" t="str">
        <x:v>V1</x:v>
      </x:c>
      <x:c r="I262" s="46" t="str">
        <x:v>Employment Applications</x:v>
      </x:c>
      <x:c r="J262" s="46" t="str">
        <x:v>Domain test</x:v>
      </x:c>
      <x:c r="K262" s="46" t="str">
        <x:v>Complete</x:v>
      </x:c>
      <x:c r="L262" s="47"/>
    </x:row>
    <x:row r="263" ht="42" customHeight="1">
      <x:c r="A263" s="45" t="str">
        <x:v>FR-M-018</x:v>
      </x:c>
      <x:c r="B263" s="46" t="str">
        <x:v>M. Employment Applications</x:v>
      </x:c>
      <x:c r="C263" s="46" t="str">
        <x:v>Employment workflows shall function offline.</x:v>
      </x:c>
      <x:c r="D263" s="46" t="str">
        <x:v>BR-M-001, BR-M-010</x:v>
      </x:c>
      <x:c r="E263" s="46" t="str">
        <x:v>ADR-009 — Domain Ownership and Relationship Model; ADR-006 — Local-First Operation with Background Synchronization</x:v>
      </x:c>
      <x:c r="F263" s="46" t="str">
        <x:v>AC-M-018</x:v>
      </x:c>
      <x:c r="G263" s="46" t="str">
        <x:v>Yes</x:v>
      </x:c>
      <x:c r="H263" s="46" t="str">
        <x:v>V1</x:v>
      </x:c>
      <x:c r="I263" s="46" t="str">
        <x:v>Employment Applications</x:v>
      </x:c>
      <x:c r="J263" s="46" t="str">
        <x:v>Domain test</x:v>
      </x:c>
      <x:c r="K263" s="46" t="str">
        <x:v>Complete</x:v>
      </x:c>
      <x:c r="L263" s="47"/>
    </x:row>
    <x:row r="264" ht="42" customHeight="1">
      <x:c r="A264" s="45" t="str">
        <x:v>FR-M-019</x:v>
      </x:c>
      <x:c r="B264" s="46" t="str">
        <x:v>M. Employment Applications</x:v>
      </x:c>
      <x:c r="C264" s="46" t="str">
        <x:v>not require an external vacancy URL.</x:v>
      </x:c>
      <x:c r="D264" s="46" t="str">
        <x:v>BR-M-009</x:v>
      </x:c>
      <x:c r="E264" s="46" t="str">
        <x:v>ADR-009 — Domain Ownership and Relationship Model</x:v>
      </x:c>
      <x:c r="F264" s="46" t="str">
        <x:v>AC-M-019</x:v>
      </x:c>
      <x:c r="G264" s="46" t="str">
        <x:v>Yes</x:v>
      </x:c>
      <x:c r="H264" s="46" t="str">
        <x:v>V1</x:v>
      </x:c>
      <x:c r="I264" s="46" t="str">
        <x:v>Employment Applications</x:v>
      </x:c>
      <x:c r="J264" s="46" t="str">
        <x:v>Integration test</x:v>
      </x:c>
      <x:c r="K264" s="46" t="str">
        <x:v>Complete</x:v>
      </x:c>
      <x:c r="L264" s="47"/>
    </x:row>
    <x:row r="265" ht="42" customHeight="1">
      <x:c r="A265" s="45" t="str">
        <x:v>FR-M-020</x:v>
      </x:c>
      <x:c r="B265" s="46" t="str">
        <x:v>M. Employment Applications</x:v>
      </x:c>
      <x:c r="C265" s="46" t="str">
        <x:v>The feature shall support Philippines and remote or international application contexts.</x:v>
      </x:c>
      <x:c r="D265" s="46" t="str">
        <x:v>BR-M-001</x:v>
      </x:c>
      <x:c r="E265" s="46" t="str">
        <x:v>ADR-009 — Domain Ownership and Relationship Model; ADR-019 — Philippine Content Packs and Official Source Governance</x:v>
      </x:c>
      <x:c r="F265" s="46" t="str">
        <x:v>AC-M-020</x:v>
      </x:c>
      <x:c r="G265" s="46" t="str">
        <x:v>No</x:v>
      </x:c>
      <x:c r="H265" s="46" t="str">
        <x:v>V1</x:v>
      </x:c>
      <x:c r="I265" s="46" t="str">
        <x:v>Employment Applications</x:v>
      </x:c>
      <x:c r="J265" s="46" t="str">
        <x:v>Domain test</x:v>
      </x:c>
      <x:c r="K265" s="46" t="str">
        <x:v>Complete</x:v>
      </x:c>
      <x:c r="L265" s="47" t="str">
        <x:v>OPD-3-007</x:v>
      </x:c>
    </x:row>
    <x:row r="266" ht="42" customHeight="1">
      <x:c r="A266" s="45" t="str">
        <x:v>FR-N-001</x:v>
      </x:c>
      <x:c r="B266" s="46" t="str">
        <x:v>N. Education Planning</x:v>
      </x:c>
      <x:c r="C266" s="46" t="str">
        <x:v>be able to create bundled or custom Education Options.</x:v>
      </x:c>
      <x:c r="D266" s="46" t="str">
        <x:v>BR-N-002, BR-N-008, BR-N-010</x:v>
      </x:c>
      <x:c r="E266" s="46" t="str">
        <x:v>ADR-019 — Philippine Content Packs and Official Source Governance</x:v>
      </x:c>
      <x:c r="F266" s="46" t="str">
        <x:v>AC-N-001</x:v>
      </x:c>
      <x:c r="G266" s="46" t="str">
        <x:v>Yes</x:v>
      </x:c>
      <x:c r="H266" s="46" t="str">
        <x:v>V1</x:v>
      </x:c>
      <x:c r="I266" s="46" t="str">
        <x:v>Education Planning</x:v>
      </x:c>
      <x:c r="J266" s="46" t="str">
        <x:v>Widget test</x:v>
      </x:c>
      <x:c r="K266" s="46" t="str">
        <x:v>Complete</x:v>
      </x:c>
      <x:c r="L266" s="47" t="str">
        <x:v>OPD-3-011</x:v>
      </x:c>
    </x:row>
    <x:row r="267" ht="42" customHeight="1">
      <x:c r="A267" s="45" t="str">
        <x:v>FR-N-002</x:v>
      </x:c>
      <x:c r="B267" s="46" t="str">
        <x:v>N. Education Planning</x:v>
      </x:c>
      <x:c r="C267" s="46" t="str">
        <x:v>Education Options shall support provider, program, mode, location, and intake information.</x:v>
      </x:c>
      <x:c r="D267" s="46" t="str">
        <x:v>BR-N-002, BR-N-005, BR-N-010</x:v>
      </x:c>
      <x:c r="E267" s="46" t="str">
        <x:v>ADR-019 — Philippine Content Packs and Official Source Governance</x:v>
      </x:c>
      <x:c r="F267" s="46" t="str">
        <x:v>AC-N-002</x:v>
      </x:c>
      <x:c r="G267" s="46" t="str">
        <x:v>Yes</x:v>
      </x:c>
      <x:c r="H267" s="46" t="str">
        <x:v>V1</x:v>
      </x:c>
      <x:c r="I267" s="46" t="str">
        <x:v>Education Planning</x:v>
      </x:c>
      <x:c r="J267" s="46" t="str">
        <x:v>Domain test</x:v>
      </x:c>
      <x:c r="K267" s="46" t="str">
        <x:v>Complete</x:v>
      </x:c>
      <x:c r="L267" s="47" t="str">
        <x:v>OPD-3-011</x:v>
      </x:c>
    </x:row>
    <x:row r="268" ht="42" customHeight="1">
      <x:c r="A268" s="45" t="str">
        <x:v>FR-N-003</x:v>
      </x:c>
      <x:c r="B268" s="46" t="str">
        <x:v>N. Education Planning</x:v>
      </x:c>
      <x:c r="C268" s="46" t="str">
        <x:v>support structured requirements.</x:v>
      </x:c>
      <x:c r="D268" s="46" t="str">
        <x:v>BR-N-004, BR-N-007</x:v>
      </x:c>
      <x:c r="E268" s="46" t="str">
        <x:v>ADR-019 — Philippine Content Packs and Official Source Governance</x:v>
      </x:c>
      <x:c r="F268" s="46" t="str">
        <x:v>AC-N-003</x:v>
      </x:c>
      <x:c r="G268" s="46" t="str">
        <x:v>Yes</x:v>
      </x:c>
      <x:c r="H268" s="46" t="str">
        <x:v>V1</x:v>
      </x:c>
      <x:c r="I268" s="46" t="str">
        <x:v>Education Planning</x:v>
      </x:c>
      <x:c r="J268" s="46" t="str">
        <x:v>Domain test</x:v>
      </x:c>
      <x:c r="K268" s="46" t="str">
        <x:v>Complete</x:v>
      </x:c>
      <x:c r="L268" s="47"/>
    </x:row>
    <x:row r="269" ht="42" customHeight="1">
      <x:c r="A269" s="45" t="str">
        <x:v>FR-N-004</x:v>
      </x:c>
      <x:c r="B269" s="46" t="str">
        <x:v>N. Education Planning</x:v>
      </x:c>
      <x:c r="C269" s="46" t="str">
        <x:v>Requirements shall support source and last-verified date.</x:v>
      </x:c>
      <x:c r="D269" s="46" t="str">
        <x:v>BR-N-004, BR-N-007</x:v>
      </x:c>
      <x:c r="E269" s="46" t="str">
        <x:v>ADR-019 — Philippine Content Packs and Official Source Governance</x:v>
      </x:c>
      <x:c r="F269" s="46" t="str">
        <x:v>AC-N-004</x:v>
      </x:c>
      <x:c r="G269" s="46" t="str">
        <x:v>Yes</x:v>
      </x:c>
      <x:c r="H269" s="46" t="str">
        <x:v>V1</x:v>
      </x:c>
      <x:c r="I269" s="46" t="str">
        <x:v>Education Planning</x:v>
      </x:c>
      <x:c r="J269" s="46" t="str">
        <x:v>Manual review</x:v>
      </x:c>
      <x:c r="K269" s="46" t="str">
        <x:v>Complete</x:v>
      </x:c>
      <x:c r="L269" s="47" t="str">
        <x:v>OPD-3-012</x:v>
      </x:c>
    </x:row>
    <x:row r="270" ht="42" customHeight="1">
      <x:c r="A270" s="45" t="str">
        <x:v>FR-N-005</x:v>
      </x:c>
      <x:c r="B270" s="46" t="str">
        <x:v>N. Education Planning</x:v>
      </x:c>
      <x:c r="C270" s="46" t="str">
        <x:v>Requirements shall support verification status.</x:v>
      </x:c>
      <x:c r="D270" s="46" t="str">
        <x:v>BR-N-004, BR-N-007</x:v>
      </x:c>
      <x:c r="E270" s="46" t="str">
        <x:v>ADR-019 — Philippine Content Packs and Official Source Governance</x:v>
      </x:c>
      <x:c r="F270" s="46" t="str">
        <x:v>AC-N-005</x:v>
      </x:c>
      <x:c r="G270" s="46" t="str">
        <x:v>Yes</x:v>
      </x:c>
      <x:c r="H270" s="46" t="str">
        <x:v>V1</x:v>
      </x:c>
      <x:c r="I270" s="46" t="str">
        <x:v>Education Planning</x:v>
      </x:c>
      <x:c r="J270" s="46" t="str">
        <x:v>Domain test</x:v>
      </x:c>
      <x:c r="K270" s="46" t="str">
        <x:v>Complete</x:v>
      </x:c>
      <x:c r="L270" s="47"/>
    </x:row>
    <x:row r="271" ht="42" customHeight="1">
      <x:c r="A271" s="45" t="str">
        <x:v>FR-N-006</x:v>
      </x:c>
      <x:c r="B271" s="46" t="str">
        <x:v>N. Education Planning</x:v>
      </x:c>
      <x:c r="C271" s="46" t="str">
        <x:v>be able to create Goals and Milestones from an Education Option.</x:v>
      </x:c>
      <x:c r="D271" s="46" t="str">
        <x:v>BR-N-002, BR-N-010</x:v>
      </x:c>
      <x:c r="E271" s="46" t="str">
        <x:v>ADR-019 — Philippine Content Packs and Official Source Governance</x:v>
      </x:c>
      <x:c r="F271" s="46" t="str">
        <x:v>AC-N-006</x:v>
      </x:c>
      <x:c r="G271" s="46" t="str">
        <x:v>Yes</x:v>
      </x:c>
      <x:c r="H271" s="46" t="str">
        <x:v>V1</x:v>
      </x:c>
      <x:c r="I271" s="46" t="str">
        <x:v>Education Planning</x:v>
      </x:c>
      <x:c r="J271" s="46" t="str">
        <x:v>Widget test</x:v>
      </x:c>
      <x:c r="K271" s="46" t="str">
        <x:v>Complete</x:v>
      </x:c>
      <x:c r="L271" s="47"/>
    </x:row>
    <x:row r="272" ht="42" customHeight="1">
      <x:c r="A272" s="45" t="str">
        <x:v>FR-N-007</x:v>
      </x:c>
      <x:c r="B272" s="46" t="str">
        <x:v>N. Education Planning</x:v>
      </x:c>
      <x:c r="C272" s="46" t="str">
        <x:v>be able to create Tasks and Calendar Events.</x:v>
      </x:c>
      <x:c r="D272" s="46" t="str">
        <x:v>BR-N-007</x:v>
      </x:c>
      <x:c r="E272" s="46" t="str">
        <x:v>ADR-004 — Separation of Tasks and Calendar Events; ADR-019 — Philippine Content Packs and Official Source Governance</x:v>
      </x:c>
      <x:c r="F272" s="46" t="str">
        <x:v>AC-N-007</x:v>
      </x:c>
      <x:c r="G272" s="46" t="str">
        <x:v>Yes</x:v>
      </x:c>
      <x:c r="H272" s="46" t="str">
        <x:v>V1</x:v>
      </x:c>
      <x:c r="I272" s="46" t="str">
        <x:v>Education Planning</x:v>
      </x:c>
      <x:c r="J272" s="46" t="str">
        <x:v>Widget test / Integration test</x:v>
      </x:c>
      <x:c r="K272" s="46" t="str">
        <x:v>Complete</x:v>
      </x:c>
      <x:c r="L272" s="47"/>
    </x:row>
    <x:row r="273" ht="42" customHeight="1">
      <x:c r="A273" s="45" t="str">
        <x:v>FR-N-008</x:v>
      </x:c>
      <x:c r="B273" s="46" t="str">
        <x:v>N. Education Planning</x:v>
      </x:c>
      <x:c r="C273" s="46" t="str">
        <x:v>be able to link Government Document Requirements.</x:v>
      </x:c>
      <x:c r="D273" s="46" t="str">
        <x:v>BR-N-004, BR-N-007, BR-N-009</x:v>
      </x:c>
      <x:c r="E273" s="46" t="str">
        <x:v>ADR-009 — Domain Ownership and Relationship Model; ADR-019 — Philippine Content Packs and Official Source Governance</x:v>
      </x:c>
      <x:c r="F273" s="46" t="str">
        <x:v>AC-N-008</x:v>
      </x:c>
      <x:c r="G273" s="46" t="str">
        <x:v>Yes</x:v>
      </x:c>
      <x:c r="H273" s="46" t="str">
        <x:v>V1</x:v>
      </x:c>
      <x:c r="I273" s="46" t="str">
        <x:v>Education Planning</x:v>
      </x:c>
      <x:c r="J273" s="46" t="str">
        <x:v>Widget test</x:v>
      </x:c>
      <x:c r="K273" s="46" t="str">
        <x:v>Complete</x:v>
      </x:c>
      <x:c r="L273" s="47"/>
    </x:row>
    <x:row r="274" ht="42" customHeight="1">
      <x:c r="A274" s="45" t="str">
        <x:v>FR-N-009</x:v>
      </x:c>
      <x:c r="B274" s="46" t="str">
        <x:v>N. Education Planning</x:v>
      </x:c>
      <x:c r="C274" s="46" t="str">
        <x:v>Education applications shall have structured stages.</x:v>
      </x:c>
      <x:c r="D274" s="46" t="str">
        <x:v>BR-N-002, BR-N-010</x:v>
      </x:c>
      <x:c r="E274" s="46" t="str">
        <x:v>ADR-019 — Philippine Content Packs and Official Source Governance</x:v>
      </x:c>
      <x:c r="F274" s="46" t="str">
        <x:v>AC-N-009</x:v>
      </x:c>
      <x:c r="G274" s="46" t="str">
        <x:v>No</x:v>
      </x:c>
      <x:c r="H274" s="46" t="str">
        <x:v>V1</x:v>
      </x:c>
      <x:c r="I274" s="46" t="str">
        <x:v>Education Planning</x:v>
      </x:c>
      <x:c r="J274" s="46" t="str">
        <x:v>Domain test</x:v>
      </x:c>
      <x:c r="K274" s="46" t="str">
        <x:v>Complete</x:v>
      </x:c>
      <x:c r="L274" s="47" t="str">
        <x:v>OPD-3-010</x:v>
      </x:c>
    </x:row>
    <x:row r="275" ht="42" customHeight="1">
      <x:c r="A275" s="45" t="str">
        <x:v>FR-N-010</x:v>
      </x:c>
      <x:c r="B275" s="46" t="str">
        <x:v>N. Education Planning</x:v>
      </x:c>
      <x:c r="C275" s="46" t="str">
        <x:v>Application submission shall require explicit confirmation.</x:v>
      </x:c>
      <x:c r="D275" s="46" t="str">
        <x:v>BR-N-003</x:v>
      </x:c>
      <x:c r="E275" s="46" t="str">
        <x:v>ADR-019 — Philippine Content Packs and Official Source Governance</x:v>
      </x:c>
      <x:c r="F275" s="46" t="str">
        <x:v>AC-N-010</x:v>
      </x:c>
      <x:c r="G275" s="46" t="str">
        <x:v>No</x:v>
      </x:c>
      <x:c r="H275" s="46" t="str">
        <x:v>V1</x:v>
      </x:c>
      <x:c r="I275" s="46" t="str">
        <x:v>Education Planning</x:v>
      </x:c>
      <x:c r="J275" s="46" t="str">
        <x:v>Domain test</x:v>
      </x:c>
      <x:c r="K275" s="46" t="str">
        <x:v>Complete</x:v>
      </x:c>
      <x:c r="L275" s="47"/>
    </x:row>
    <x:row r="276" ht="42" customHeight="1">
      <x:c r="A276" s="45" t="str">
        <x:v>FR-N-011</x:v>
      </x:c>
      <x:c r="B276" s="46" t="str">
        <x:v>N. Education Planning</x:v>
      </x:c>
      <x:c r="C276" s="46" t="str">
        <x:v>Admission and enrollment shall remain separate outcomes.</x:v>
      </x:c>
      <x:c r="D276" s="46" t="str">
        <x:v>BR-N-003, BR-N-009</x:v>
      </x:c>
      <x:c r="E276" s="46" t="str">
        <x:v>ADR-011 — Event and Task Outcome Reporting; ADR-019 — Philippine Content Packs and Official Source Governance</x:v>
      </x:c>
      <x:c r="F276" s="46" t="str">
        <x:v>AC-N-011</x:v>
      </x:c>
      <x:c r="G276" s="46" t="str">
        <x:v>Yes</x:v>
      </x:c>
      <x:c r="H276" s="46" t="str">
        <x:v>V1</x:v>
      </x:c>
      <x:c r="I276" s="46" t="str">
        <x:v>Education Planning</x:v>
      </x:c>
      <x:c r="J276" s="46" t="str">
        <x:v>Domain test</x:v>
      </x:c>
      <x:c r="K276" s="46" t="str">
        <x:v>Complete</x:v>
      </x:c>
      <x:c r="L276" s="47"/>
    </x:row>
    <x:row r="277" ht="42" customHeight="1">
      <x:c r="A277" s="45" t="str">
        <x:v>FR-N-012</x:v>
      </x:c>
      <x:c r="B277" s="46" t="str">
        <x:v>N. Education Planning</x:v>
      </x:c>
      <x:c r="C277" s="46" t="str">
        <x:v>be able to pause, discontinue, archive, and restore options.</x:v>
      </x:c>
      <x:c r="D277" s="46" t="str">
        <x:v>BR-N-001</x:v>
      </x:c>
      <x:c r="E277" s="46" t="str">
        <x:v>ADR-017 — Local Backup, Export, Restore, and Disaster Recovery; ADR-019 — Philippine Content Packs and Official Source Governance</x:v>
      </x:c>
      <x:c r="F277" s="46" t="str">
        <x:v>AC-N-012</x:v>
      </x:c>
      <x:c r="G277" s="46" t="str">
        <x:v>Yes</x:v>
      </x:c>
      <x:c r="H277" s="46" t="str">
        <x:v>V1</x:v>
      </x:c>
      <x:c r="I277" s="46" t="str">
        <x:v>Education Planning</x:v>
      </x:c>
      <x:c r="J277" s="46" t="str">
        <x:v>Database test / Widget test</x:v>
      </x:c>
      <x:c r="K277" s="46" t="str">
        <x:v>Complete</x:v>
      </x:c>
      <x:c r="L277" s="47"/>
    </x:row>
    <x:row r="278" ht="42" customHeight="1">
      <x:c r="A278" s="45" t="str">
        <x:v>FR-N-013</x:v>
      </x:c>
      <x:c r="B278" s="46" t="str">
        <x:v>N. Education Planning</x:v>
      </x:c>
      <x:c r="C278" s="46" t="str">
        <x:v>Bundled content updates shall preserve user data.</x:v>
      </x:c>
      <x:c r="D278" s="46" t="str">
        <x:v>BR-N-001, BR-N-006</x:v>
      </x:c>
      <x:c r="E278" s="46" t="str">
        <x:v>ADR-019 — Philippine Content Packs and Official Source Governance</x:v>
      </x:c>
      <x:c r="F278" s="46" t="str">
        <x:v>AC-N-013</x:v>
      </x:c>
      <x:c r="G278" s="46" t="str">
        <x:v>Yes</x:v>
      </x:c>
      <x:c r="H278" s="46" t="str">
        <x:v>V1</x:v>
      </x:c>
      <x:c r="I278" s="46" t="str">
        <x:v>Education Planning</x:v>
      </x:c>
      <x:c r="J278" s="46" t="str">
        <x:v>Domain test</x:v>
      </x:c>
      <x:c r="K278" s="46" t="str">
        <x:v>Complete</x:v>
      </x:c>
      <x:c r="L278" s="47" t="str">
        <x:v>OPD-3-011</x:v>
      </x:c>
    </x:row>
    <x:row r="279" ht="42" customHeight="1">
      <x:c r="A279" s="45" t="str">
        <x:v>FR-N-014</x:v>
      </x:c>
      <x:c r="B279" s="46" t="str">
        <x:v>N. Education Planning</x:v>
      </x:c>
      <x:c r="C279" s="46" t="str">
        <x:v>display stale or unverified information.</x:v>
      </x:c>
      <x:c r="D279" s="46" t="str">
        <x:v>BR-N-005</x:v>
      </x:c>
      <x:c r="E279" s="46" t="str">
        <x:v>ADR-019 — Philippine Content Packs and Official Source Governance</x:v>
      </x:c>
      <x:c r="F279" s="46" t="str">
        <x:v>AC-N-014</x:v>
      </x:c>
      <x:c r="G279" s="46" t="str">
        <x:v>No</x:v>
      </x:c>
      <x:c r="H279" s="46" t="str">
        <x:v>V1</x:v>
      </x:c>
      <x:c r="I279" s="46" t="str">
        <x:v>Education Planning</x:v>
      </x:c>
      <x:c r="J279" s="46" t="str">
        <x:v>Widget test</x:v>
      </x:c>
      <x:c r="K279" s="46" t="str">
        <x:v>Complete</x:v>
      </x:c>
      <x:c r="L279" s="47"/>
    </x:row>
    <x:row r="280" ht="42" customHeight="1">
      <x:c r="A280" s="45" t="str">
        <x:v>FR-N-015</x:v>
      </x:c>
      <x:c r="B280" s="46" t="str">
        <x:v>N. Education Planning</x:v>
      </x:c>
      <x:c r="C280" s="46" t="str">
        <x:v>not infer outcomes from titles or schedules.</x:v>
      </x:c>
      <x:c r="D280" s="46" t="str">
        <x:v>BR-N-003</x:v>
      </x:c>
      <x:c r="E280" s="46" t="str">
        <x:v>ADR-011 — Event and Task Outcome Reporting; ADR-019 — Philippine Content Packs and Official Source Governance</x:v>
      </x:c>
      <x:c r="F280" s="46" t="str">
        <x:v>AC-N-015</x:v>
      </x:c>
      <x:c r="G280" s="46" t="str">
        <x:v>Yes</x:v>
      </x:c>
      <x:c r="H280" s="46" t="str">
        <x:v>V1</x:v>
      </x:c>
      <x:c r="I280" s="46" t="str">
        <x:v>Education Planning</x:v>
      </x:c>
      <x:c r="J280" s="46" t="str">
        <x:v>Domain test</x:v>
      </x:c>
      <x:c r="K280" s="46" t="str">
        <x:v>Complete</x:v>
      </x:c>
      <x:c r="L280" s="47"/>
    </x:row>
    <x:row r="281" ht="42" customHeight="1">
      <x:c r="A281" s="45" t="str">
        <x:v>FR-N-016</x:v>
      </x:c>
      <x:c r="B281" s="46" t="str">
        <x:v>N. Education Planning</x:v>
      </x:c>
      <x:c r="C281" s="46" t="str">
        <x:v>retain requirement history.</x:v>
      </x:c>
      <x:c r="D281" s="46" t="str">
        <x:v>BR-N-001</x:v>
      </x:c>
      <x:c r="E281" s="46" t="str">
        <x:v>ADR-019 — Philippine Content Packs and Official Source Governance</x:v>
      </x:c>
      <x:c r="F281" s="46" t="str">
        <x:v>AC-N-016</x:v>
      </x:c>
      <x:c r="G281" s="46" t="str">
        <x:v>No</x:v>
      </x:c>
      <x:c r="H281" s="46" t="str">
        <x:v>V1</x:v>
      </x:c>
      <x:c r="I281" s="46" t="str">
        <x:v>Education Planning</x:v>
      </x:c>
      <x:c r="J281" s="46" t="str">
        <x:v>Domain test</x:v>
      </x:c>
      <x:c r="K281" s="46" t="str">
        <x:v>Complete</x:v>
      </x:c>
      <x:c r="L281" s="47"/>
    </x:row>
    <x:row r="282" ht="42" customHeight="1">
      <x:c r="A282" s="45" t="str">
        <x:v>FR-N-017</x:v>
      </x:c>
      <x:c r="B282" s="46" t="str">
        <x:v>N. Education Planning</x:v>
      </x:c>
      <x:c r="C282" s="46" t="str">
        <x:v>support offline planning.</x:v>
      </x:c>
      <x:c r="D282" s="46" t="str">
        <x:v>BR-N-002, BR-N-010</x:v>
      </x:c>
      <x:c r="E282" s="46" t="str">
        <x:v>ADR-019 — Philippine Content Packs and Official Source Governance; ADR-006 — Local-First Operation with Background Synchronization</x:v>
      </x:c>
      <x:c r="F282" s="46" t="str">
        <x:v>AC-N-017</x:v>
      </x:c>
      <x:c r="G282" s="46" t="str">
        <x:v>Yes</x:v>
      </x:c>
      <x:c r="H282" s="46" t="str">
        <x:v>V1</x:v>
      </x:c>
      <x:c r="I282" s="46" t="str">
        <x:v>Education Planning</x:v>
      </x:c>
      <x:c r="J282" s="46" t="str">
        <x:v>Domain test</x:v>
      </x:c>
      <x:c r="K282" s="46" t="str">
        <x:v>Complete</x:v>
      </x:c>
      <x:c r="L282" s="47"/>
    </x:row>
    <x:row r="283" ht="42" customHeight="1">
      <x:c r="A283" s="45" t="str">
        <x:v>FR-N-018</x:v>
      </x:c>
      <x:c r="B283" s="46" t="str">
        <x:v>N. Education Planning</x:v>
      </x:c>
      <x:c r="C283" s="46" t="str">
        <x:v>External resource failure shall not block local use.</x:v>
      </x:c>
      <x:c r="D283" s="46" t="str">
        <x:v>BR-N-001</x:v>
      </x:c>
      <x:c r="E283" s="46" t="str">
        <x:v>ADR-019 — Philippine Content Packs and Official Source Governance; ADR-023 — Testing, Observability, Diagnostics, and Quality Strategy</x:v>
      </x:c>
      <x:c r="F283" s="46" t="str">
        <x:v>AC-N-018</x:v>
      </x:c>
      <x:c r="G283" s="46" t="str">
        <x:v>Yes</x:v>
      </x:c>
      <x:c r="H283" s="46" t="str">
        <x:v>V1</x:v>
      </x:c>
      <x:c r="I283" s="46" t="str">
        <x:v>Education Planning</x:v>
      </x:c>
      <x:c r="J283" s="46" t="str">
        <x:v>Integration test</x:v>
      </x:c>
      <x:c r="K283" s="46" t="str">
        <x:v>Complete</x:v>
      </x:c>
      <x:c r="L283" s="47"/>
    </x:row>
    <x:row r="284" ht="42" customHeight="1">
      <x:c r="A284" s="45" t="str">
        <x:v>FR-N-019</x:v>
      </x:c>
      <x:c r="B284" s="46" t="str">
        <x:v>N. Education Planning</x:v>
      </x:c>
      <x:c r="C284" s="46" t="str">
        <x:v>be able to create verification Tasks.</x:v>
      </x:c>
      <x:c r="D284" s="46" t="str">
        <x:v>BR-N-004</x:v>
      </x:c>
      <x:c r="E284" s="46" t="str">
        <x:v>ADR-019 — Philippine Content Packs and Official Source Governance</x:v>
      </x:c>
      <x:c r="F284" s="46" t="str">
        <x:v>AC-N-019</x:v>
      </x:c>
      <x:c r="G284" s="46" t="str">
        <x:v>No</x:v>
      </x:c>
      <x:c r="H284" s="46" t="str">
        <x:v>V1</x:v>
      </x:c>
      <x:c r="I284" s="46" t="str">
        <x:v>Education Planning</x:v>
      </x:c>
      <x:c r="J284" s="46" t="str">
        <x:v>Widget test</x:v>
      </x:c>
      <x:c r="K284" s="46" t="str">
        <x:v>Complete</x:v>
      </x:c>
      <x:c r="L284" s="47"/>
    </x:row>
    <x:row r="285" ht="42" customHeight="1">
      <x:c r="A285" s="45" t="str">
        <x:v>FR-N-020</x:v>
      </x:c>
      <x:c r="B285" s="46" t="str">
        <x:v>N. Education Planning</x:v>
      </x:c>
      <x:c r="C285" s="46" t="str">
        <x:v>distinguish content guidance from confirmed user facts.</x:v>
      </x:c>
      <x:c r="D285" s="46" t="str">
        <x:v>BR-N-001, BR-N-006</x:v>
      </x:c>
      <x:c r="E285" s="46" t="str">
        <x:v>ADR-019 — Philippine Content Packs and Official Source Governance</x:v>
      </x:c>
      <x:c r="F285" s="46" t="str">
        <x:v>AC-N-020</x:v>
      </x:c>
      <x:c r="G285" s="46" t="str">
        <x:v>No</x:v>
      </x:c>
      <x:c r="H285" s="46" t="str">
        <x:v>V1</x:v>
      </x:c>
      <x:c r="I285" s="46" t="str">
        <x:v>Education Planning</x:v>
      </x:c>
      <x:c r="J285" s="46" t="str">
        <x:v>Domain test</x:v>
      </x:c>
      <x:c r="K285" s="46" t="str">
        <x:v>Complete</x:v>
      </x:c>
      <x:c r="L285" s="47"/>
    </x:row>
    <x:row r="286" ht="42" customHeight="1">
      <x:c r="A286" s="45" t="str">
        <x:v>FR-O-001</x:v>
      </x:c>
      <x:c r="B286" s="46" t="str">
        <x:v>O. Government Document Requirements</x:v>
      </x:c>
      <x:c r="C286" s="46" t="str">
        <x:v>be able to activate bundled Government Document Requirements.</x:v>
      </x:c>
      <x:c r="D286" s="46" t="str">
        <x:v>BR-O-007, BR-O-010</x:v>
      </x:c>
      <x:c r="E286" s="46" t="str">
        <x:v>ADR-019 — Philippine Content Packs and Official Source Governance</x:v>
      </x:c>
      <x:c r="F286" s="46" t="str">
        <x:v>AC-O-001</x:v>
      </x:c>
      <x:c r="G286" s="46" t="str">
        <x:v>Yes</x:v>
      </x:c>
      <x:c r="H286" s="46" t="str">
        <x:v>V1</x:v>
      </x:c>
      <x:c r="I286" s="46" t="str">
        <x:v>Government Document Requirements</x:v>
      </x:c>
      <x:c r="J286" s="46" t="str">
        <x:v>Widget test</x:v>
      </x:c>
      <x:c r="K286" s="46" t="str">
        <x:v>Complete</x:v>
      </x:c>
      <x:c r="L286" s="47" t="str">
        <x:v>OPD-3-013</x:v>
      </x:c>
    </x:row>
    <x:row r="287" ht="42" customHeight="1">
      <x:c r="A287" s="45" t="str">
        <x:v>FR-O-002</x:v>
      </x:c>
      <x:c r="B287" s="46" t="str">
        <x:v>O. Government Document Requirements</x:v>
      </x:c>
      <x:c r="C287" s="46" t="str">
        <x:v>be able to create custom requirements.</x:v>
      </x:c>
      <x:c r="D287" s="46" t="str">
        <x:v>BR-O-001</x:v>
      </x:c>
      <x:c r="E287" s="46" t="str">
        <x:v>ADR-019 — Philippine Content Packs and Official Source Governance</x:v>
      </x:c>
      <x:c r="F287" s="46" t="str">
        <x:v>AC-O-002</x:v>
      </x:c>
      <x:c r="G287" s="46" t="str">
        <x:v>Yes</x:v>
      </x:c>
      <x:c r="H287" s="46" t="str">
        <x:v>V1</x:v>
      </x:c>
      <x:c r="I287" s="46" t="str">
        <x:v>Government Document Requirements</x:v>
      </x:c>
      <x:c r="J287" s="46" t="str">
        <x:v>Widget test</x:v>
      </x:c>
      <x:c r="K287" s="46" t="str">
        <x:v>Complete</x:v>
      </x:c>
      <x:c r="L287" s="47"/>
    </x:row>
    <x:row r="288" ht="42" customHeight="1">
      <x:c r="A288" s="45" t="str">
        <x:v>FR-O-003</x:v>
      </x:c>
      <x:c r="B288" s="46" t="str">
        <x:v>O. Government Document Requirements</x:v>
      </x:c>
      <x:c r="C288" s="46" t="str">
        <x:v>Requirements shall identify issuing authority and jurisdiction where available.</x:v>
      </x:c>
      <x:c r="D288" s="46" t="str">
        <x:v>BR-O-005</x:v>
      </x:c>
      <x:c r="E288" s="46" t="str">
        <x:v>ADR-019 — Philippine Content Packs and Official Source Governance</x:v>
      </x:c>
      <x:c r="F288" s="46" t="str">
        <x:v>AC-O-003</x:v>
      </x:c>
      <x:c r="G288" s="46" t="str">
        <x:v>Yes</x:v>
      </x:c>
      <x:c r="H288" s="46" t="str">
        <x:v>V1</x:v>
      </x:c>
      <x:c r="I288" s="46" t="str">
        <x:v>Government Document Requirements</x:v>
      </x:c>
      <x:c r="J288" s="46" t="str">
        <x:v>Domain test</x:v>
      </x:c>
      <x:c r="K288" s="46" t="str">
        <x:v>Complete</x:v>
      </x:c>
      <x:c r="L288" s="47"/>
    </x:row>
    <x:row r="289" ht="42" customHeight="1">
      <x:c r="A289" s="45" t="str">
        <x:v>FR-O-004</x:v>
      </x:c>
      <x:c r="B289" s="46" t="str">
        <x:v>O. Government Document Requirements</x:v>
      </x:c>
      <x:c r="C289" s="46" t="str">
        <x:v>Requirement guidance shall support source and last-verified date.</x:v>
      </x:c>
      <x:c r="D289" s="46" t="str">
        <x:v>BR-O-001, BR-O-005, BR-O-008</x:v>
      </x:c>
      <x:c r="E289" s="46" t="str">
        <x:v>ADR-019 — Philippine Content Packs and Official Source Governance</x:v>
      </x:c>
      <x:c r="F289" s="46" t="str">
        <x:v>AC-O-004</x:v>
      </x:c>
      <x:c r="G289" s="46" t="str">
        <x:v>Yes</x:v>
      </x:c>
      <x:c r="H289" s="46" t="str">
        <x:v>V1</x:v>
      </x:c>
      <x:c r="I289" s="46" t="str">
        <x:v>Government Document Requirements</x:v>
      </x:c>
      <x:c r="J289" s="46" t="str">
        <x:v>Manual review</x:v>
      </x:c>
      <x:c r="K289" s="46" t="str">
        <x:v>Complete</x:v>
      </x:c>
      <x:c r="L289" s="47" t="str">
        <x:v>OPD-3-016</x:v>
      </x:c>
    </x:row>
    <x:row r="290" ht="42" customHeight="1">
      <x:c r="A290" s="45" t="str">
        <x:v>FR-O-005</x:v>
      </x:c>
      <x:c r="B290" s="46" t="str">
        <x:v>O. Government Document Requirements</x:v>
      </x:c>
      <x:c r="C290" s="46" t="str">
        <x:v>identify verified, stale, and unverified content.</x:v>
      </x:c>
      <x:c r="D290" s="46" t="str">
        <x:v>BR-O-001, BR-O-006</x:v>
      </x:c>
      <x:c r="E290" s="46" t="str">
        <x:v>ADR-019 — Philippine Content Packs and Official Source Governance</x:v>
      </x:c>
      <x:c r="F290" s="46" t="str">
        <x:v>AC-O-005</x:v>
      </x:c>
      <x:c r="G290" s="46" t="str">
        <x:v>Yes</x:v>
      </x:c>
      <x:c r="H290" s="46" t="str">
        <x:v>V1</x:v>
      </x:c>
      <x:c r="I290" s="46" t="str">
        <x:v>Government Document Requirements</x:v>
      </x:c>
      <x:c r="J290" s="46" t="str">
        <x:v>Domain test</x:v>
      </x:c>
      <x:c r="K290" s="46" t="str">
        <x:v>Complete</x:v>
      </x:c>
      <x:c r="L290" s="47" t="str">
        <x:v>OPD-3-015, OPD-3-016</x:v>
      </x:c>
    </x:row>
    <x:row r="291" ht="42" customHeight="1">
      <x:c r="A291" s="45" t="str">
        <x:v>FR-O-006</x:v>
      </x:c>
      <x:c r="B291" s="46" t="str">
        <x:v>O. Government Document Requirements</x:v>
      </x:c>
      <x:c r="C291" s="46" t="str">
        <x:v>be able to create Tasks and Calendar Events.</x:v>
      </x:c>
      <x:c r="D291" s="46" t="str">
        <x:v>BR-O-001</x:v>
      </x:c>
      <x:c r="E291" s="46" t="str">
        <x:v>ADR-004 — Separation of Tasks and Calendar Events; ADR-019 — Philippine Content Packs and Official Source Governance</x:v>
      </x:c>
      <x:c r="F291" s="46" t="str">
        <x:v>AC-O-006</x:v>
      </x:c>
      <x:c r="G291" s="46" t="str">
        <x:v>Yes</x:v>
      </x:c>
      <x:c r="H291" s="46" t="str">
        <x:v>V1</x:v>
      </x:c>
      <x:c r="I291" s="46" t="str">
        <x:v>Government Document Requirements</x:v>
      </x:c>
      <x:c r="J291" s="46" t="str">
        <x:v>Widget test / Integration test</x:v>
      </x:c>
      <x:c r="K291" s="46" t="str">
        <x:v>Complete</x:v>
      </x:c>
      <x:c r="L291" s="47"/>
    </x:row>
    <x:row r="292" ht="42" customHeight="1">
      <x:c r="A292" s="45" t="str">
        <x:v>FR-O-007</x:v>
      </x:c>
      <x:c r="B292" s="46" t="str">
        <x:v>O. Government Document Requirements</x:v>
      </x:c>
      <x:c r="C292" s="46" t="str">
        <x:v>Appointment scheduling shall remain separate from submission.</x:v>
      </x:c>
      <x:c r="D292" s="46" t="str">
        <x:v>BR-O-002</x:v>
      </x:c>
      <x:c r="E292" s="46" t="str">
        <x:v>ADR-019 — Philippine Content Packs and Official Source Governance</x:v>
      </x:c>
      <x:c r="F292" s="46" t="str">
        <x:v>AC-O-007</x:v>
      </x:c>
      <x:c r="G292" s="46" t="str">
        <x:v>Yes</x:v>
      </x:c>
      <x:c r="H292" s="46" t="str">
        <x:v>V1</x:v>
      </x:c>
      <x:c r="I292" s="46" t="str">
        <x:v>Government Document Requirements</x:v>
      </x:c>
      <x:c r="J292" s="46" t="str">
        <x:v>Domain test</x:v>
      </x:c>
      <x:c r="K292" s="46" t="str">
        <x:v>Complete</x:v>
      </x:c>
      <x:c r="L292" s="47"/>
    </x:row>
    <x:row r="293" ht="42" customHeight="1">
      <x:c r="A293" s="45" t="str">
        <x:v>FR-O-008</x:v>
      </x:c>
      <x:c r="B293" s="46" t="str">
        <x:v>O. Government Document Requirements</x:v>
      </x:c>
      <x:c r="C293" s="46" t="str">
        <x:v>be able to confirm application submission.</x:v>
      </x:c>
      <x:c r="D293" s="46" t="str">
        <x:v>BR-O-001</x:v>
      </x:c>
      <x:c r="E293" s="46" t="str">
        <x:v>ADR-019 — Philippine Content Packs and Official Source Governance</x:v>
      </x:c>
      <x:c r="F293" s="46" t="str">
        <x:v>AC-O-008</x:v>
      </x:c>
      <x:c r="G293" s="46" t="str">
        <x:v>Yes</x:v>
      </x:c>
      <x:c r="H293" s="46" t="str">
        <x:v>V1</x:v>
      </x:c>
      <x:c r="I293" s="46" t="str">
        <x:v>Government Document Requirements</x:v>
      </x:c>
      <x:c r="J293" s="46" t="str">
        <x:v>Widget test</x:v>
      </x:c>
      <x:c r="K293" s="46" t="str">
        <x:v>Complete</x:v>
      </x:c>
      <x:c r="L293" s="47"/>
    </x:row>
    <x:row r="294" ht="42" customHeight="1">
      <x:c r="A294" s="45" t="str">
        <x:v>FR-O-009</x:v>
      </x:c>
      <x:c r="B294" s="46" t="str">
        <x:v>O. Government Document Requirements</x:v>
      </x:c>
      <x:c r="C294" s="46" t="str">
        <x:v>be able to record processing or action-needed outcomes.</x:v>
      </x:c>
      <x:c r="D294" s="46" t="str">
        <x:v>BR-O-001</x:v>
      </x:c>
      <x:c r="E294" s="46" t="str">
        <x:v>ADR-011 — Event and Task Outcome Reporting; ADR-019 — Philippine Content Packs and Official Source Governance</x:v>
      </x:c>
      <x:c r="F294" s="46" t="str">
        <x:v>AC-O-009</x:v>
      </x:c>
      <x:c r="G294" s="46" t="str">
        <x:v>No</x:v>
      </x:c>
      <x:c r="H294" s="46" t="str">
        <x:v>V1</x:v>
      </x:c>
      <x:c r="I294" s="46" t="str">
        <x:v>Government Document Requirements</x:v>
      </x:c>
      <x:c r="J294" s="46" t="str">
        <x:v>Domain test / Widget test</x:v>
      </x:c>
      <x:c r="K294" s="46" t="str">
        <x:v>Complete</x:v>
      </x:c>
      <x:c r="L294" s="47"/>
    </x:row>
    <x:row r="295" ht="42" customHeight="1">
      <x:c r="A295" s="45" t="str">
        <x:v>FR-O-010</x:v>
      </x:c>
      <x:c r="B295" s="46" t="str">
        <x:v>O. Government Document Requirements</x:v>
      </x:c>
      <x:c r="C295" s="46" t="str">
        <x:v>be able to confirm a document was obtained.</x:v>
      </x:c>
      <x:c r="D295" s="46" t="str">
        <x:v>BR-O-003, BR-O-007, BR-O-010</x:v>
      </x:c>
      <x:c r="E295" s="46" t="str">
        <x:v>ADR-019 — Philippine Content Packs and Official Source Governance</x:v>
      </x:c>
      <x:c r="F295" s="46" t="str">
        <x:v>AC-O-010</x:v>
      </x:c>
      <x:c r="G295" s="46" t="str">
        <x:v>No</x:v>
      </x:c>
      <x:c r="H295" s="46" t="str">
        <x:v>V1</x:v>
      </x:c>
      <x:c r="I295" s="46" t="str">
        <x:v>Government Document Requirements</x:v>
      </x:c>
      <x:c r="J295" s="46" t="str">
        <x:v>Widget test</x:v>
      </x:c>
      <x:c r="K295" s="46" t="str">
        <x:v>Complete</x:v>
      </x:c>
      <x:c r="L295" s="47"/>
    </x:row>
    <x:row r="296" ht="42" customHeight="1">
      <x:c r="A296" s="45" t="str">
        <x:v>FR-O-011</x:v>
      </x:c>
      <x:c r="B296" s="46" t="str">
        <x:v>O. Government Document Requirements</x:v>
      </x:c>
      <x:c r="C296" s="46" t="str">
        <x:v>Obtained records shall support optional expiration or renewal dates.</x:v>
      </x:c>
      <x:c r="D296" s="46" t="str">
        <x:v>BR-O-003, BR-O-008, BR-O-009</x:v>
      </x:c>
      <x:c r="E296" s="46" t="str">
        <x:v>ADR-019 — Philippine Content Packs and Official Source Governance</x:v>
      </x:c>
      <x:c r="F296" s="46" t="str">
        <x:v>AC-O-011</x:v>
      </x:c>
      <x:c r="G296" s="46" t="str">
        <x:v>Yes</x:v>
      </x:c>
      <x:c r="H296" s="46" t="str">
        <x:v>V1</x:v>
      </x:c>
      <x:c r="I296" s="46" t="str">
        <x:v>Government Document Requirements</x:v>
      </x:c>
      <x:c r="J296" s="46" t="str">
        <x:v>Domain test</x:v>
      </x:c>
      <x:c r="K296" s="46" t="str">
        <x:v>Complete</x:v>
      </x:c>
      <x:c r="L296" s="47" t="str">
        <x:v>OPD-3-015</x:v>
      </x:c>
    </x:row>
    <x:row r="297" ht="42" customHeight="1">
      <x:c r="A297" s="45" t="str">
        <x:v>FR-O-012</x:v>
      </x:c>
      <x:c r="B297" s="46" t="str">
        <x:v>O. Government Document Requirements</x:v>
      </x:c>
      <x:c r="C297" s="46" t="str">
        <x:v>derive Renewal Due attention from explicit dates.</x:v>
      </x:c>
      <x:c r="D297" s="46" t="str">
        <x:v>BR-O-008, BR-O-009</x:v>
      </x:c>
      <x:c r="E297" s="46" t="str">
        <x:v>ADR-019 — Philippine Content Packs and Official Source Governance</x:v>
      </x:c>
      <x:c r="F297" s="46" t="str">
        <x:v>AC-O-012</x:v>
      </x:c>
      <x:c r="G297" s="46" t="str">
        <x:v>No</x:v>
      </x:c>
      <x:c r="H297" s="46" t="str">
        <x:v>V1</x:v>
      </x:c>
      <x:c r="I297" s="46" t="str">
        <x:v>Government Document Requirements</x:v>
      </x:c>
      <x:c r="J297" s="46" t="str">
        <x:v>Domain test</x:v>
      </x:c>
      <x:c r="K297" s="46" t="str">
        <x:v>Complete</x:v>
      </x:c>
      <x:c r="L297" s="47"/>
    </x:row>
    <x:row r="298" ht="42" customHeight="1">
      <x:c r="A298" s="45" t="str">
        <x:v>FR-O-013</x:v>
      </x:c>
      <x:c r="B298" s="46" t="str">
        <x:v>O. Government Document Requirements</x:v>
      </x:c>
      <x:c r="C298" s="46" t="str">
        <x:v>be able to store an optional masked reference.</x:v>
      </x:c>
      <x:c r="D298" s="46" t="str">
        <x:v>BR-O-001</x:v>
      </x:c>
      <x:c r="E298" s="46" t="str">
        <x:v>ADR-019 — Philippine Content Packs and Official Source Governance</x:v>
      </x:c>
      <x:c r="F298" s="46" t="str">
        <x:v>AC-O-013</x:v>
      </x:c>
      <x:c r="G298" s="46" t="str">
        <x:v>Yes</x:v>
      </x:c>
      <x:c r="H298" s="46" t="str">
        <x:v>V1</x:v>
      </x:c>
      <x:c r="I298" s="46" t="str">
        <x:v>Government Document Requirements</x:v>
      </x:c>
      <x:c r="J298" s="46" t="str">
        <x:v>Widget test</x:v>
      </x:c>
      <x:c r="K298" s="46" t="str">
        <x:v>Complete</x:v>
      </x:c>
      <x:c r="L298" s="47" t="str">
        <x:v>OPD-3-014</x:v>
      </x:c>
    </x:row>
    <x:row r="299" ht="42" customHeight="1">
      <x:c r="A299" s="45" t="str">
        <x:v>FR-O-014</x:v>
      </x:c>
      <x:c r="B299" s="46" t="str">
        <x:v>O. Government Document Requirements</x:v>
      </x:c>
      <x:c r="C299" s="46" t="str">
        <x:v>Full document numbers shall not be required.</x:v>
      </x:c>
      <x:c r="D299" s="46" t="str">
        <x:v>BR-O-007, BR-O-010</x:v>
      </x:c>
      <x:c r="E299" s="46" t="str">
        <x:v>ADR-019 — Philippine Content Packs and Official Source Governance</x:v>
      </x:c>
      <x:c r="F299" s="46" t="str">
        <x:v>AC-O-014</x:v>
      </x:c>
      <x:c r="G299" s="46" t="str">
        <x:v>Yes</x:v>
      </x:c>
      <x:c r="H299" s="46" t="str">
        <x:v>V1</x:v>
      </x:c>
      <x:c r="I299" s="46" t="str">
        <x:v>Government Document Requirements</x:v>
      </x:c>
      <x:c r="J299" s="46" t="str">
        <x:v>Domain test</x:v>
      </x:c>
      <x:c r="K299" s="46" t="str">
        <x:v>Complete</x:v>
      </x:c>
      <x:c r="L299" s="47" t="str">
        <x:v>OPD-3-014</x:v>
      </x:c>
    </x:row>
    <x:row r="300" ht="42" customHeight="1">
      <x:c r="A300" s="45" t="str">
        <x:v>FR-O-015</x:v>
      </x:c>
      <x:c r="B300" s="46" t="str">
        <x:v>O. Government Document Requirements</x:v>
      </x:c>
      <x:c r="C300" s="46" t="str">
        <x:v>Document images shall not be required or stored in V1.</x:v>
      </x:c>
      <x:c r="D300" s="46" t="str">
        <x:v>BR-O-007, BR-O-010</x:v>
      </x:c>
      <x:c r="E300" s="46" t="str">
        <x:v>ADR-019 — Philippine Content Packs and Official Source Governance</x:v>
      </x:c>
      <x:c r="F300" s="46" t="str">
        <x:v>AC-O-015</x:v>
      </x:c>
      <x:c r="G300" s="46" t="str">
        <x:v>Yes</x:v>
      </x:c>
      <x:c r="H300" s="46" t="str">
        <x:v>V1</x:v>
      </x:c>
      <x:c r="I300" s="46" t="str">
        <x:v>Government Document Requirements</x:v>
      </x:c>
      <x:c r="J300" s="46" t="str">
        <x:v>Domain test</x:v>
      </x:c>
      <x:c r="K300" s="46" t="str">
        <x:v>Complete</x:v>
      </x:c>
      <x:c r="L300" s="47"/>
    </x:row>
    <x:row r="301" ht="42" customHeight="1">
      <x:c r="A301" s="45" t="str">
        <x:v>FR-O-016</x:v>
      </x:c>
      <x:c r="B301" s="46" t="str">
        <x:v>O. Government Document Requirements</x:v>
      </x:c>
      <x:c r="C301" s="46" t="str">
        <x:v>Content updates shall preserve user state and history.</x:v>
      </x:c>
      <x:c r="D301" s="46" t="str">
        <x:v>BR-O-001, BR-O-006, BR-O-009</x:v>
      </x:c>
      <x:c r="E301" s="46" t="str">
        <x:v>ADR-019 — Philippine Content Packs and Official Source Governance</x:v>
      </x:c>
      <x:c r="F301" s="46" t="str">
        <x:v>AC-O-016</x:v>
      </x:c>
      <x:c r="G301" s="46" t="str">
        <x:v>Yes</x:v>
      </x:c>
      <x:c r="H301" s="46" t="str">
        <x:v>V1</x:v>
      </x:c>
      <x:c r="I301" s="46" t="str">
        <x:v>Government Document Requirements</x:v>
      </x:c>
      <x:c r="J301" s="46" t="str">
        <x:v>Domain test</x:v>
      </x:c>
      <x:c r="K301" s="46" t="str">
        <x:v>Complete</x:v>
      </x:c>
      <x:c r="L301" s="47"/>
    </x:row>
    <x:row r="302" ht="42" customHeight="1">
      <x:c r="A302" s="45" t="str">
        <x:v>FR-O-017</x:v>
      </x:c>
      <x:c r="B302" s="46" t="str">
        <x:v>O. Government Document Requirements</x:v>
      </x:c>
      <x:c r="C302" s="46" t="str">
        <x:v>provide content version context.</x:v>
      </x:c>
      <x:c r="D302" s="46" t="str">
        <x:v>BR-O-001, BR-O-006</x:v>
      </x:c>
      <x:c r="E302" s="46" t="str">
        <x:v>ADR-019 — Philippine Content Packs and Official Source Governance</x:v>
      </x:c>
      <x:c r="F302" s="46" t="str">
        <x:v>AC-O-017</x:v>
      </x:c>
      <x:c r="G302" s="46" t="str">
        <x:v>No</x:v>
      </x:c>
      <x:c r="H302" s="46" t="str">
        <x:v>V1</x:v>
      </x:c>
      <x:c r="I302" s="46" t="str">
        <x:v>Government Document Requirements</x:v>
      </x:c>
      <x:c r="J302" s="46" t="str">
        <x:v>Domain test</x:v>
      </x:c>
      <x:c r="K302" s="46" t="str">
        <x:v>Complete</x:v>
      </x:c>
      <x:c r="L302" s="47"/>
    </x:row>
    <x:row r="303" ht="42" customHeight="1">
      <x:c r="A303" s="45" t="str">
        <x:v>FR-O-018</x:v>
      </x:c>
      <x:c r="B303" s="46" t="str">
        <x:v>O. Government Document Requirements</x:v>
      </x:c>
      <x:c r="C303" s="46" t="str">
        <x:v>be able to archive and restore requirements.</x:v>
      </x:c>
      <x:c r="D303" s="46" t="str">
        <x:v>BR-O-001</x:v>
      </x:c>
      <x:c r="E303" s="46" t="str">
        <x:v>ADR-017 — Local Backup, Export, Restore, and Disaster Recovery; ADR-019 — Philippine Content Packs and Official Source Governance</x:v>
      </x:c>
      <x:c r="F303" s="46" t="str">
        <x:v>AC-O-018</x:v>
      </x:c>
      <x:c r="G303" s="46" t="str">
        <x:v>Yes</x:v>
      </x:c>
      <x:c r="H303" s="46" t="str">
        <x:v>V1</x:v>
      </x:c>
      <x:c r="I303" s="46" t="str">
        <x:v>Government Document Requirements</x:v>
      </x:c>
      <x:c r="J303" s="46" t="str">
        <x:v>Database test / Widget test</x:v>
      </x:c>
      <x:c r="K303" s="46" t="str">
        <x:v>Complete</x:v>
      </x:c>
      <x:c r="L303" s="47"/>
    </x:row>
    <x:row r="304" ht="42" customHeight="1">
      <x:c r="A304" s="45" t="str">
        <x:v>FR-O-019</x:v>
      </x:c>
      <x:c r="B304" s="46" t="str">
        <x:v>O. Government Document Requirements</x:v>
      </x:c>
      <x:c r="C304" s="46" t="str">
        <x:v>The feature shall operate offline.</x:v>
      </x:c>
      <x:c r="D304" s="46" t="str">
        <x:v>BR-O-010</x:v>
      </x:c>
      <x:c r="E304" s="46" t="str">
        <x:v>ADR-019 — Philippine Content Packs and Official Source Governance; ADR-006 — Local-First Operation with Background Synchronization</x:v>
      </x:c>
      <x:c r="F304" s="46" t="str">
        <x:v>AC-O-019</x:v>
      </x:c>
      <x:c r="G304" s="46" t="str">
        <x:v>Yes</x:v>
      </x:c>
      <x:c r="H304" s="46" t="str">
        <x:v>V1</x:v>
      </x:c>
      <x:c r="I304" s="46" t="str">
        <x:v>Government Document Requirements</x:v>
      </x:c>
      <x:c r="J304" s="46" t="str">
        <x:v>Domain test</x:v>
      </x:c>
      <x:c r="K304" s="46" t="str">
        <x:v>Complete</x:v>
      </x:c>
      <x:c r="L304" s="47"/>
    </x:row>
    <x:row r="305" ht="42" customHeight="1">
      <x:c r="A305" s="45" t="str">
        <x:v>FR-O-020</x:v>
      </x:c>
      <x:c r="B305" s="46" t="str">
        <x:v>O. Government Document Requirements</x:v>
      </x:c>
      <x:c r="C305" s="46" t="str">
        <x:v>External official links shall not block local use.</x:v>
      </x:c>
      <x:c r="D305" s="46" t="str">
        <x:v>BR-O-001</x:v>
      </x:c>
      <x:c r="E305" s="46" t="str">
        <x:v>ADR-009 — Domain Ownership and Relationship Model; ADR-019 — Philippine Content Packs and Official Source Governance</x:v>
      </x:c>
      <x:c r="F305" s="46" t="str">
        <x:v>AC-O-020</x:v>
      </x:c>
      <x:c r="G305" s="46" t="str">
        <x:v>Yes</x:v>
      </x:c>
      <x:c r="H305" s="46" t="str">
        <x:v>V1</x:v>
      </x:c>
      <x:c r="I305" s="46" t="str">
        <x:v>Government Document Requirements</x:v>
      </x:c>
      <x:c r="J305" s="46" t="str">
        <x:v>Integration test / Manual review</x:v>
      </x:c>
      <x:c r="K305" s="46" t="str">
        <x:v>Complete</x:v>
      </x:c>
      <x:c r="L305" s="47"/>
    </x:row>
    <x:row r="306" ht="42" customHeight="1">
      <x:c r="A306" s="45" t="str">
        <x:v>FR-P-001</x:v>
      </x:c>
      <x:c r="B306" s="46" t="str">
        <x:v>P. Maps and Locations</x:v>
      </x:c>
      <x:c r="C306" s="46" t="str">
        <x:v>be able to enter and save typed location text without granting location permission.</x:v>
      </x:c>
      <x:c r="D306" s="46" t="str">
        <x:v>BR-P-002, BR-P-003, BR-P-010</x:v>
      </x:c>
      <x:c r="E306" s="46" t="str">
        <x:v>ADR-021 — Security, Privacy, Permissions, and Sensitive Data</x:v>
      </x:c>
      <x:c r="F306" s="46" t="str">
        <x:v>AC-P-001</x:v>
      </x:c>
      <x:c r="G306" s="46" t="str">
        <x:v>Yes</x:v>
      </x:c>
      <x:c r="H306" s="46" t="str">
        <x:v>V1</x:v>
      </x:c>
      <x:c r="I306" s="46" t="str">
        <x:v>Maps and Locations</x:v>
      </x:c>
      <x:c r="J306" s="46" t="str">
        <x:v>Widget test</x:v>
      </x:c>
      <x:c r="K306" s="46" t="str">
        <x:v>Complete</x:v>
      </x:c>
      <x:c r="L306" s="47"/>
    </x:row>
    <x:row r="307" ht="42" customHeight="1">
      <x:c r="A307" s="45" t="str">
        <x:v>FR-P-002</x:v>
      </x:c>
      <x:c r="B307" s="46" t="str">
        <x:v>P. Maps and Locations</x:v>
      </x:c>
      <x:c r="C307" s="46" t="str">
        <x:v>Map functionality shall remain contextual and shall not be added to permanent bottom navigation.</x:v>
      </x:c>
      <x:c r="D307" s="46" t="str">
        <x:v>BR-P-001, BR-P-003</x:v>
      </x:c>
      <x:c r="E307" s="46" t="str">
        <x:v>ADR-021 — Security, Privacy, Permissions, and Sensitive Data; ADR-024 — V1 Scope, Vertical Slices, Roadmap, and Release Plan</x:v>
      </x:c>
      <x:c r="F307" s="46" t="str">
        <x:v>AC-P-002</x:v>
      </x:c>
      <x:c r="G307" s="46" t="str">
        <x:v>Yes</x:v>
      </x:c>
      <x:c r="H307" s="46" t="str">
        <x:v>V1</x:v>
      </x:c>
      <x:c r="I307" s="46" t="str">
        <x:v>Maps and Locations</x:v>
      </x:c>
      <x:c r="J307" s="46" t="str">
        <x:v>Domain test</x:v>
      </x:c>
      <x:c r="K307" s="46" t="str">
        <x:v>Complete</x:v>
      </x:c>
      <x:c r="L307" s="47"/>
    </x:row>
    <x:row r="308" ht="42" customHeight="1">
      <x:c r="A308" s="45" t="str">
        <x:v>FR-P-003</x:v>
      </x:c>
      <x:c r="B308" s="46" t="str">
        <x:v>P. Maps and Locations</x:v>
      </x:c>
      <x:c r="C308" s="46" t="str">
        <x:v>be able to hand a stored destination to a compatible Android maps application.</x:v>
      </x:c>
      <x:c r="D308" s="46" t="str">
        <x:v>BR-P-001</x:v>
      </x:c>
      <x:c r="E308" s="46" t="str">
        <x:v>ADR-021 — Security, Privacy, Permissions, and Sensitive Data; ADR-001 — Android-First Platform Strategy</x:v>
      </x:c>
      <x:c r="F308" s="46" t="str">
        <x:v>AC-P-003</x:v>
      </x:c>
      <x:c r="G308" s="46" t="str">
        <x:v>Yes</x:v>
      </x:c>
      <x:c r="H308" s="46" t="str">
        <x:v>V1</x:v>
      </x:c>
      <x:c r="I308" s="46" t="str">
        <x:v>Maps and Locations</x:v>
      </x:c>
      <x:c r="J308" s="46" t="str">
        <x:v>Widget test / Integration test</x:v>
      </x:c>
      <x:c r="K308" s="46" t="str">
        <x:v>Complete</x:v>
      </x:c>
      <x:c r="L308" s="47" t="str">
        <x:v>OPD-4-002, OPD-4-004</x:v>
      </x:c>
    </x:row>
    <x:row r="309" ht="42" customHeight="1">
      <x:c r="A309" s="45" t="str">
        <x:v>FR-P-004</x:v>
      </x:c>
      <x:c r="B309" s="46" t="str">
        <x:v>P. Maps and Locations</x:v>
      </x:c>
      <x:c r="C309" s="46" t="str">
        <x:v>Current-location permission shall be requested only after the user selects a feature that needs it.</x:v>
      </x:c>
      <x:c r="D309" s="46" t="str">
        <x:v>BR-P-002, BR-P-003, BR-P-010</x:v>
      </x:c>
      <x:c r="E309" s="46" t="str">
        <x:v>ADR-021 — Security, Privacy, Permissions, and Sensitive Data</x:v>
      </x:c>
      <x:c r="F309" s="46" t="str">
        <x:v>AC-P-004</x:v>
      </x:c>
      <x:c r="G309" s="46" t="str">
        <x:v>Yes</x:v>
      </x:c>
      <x:c r="H309" s="46" t="str">
        <x:v>V1</x:v>
      </x:c>
      <x:c r="I309" s="46" t="str">
        <x:v>Maps and Locations</x:v>
      </x:c>
      <x:c r="J309" s="46" t="str">
        <x:v>Widget test</x:v>
      </x:c>
      <x:c r="K309" s="46" t="str">
        <x:v>Complete</x:v>
      </x:c>
      <x:c r="L309" s="47"/>
    </x:row>
    <x:row r="310" ht="42" customHeight="1">
      <x:c r="A310" s="45" t="str">
        <x:v>FR-P-005</x:v>
      </x:c>
      <x:c r="B310" s="46" t="str">
        <x:v>P. Maps and Locations</x:v>
      </x:c>
      <x:c r="C310" s="46" t="str">
        <x:v>Denial or revocation of location permission shall not block core domain workflows.</x:v>
      </x:c>
      <x:c r="D310" s="46" t="str">
        <x:v>BR-P-002, BR-P-003, BR-P-004</x:v>
      </x:c>
      <x:c r="E310" s="46" t="str">
        <x:v>ADR-021 — Security, Privacy, Permissions, and Sensitive Data</x:v>
      </x:c>
      <x:c r="F310" s="46" t="str">
        <x:v>AC-P-005</x:v>
      </x:c>
      <x:c r="G310" s="46" t="str">
        <x:v>Yes</x:v>
      </x:c>
      <x:c r="H310" s="46" t="str">
        <x:v>V1</x:v>
      </x:c>
      <x:c r="I310" s="46" t="str">
        <x:v>Maps and Locations</x:v>
      </x:c>
      <x:c r="J310" s="46" t="str">
        <x:v>Widget test</x:v>
      </x:c>
      <x:c r="K310" s="46" t="str">
        <x:v>Complete</x:v>
      </x:c>
      <x:c r="L310" s="47"/>
    </x:row>
    <x:row r="311" ht="42" customHeight="1">
      <x:c r="A311" s="45" t="str">
        <x:v>FR-P-006</x:v>
      </x:c>
      <x:c r="B311" s="46" t="str">
        <x:v>P. Maps and Locations</x:v>
      </x:c>
      <x:c r="C311" s="46" t="str">
        <x:v>be able to create, edit, and reuse private Saved Places locally.</x:v>
      </x:c>
      <x:c r="D311" s="46" t="str">
        <x:v>BR-P-007</x:v>
      </x:c>
      <x:c r="E311" s="46" t="str">
        <x:v>ADR-021 — Security, Privacy, Permissions, and Sensitive Data</x:v>
      </x:c>
      <x:c r="F311" s="46" t="str">
        <x:v>AC-P-006</x:v>
      </x:c>
      <x:c r="G311" s="46" t="str">
        <x:v>No</x:v>
      </x:c>
      <x:c r="H311" s="46" t="str">
        <x:v>V1.1</x:v>
      </x:c>
      <x:c r="I311" s="46" t="str">
        <x:v>Maps and Locations</x:v>
      </x:c>
      <x:c r="J311" s="46" t="str">
        <x:v>Widget test</x:v>
      </x:c>
      <x:c r="K311" s="46" t="str">
        <x:v>Deferred</x:v>
      </x:c>
      <x:c r="L311" s="47" t="str">
        <x:v>OPD-4-001</x:v>
      </x:c>
    </x:row>
    <x:row r="312" ht="42" customHeight="1">
      <x:c r="A312" s="45" t="str">
        <x:v>FR-P-007</x:v>
      </x:c>
      <x:c r="B312" s="46" t="str">
        <x:v>P. Maps and Locations</x:v>
      </x:c>
      <x:c r="C312" s="46" t="str">
        <x:v>Location text, optional coordinates, and the owning domain record shall retain separate identities.</x:v>
      </x:c>
      <x:c r="D312" s="46" t="str">
        <x:v>BR-P-005, BR-P-006, BR-P-010</x:v>
      </x:c>
      <x:c r="E312" s="46" t="str">
        <x:v>ADR-009 — Domain Ownership and Relationship Model; ADR-021 — Security, Privacy, Permissions, and Sensitive Data</x:v>
      </x:c>
      <x:c r="F312" s="46" t="str">
        <x:v>AC-P-007</x:v>
      </x:c>
      <x:c r="G312" s="46" t="str">
        <x:v>Yes</x:v>
      </x:c>
      <x:c r="H312" s="46" t="str">
        <x:v>V1</x:v>
      </x:c>
      <x:c r="I312" s="46" t="str">
        <x:v>Maps and Locations</x:v>
      </x:c>
      <x:c r="J312" s="46" t="str">
        <x:v>Domain test</x:v>
      </x:c>
      <x:c r="K312" s="46" t="str">
        <x:v>Complete</x:v>
      </x:c>
      <x:c r="L312" s="47" t="str">
        <x:v>OPD-4-001, OPD-4-003</x:v>
      </x:c>
    </x:row>
    <x:row r="313" ht="42" customHeight="1">
      <x:c r="A313" s="45" t="str">
        <x:v>FR-P-008</x:v>
      </x:c>
      <x:c r="B313" s="46" t="str">
        <x:v>P. Maps and Locations</x:v>
      </x:c>
      <x:c r="C313" s="46" t="str">
        <x:v>not require or collect background location for V1 location workflows.</x:v>
      </x:c>
      <x:c r="D313" s="46" t="str">
        <x:v>BR-P-002, BR-P-005, BR-P-010</x:v>
      </x:c>
      <x:c r="E313" s="46" t="str">
        <x:v>ADR-021 — Security, Privacy, Permissions, and Sensitive Data</x:v>
      </x:c>
      <x:c r="F313" s="46" t="str">
        <x:v>AC-P-008</x:v>
      </x:c>
      <x:c r="G313" s="46" t="str">
        <x:v>Yes</x:v>
      </x:c>
      <x:c r="H313" s="46" t="str">
        <x:v>V1</x:v>
      </x:c>
      <x:c r="I313" s="46" t="str">
        <x:v>Maps and Locations</x:v>
      </x:c>
      <x:c r="J313" s="46" t="str">
        <x:v>Integration test</x:v>
      </x:c>
      <x:c r="K313" s="46" t="str">
        <x:v>Complete</x:v>
      </x:c>
      <x:c r="L313" s="47"/>
    </x:row>
    <x:row r="314" ht="42" customHeight="1">
      <x:c r="A314" s="45" t="str">
        <x:v>FR-P-009</x:v>
      </x:c>
      <x:c r="B314" s="46" t="str">
        <x:v>P. Maps and Locations</x:v>
      </x:c>
      <x:c r="C314" s="46" t="str">
        <x:v>Stored locations shall remain viewable and editable offline.</x:v>
      </x:c>
      <x:c r="D314" s="46" t="str">
        <x:v>BR-P-001, BR-P-002, BR-P-008</x:v>
      </x:c>
      <x:c r="E314" s="46" t="str">
        <x:v>ADR-021 — Security, Privacy, Permissions, and Sensitive Data; ADR-006 — Local-First Operation with Background Synchronization</x:v>
      </x:c>
      <x:c r="F314" s="46" t="str">
        <x:v>AC-P-009</x:v>
      </x:c>
      <x:c r="G314" s="46" t="str">
        <x:v>Yes</x:v>
      </x:c>
      <x:c r="H314" s="46" t="str">
        <x:v>V1</x:v>
      </x:c>
      <x:c r="I314" s="46" t="str">
        <x:v>Maps and Locations</x:v>
      </x:c>
      <x:c r="J314" s="46" t="str">
        <x:v>Domain test</x:v>
      </x:c>
      <x:c r="K314" s="46" t="str">
        <x:v>Complete</x:v>
      </x:c>
      <x:c r="L314" s="47"/>
    </x:row>
    <x:row r="315" ht="42" customHeight="1">
      <x:c r="A315" s="45" t="str">
        <x:v>FR-P-010</x:v>
      </x:c>
      <x:c r="B315" s="46" t="str">
        <x:v>P. Maps and Locations</x:v>
      </x:c>
      <x:c r="C315" s="46" t="str">
        <x:v>Map use, location lookup, and destination arrival shall not change outcomes or Actual.</x:v>
      </x:c>
      <x:c r="D315" s="46" t="str">
        <x:v>BR-P-005, BR-P-006, BR-P-010</x:v>
      </x:c>
      <x:c r="E315" s="46" t="str">
        <x:v>ADR-005 — Confirmed-Source Progress and Read-Only Actuals; ADR-011 — Event and Task Outcome Reporting; ADR-021 — Security, Privacy, Permissions, and Sensitive Data</x:v>
      </x:c>
      <x:c r="F315" s="46" t="str">
        <x:v>AC-P-010</x:v>
      </x:c>
      <x:c r="G315" s="46" t="str">
        <x:v>Yes</x:v>
      </x:c>
      <x:c r="H315" s="46" t="str">
        <x:v>V1</x:v>
      </x:c>
      <x:c r="I315" s="46" t="str">
        <x:v>Maps and Locations</x:v>
      </x:c>
      <x:c r="J315" s="46" t="str">
        <x:v>Domain test</x:v>
      </x:c>
      <x:c r="K315" s="46" t="str">
        <x:v>Complete</x:v>
      </x:c>
      <x:c r="L315" s="47"/>
    </x:row>
    <x:row r="316" ht="42" customHeight="1">
      <x:c r="A316" s="45" t="str">
        <x:v>FR-P-011</x:v>
      </x:c>
      <x:c r="B316" s="46" t="str">
        <x:v>P. Maps and Locations</x:v>
      </x:c>
      <x:c r="C316" s="46" t="str">
        <x:v>Rescheduled Calendar Events shall preserve original and replacement location history.</x:v>
      </x:c>
      <x:c r="D316" s="46" t="str">
        <x:v>BR-P-006, BR-P-009, BR-P-010</x:v>
      </x:c>
      <x:c r="E316" s="46" t="str">
        <x:v>ADR-011 — Event and Task Outcome Reporting; ADR-012 — Activity Ledger and Contribution Engine; ADR-021 — Security, Privacy, Permissions, and Sensitive Data</x:v>
      </x:c>
      <x:c r="F316" s="46" t="str">
        <x:v>AC-P-011</x:v>
      </x:c>
      <x:c r="G316" s="46" t="str">
        <x:v>Yes</x:v>
      </x:c>
      <x:c r="H316" s="46" t="str">
        <x:v>V1</x:v>
      </x:c>
      <x:c r="I316" s="46" t="str">
        <x:v>Maps and Locations</x:v>
      </x:c>
      <x:c r="J316" s="46" t="str">
        <x:v>Integration test</x:v>
      </x:c>
      <x:c r="K316" s="46" t="str">
        <x:v>Complete</x:v>
      </x:c>
      <x:c r="L316" s="47"/>
    </x:row>
    <x:row r="317" ht="42" customHeight="1">
      <x:c r="A317" s="45" t="str">
        <x:v>FR-P-012</x:v>
      </x:c>
      <x:c r="B317" s="46" t="str">
        <x:v>P. Maps and Locations</x:v>
      </x:c>
      <x:c r="C317" s="46" t="str">
        <x:v>Location-related diagnostics shall avoid exposing precise personal location by default.</x:v>
      </x:c>
      <x:c r="D317" s="46" t="str">
        <x:v>BR-P-005, BR-P-006, BR-P-010</x:v>
      </x:c>
      <x:c r="E317" s="46" t="str">
        <x:v>ADR-021 — Security, Privacy, Permissions, and Sensitive Data; ADR-023 — Testing, Observability, Diagnostics, and Quality Strategy</x:v>
      </x:c>
      <x:c r="F317" s="46" t="str">
        <x:v>AC-P-012</x:v>
      </x:c>
      <x:c r="G317" s="46" t="str">
        <x:v>No</x:v>
      </x:c>
      <x:c r="H317" s="46" t="str">
        <x:v>V1</x:v>
      </x:c>
      <x:c r="I317" s="46" t="str">
        <x:v>Maps and Locations</x:v>
      </x:c>
      <x:c r="J317" s="46" t="str">
        <x:v>Manual review</x:v>
      </x:c>
      <x:c r="K317" s="46" t="str">
        <x:v>Complete</x:v>
      </x:c>
      <x:c r="L317" s="47"/>
    </x:row>
    <x:row r="318" ht="42" customHeight="1">
      <x:c r="A318" s="45" t="str">
        <x:v>FR-P-013</x:v>
      </x:c>
      <x:c r="B318" s="46" t="str">
        <x:v>P. Maps and Locations</x:v>
      </x:c>
      <x:c r="C318" s="46" t="str">
        <x:v>When no compatible map provider is available, the app shall retain and expose a copyable location fallback.</x:v>
      </x:c>
      <x:c r="D318" s="46" t="str">
        <x:v>BR-P-005, BR-P-006, BR-P-010</x:v>
      </x:c>
      <x:c r="E318" s="46" t="str">
        <x:v>ADR-021 — Security, Privacy, Permissions, and Sensitive Data; ADR-019 — Philippine Content Packs and Official Source Governance</x:v>
      </x:c>
      <x:c r="F318" s="46" t="str">
        <x:v>AC-P-013</x:v>
      </x:c>
      <x:c r="G318" s="46" t="str">
        <x:v>No</x:v>
      </x:c>
      <x:c r="H318" s="46" t="str">
        <x:v>V1</x:v>
      </x:c>
      <x:c r="I318" s="46" t="str">
        <x:v>Maps and Locations</x:v>
      </x:c>
      <x:c r="J318" s="46" t="str">
        <x:v>Domain test</x:v>
      </x:c>
      <x:c r="K318" s="46" t="str">
        <x:v>Complete</x:v>
      </x:c>
      <x:c r="L318" s="47"/>
    </x:row>
    <x:row r="319" ht="42" customHeight="1">
      <x:c r="A319" s="45" t="str">
        <x:v>FR-P-014</x:v>
      </x:c>
      <x:c r="B319" s="46" t="str">
        <x:v>P. Maps and Locations</x:v>
      </x:c>
      <x:c r="C319" s="46" t="str">
        <x:v>be able to select a Saved Place while preserving a snapshot of the location used by the owning record.</x:v>
      </x:c>
      <x:c r="D319" s="46" t="str">
        <x:v>BR-P-006, BR-P-007, BR-P-010</x:v>
      </x:c>
      <x:c r="E319" s="46" t="str">
        <x:v>ADR-009 — Domain Ownership and Relationship Model; ADR-021 — Security, Privacy, Permissions, and Sensitive Data; ADR-007 — Small Core V1 Scope</x:v>
      </x:c>
      <x:c r="F319" s="46" t="str">
        <x:v>AC-P-014</x:v>
      </x:c>
      <x:c r="G319" s="46" t="str">
        <x:v>No</x:v>
      </x:c>
      <x:c r="H319" s="46" t="str">
        <x:v>V1.1</x:v>
      </x:c>
      <x:c r="I319" s="46" t="str">
        <x:v>Maps and Locations</x:v>
      </x:c>
      <x:c r="J319" s="46" t="str">
        <x:v>Widget test</x:v>
      </x:c>
      <x:c r="K319" s="46" t="str">
        <x:v>Deferred</x:v>
      </x:c>
      <x:c r="L319" s="47" t="str">
        <x:v>OPD-4-001</x:v>
      </x:c>
    </x:row>
    <x:row r="320" ht="42" customHeight="1">
      <x:c r="A320" s="45" t="str">
        <x:v>FR-P-015</x:v>
      </x:c>
      <x:c r="B320" s="46" t="str">
        <x:v>P. Maps and Locations</x:v>
      </x:c>
      <x:c r="C320" s="46" t="str">
        <x:v>not retain continuous route or movement history.</x:v>
      </x:c>
      <x:c r="D320" s="46" t="str">
        <x:v>BR-P-009</x:v>
      </x:c>
      <x:c r="E320" s="46" t="str">
        <x:v>ADR-021 — Security, Privacy, Permissions, and Sensitive Data</x:v>
      </x:c>
      <x:c r="F320" s="46" t="str">
        <x:v>AC-P-015</x:v>
      </x:c>
      <x:c r="G320" s="46" t="str">
        <x:v>Yes</x:v>
      </x:c>
      <x:c r="H320" s="46" t="str">
        <x:v>V1</x:v>
      </x:c>
      <x:c r="I320" s="46" t="str">
        <x:v>Maps and Locations</x:v>
      </x:c>
      <x:c r="J320" s="46" t="str">
        <x:v>Domain test</x:v>
      </x:c>
      <x:c r="K320" s="46" t="str">
        <x:v>Complete</x:v>
      </x:c>
      <x:c r="L320" s="47"/>
    </x:row>
    <x:row r="321" ht="42" customHeight="1">
      <x:c r="A321" s="45" t="str">
        <x:v>FR-Q-001</x:v>
      </x:c>
      <x:c r="B321" s="46" t="str">
        <x:v>Q. Notifications and Reminders</x:v>
      </x:c>
      <x:c r="C321" s="46" t="str">
        <x:v>Notification permission shall be requested only when the user enables a system-notification feature.</x:v>
      </x:c>
      <x:c r="D321" s="46" t="str">
        <x:v>BR-Q-001, BR-Q-008, BR-Q-009</x:v>
      </x:c>
      <x:c r="E321" s="46" t="str">
        <x:v>ADR-021 — Security, Privacy, Permissions, and Sensitive Data; ADR-022 — Notifications, Background Work, and Calendar Integration</x:v>
      </x:c>
      <x:c r="F321" s="46" t="str">
        <x:v>AC-Q-001</x:v>
      </x:c>
      <x:c r="G321" s="46" t="str">
        <x:v>Yes</x:v>
      </x:c>
      <x:c r="H321" s="46" t="str">
        <x:v>V1</x:v>
      </x:c>
      <x:c r="I321" s="46" t="str">
        <x:v>Notifications and Reminders</x:v>
      </x:c>
      <x:c r="J321" s="46" t="str">
        <x:v>Widget test</x:v>
      </x:c>
      <x:c r="K321" s="46" t="str">
        <x:v>Complete</x:v>
      </x:c>
      <x:c r="L321" s="47"/>
    </x:row>
    <x:row r="322" ht="42" customHeight="1">
      <x:c r="A322" s="45" t="str">
        <x:v>FR-Q-002</x:v>
      </x:c>
      <x:c r="B322" s="46" t="str">
        <x:v>Q. Notifications and Reminders</x:v>
      </x:c>
      <x:c r="C322" s="46" t="str">
        <x:v>be able to create local reminders without creating an account.</x:v>
      </x:c>
      <x:c r="D322" s="46" t="str">
        <x:v>BR-Q-006, BR-Q-007, BR-Q-010</x:v>
      </x:c>
      <x:c r="E322" s="46" t="str">
        <x:v>ADR-022 — Notifications, Background Work, and Calendar Integration; ADR-002 — Guest-First Identity and Optional Accounts</x:v>
      </x:c>
      <x:c r="F322" s="46" t="str">
        <x:v>AC-Q-002</x:v>
      </x:c>
      <x:c r="G322" s="46" t="str">
        <x:v>Yes</x:v>
      </x:c>
      <x:c r="H322" s="46" t="str">
        <x:v>V1</x:v>
      </x:c>
      <x:c r="I322" s="46" t="str">
        <x:v>Notifications and Reminders</x:v>
      </x:c>
      <x:c r="J322" s="46" t="str">
        <x:v>Widget test</x:v>
      </x:c>
      <x:c r="K322" s="46" t="str">
        <x:v>Complete</x:v>
      </x:c>
      <x:c r="L322" s="47"/>
    </x:row>
    <x:row r="323" ht="42" customHeight="1">
      <x:c r="A323" s="45" t="str">
        <x:v>FR-Q-003</x:v>
      </x:c>
      <x:c r="B323" s="46" t="str">
        <x:v>Q. Notifications and Reminders</x:v>
      </x:c>
      <x:c r="C323" s="46" t="str">
        <x:v>Reminder creation, delivery, dismissal, or opening shall not change source outcomes or Actual.</x:v>
      </x:c>
      <x:c r="D323" s="46" t="str">
        <x:v>BR-Q-002, BR-Q-004, BR-Q-006</x:v>
      </x:c>
      <x:c r="E323" s="46" t="str">
        <x:v>ADR-005 — Confirmed-Source Progress and Read-Only Actuals; ADR-011 — Event and Task Outcome Reporting; ADR-022 — Notifications, Background Work, and Calendar Integration</x:v>
      </x:c>
      <x:c r="F323" s="46" t="str">
        <x:v>AC-Q-003</x:v>
      </x:c>
      <x:c r="G323" s="46" t="str">
        <x:v>Yes</x:v>
      </x:c>
      <x:c r="H323" s="46" t="str">
        <x:v>V1</x:v>
      </x:c>
      <x:c r="I323" s="46" t="str">
        <x:v>Notifications and Reminders</x:v>
      </x:c>
      <x:c r="J323" s="46" t="str">
        <x:v>Domain test</x:v>
      </x:c>
      <x:c r="K323" s="46" t="str">
        <x:v>Complete</x:v>
      </x:c>
      <x:c r="L323" s="47"/>
    </x:row>
    <x:row r="324" ht="42" customHeight="1">
      <x:c r="A324" s="45" t="str">
        <x:v>FR-Q-004</x:v>
      </x:c>
      <x:c r="B324" s="46" t="str">
        <x:v>Q. Notifications and Reminders</x:v>
      </x:c>
      <x:c r="C324" s="46" t="str">
        <x:v>Task reminders and Calendar Event reminders shall remain linked to their separate source records.</x:v>
      </x:c>
      <x:c r="D324" s="46" t="str">
        <x:v>BR-Q-003, BR-Q-007, BR-Q-010</x:v>
      </x:c>
      <x:c r="E324" s="46" t="str">
        <x:v>ADR-009 — Domain Ownership and Relationship Model; ADR-022 — Notifications, Background Work, and Calendar Integration</x:v>
      </x:c>
      <x:c r="F324" s="46" t="str">
        <x:v>AC-Q-004</x:v>
      </x:c>
      <x:c r="G324" s="46" t="str">
        <x:v>Yes</x:v>
      </x:c>
      <x:c r="H324" s="46" t="str">
        <x:v>V1</x:v>
      </x:c>
      <x:c r="I324" s="46" t="str">
        <x:v>Notifications and Reminders</x:v>
      </x:c>
      <x:c r="J324" s="46" t="str">
        <x:v>Integration test</x:v>
      </x:c>
      <x:c r="K324" s="46" t="str">
        <x:v>Complete</x:v>
      </x:c>
      <x:c r="L324" s="47"/>
    </x:row>
    <x:row r="325" ht="42" customHeight="1">
      <x:c r="A325" s="45" t="str">
        <x:v>FR-Q-005</x:v>
      </x:c>
      <x:c r="B325" s="46" t="str">
        <x:v>Q. Notifications and Reminders</x:v>
      </x:c>
      <x:c r="C325" s="46" t="str">
        <x:v>Recurring Calendar Event occurrences shall support independently scheduled reminders.</x:v>
      </x:c>
      <x:c r="D325" s="46" t="str">
        <x:v>BR-Q-004, BR-Q-007, BR-Q-010</x:v>
      </x:c>
      <x:c r="E325" s="46" t="str">
        <x:v>ADR-022 — Notifications, Background Work, and Calendar Integration</x:v>
      </x:c>
      <x:c r="F325" s="46" t="str">
        <x:v>AC-Q-005</x:v>
      </x:c>
      <x:c r="G325" s="46" t="str">
        <x:v>Yes</x:v>
      </x:c>
      <x:c r="H325" s="46" t="str">
        <x:v>V1</x:v>
      </x:c>
      <x:c r="I325" s="46" t="str">
        <x:v>Notifications and Reminders</x:v>
      </x:c>
      <x:c r="J325" s="46" t="str">
        <x:v>Integration test</x:v>
      </x:c>
      <x:c r="K325" s="46" t="str">
        <x:v>Complete</x:v>
      </x:c>
      <x:c r="L325" s="47"/>
    </x:row>
    <x:row r="326" ht="42" customHeight="1">
      <x:c r="A326" s="45" t="str">
        <x:v>FR-Q-006</x:v>
      </x:c>
      <x:c r="B326" s="46" t="str">
        <x:v>Q. Notifications and Reminders</x:v>
      </x:c>
      <x:c r="C326" s="46" t="str">
        <x:v>Ended report-required events may generate Awaiting Report reminders without assigning outcomes.</x:v>
      </x:c>
      <x:c r="D326" s="46" t="str">
        <x:v>BR-Q-006, BR-Q-007, BR-Q-010</x:v>
      </x:c>
      <x:c r="E326" s="46" t="str">
        <x:v>ADR-011 — Event and Task Outcome Reporting; ADR-018 — Guest-to-Account Migration and Account Lifecycle; ADR-022 — Notifications, Background Work, and Calendar Integration</x:v>
      </x:c>
      <x:c r="F326" s="46" t="str">
        <x:v>AC-Q-006</x:v>
      </x:c>
      <x:c r="G326" s="46" t="str">
        <x:v>Yes</x:v>
      </x:c>
      <x:c r="H326" s="46" t="str">
        <x:v>V1</x:v>
      </x:c>
      <x:c r="I326" s="46" t="str">
        <x:v>Notifications and Reminders</x:v>
      </x:c>
      <x:c r="J326" s="46" t="str">
        <x:v>Domain test</x:v>
      </x:c>
      <x:c r="K326" s="46" t="str">
        <x:v>Complete</x:v>
      </x:c>
      <x:c r="L326" s="47"/>
    </x:row>
    <x:row r="327" ht="42" customHeight="1">
      <x:c r="A327" s="45" t="str">
        <x:v>FR-Q-007</x:v>
      </x:c>
      <x:c r="B327" s="46" t="str">
        <x:v>Q. Notifications and Reminders</x:v>
      </x:c>
      <x:c r="C327" s="46" t="str">
        <x:v>Weekly Plans may generate Review Due reminders without completing the review.</x:v>
      </x:c>
      <x:c r="D327" s="46" t="str">
        <x:v>BR-Q-006, BR-Q-007, BR-Q-010</x:v>
      </x:c>
      <x:c r="E327" s="46" t="str">
        <x:v>ADR-010 — Weekly Planning Lifecycle; ADR-022 — Notifications, Background Work, and Calendar Integration</x:v>
      </x:c>
      <x:c r="F327" s="46" t="str">
        <x:v>AC-Q-007</x:v>
      </x:c>
      <x:c r="G327" s="46" t="str">
        <x:v>Yes</x:v>
      </x:c>
      <x:c r="H327" s="46" t="str">
        <x:v>V1</x:v>
      </x:c>
      <x:c r="I327" s="46" t="str">
        <x:v>Notifications and Reminders</x:v>
      </x:c>
      <x:c r="J327" s="46" t="str">
        <x:v>Domain test</x:v>
      </x:c>
      <x:c r="K327" s="46" t="str">
        <x:v>Complete</x:v>
      </x:c>
      <x:c r="L327" s="47"/>
    </x:row>
    <x:row r="328" ht="42" customHeight="1">
      <x:c r="A328" s="45" t="str">
        <x:v>FR-Q-008</x:v>
      </x:c>
      <x:c r="B328" s="46" t="str">
        <x:v>Q. Notifications and Reminders</x:v>
      </x:c>
      <x:c r="C328" s="46" t="str">
        <x:v>be able to configure quiet hours for reminder delivery.</x:v>
      </x:c>
      <x:c r="D328" s="46" t="str">
        <x:v>BR-Q-002, BR-Q-004, BR-Q-008</x:v>
      </x:c>
      <x:c r="E328" s="46" t="str">
        <x:v>ADR-022 — Notifications, Background Work, and Calendar Integration</x:v>
      </x:c>
      <x:c r="F328" s="46" t="str">
        <x:v>AC-Q-008</x:v>
      </x:c>
      <x:c r="G328" s="46" t="str">
        <x:v>Yes</x:v>
      </x:c>
      <x:c r="H328" s="46" t="str">
        <x:v>V1</x:v>
      </x:c>
      <x:c r="I328" s="46" t="str">
        <x:v>Notifications and Reminders</x:v>
      </x:c>
      <x:c r="J328" s="46" t="str">
        <x:v>Widget test</x:v>
      </x:c>
      <x:c r="K328" s="46" t="str">
        <x:v>Complete</x:v>
      </x:c>
      <x:c r="L328" s="47" t="str">
        <x:v>OPD-4-005</x:v>
      </x:c>
    </x:row>
    <x:row r="329" ht="42" customHeight="1">
      <x:c r="A329" s="45" t="str">
        <x:v>FR-Q-009</x:v>
      </x:c>
      <x:c r="B329" s="46" t="str">
        <x:v>Q. Notifications and Reminders</x:v>
      </x:c>
      <x:c r="C329" s="46" t="str">
        <x:v>Notification previews shall support privacy-safe content levels.</x:v>
      </x:c>
      <x:c r="D329" s="46" t="str">
        <x:v>BR-Q-001, BR-Q-009</x:v>
      </x:c>
      <x:c r="E329" s="46" t="str">
        <x:v>ADR-021 — Security, Privacy, Permissions, and Sensitive Data; ADR-022 — Notifications, Background Work, and Calendar Integration</x:v>
      </x:c>
      <x:c r="F329" s="46" t="str">
        <x:v>AC-Q-009</x:v>
      </x:c>
      <x:c r="G329" s="46" t="str">
        <x:v>Yes</x:v>
      </x:c>
      <x:c r="H329" s="46" t="str">
        <x:v>V1</x:v>
      </x:c>
      <x:c r="I329" s="46" t="str">
        <x:v>Notifications and Reminders</x:v>
      </x:c>
      <x:c r="J329" s="46" t="str">
        <x:v>Widget test</x:v>
      </x:c>
      <x:c r="K329" s="46" t="str">
        <x:v>Complete</x:v>
      </x:c>
      <x:c r="L329" s="47" t="str">
        <x:v>OPD-4-006</x:v>
      </x:c>
    </x:row>
    <x:row r="330" ht="42" customHeight="1">
      <x:c r="A330" s="45" t="str">
        <x:v>FR-Q-010</x:v>
      </x:c>
      <x:c r="B330" s="46" t="str">
        <x:v>Q. Notifications and Reminders</x:v>
      </x:c>
      <x:c r="C330" s="46" t="str">
        <x:v>Applicable reminder schedules shall recover after device restart or app update.</x:v>
      </x:c>
      <x:c r="D330" s="46" t="str">
        <x:v>BR-Q-002, BR-Q-004, BR-Q-010</x:v>
      </x:c>
      <x:c r="E330" s="46" t="str">
        <x:v>ADR-022 — Notifications, Background Work, and Calendar Integration</x:v>
      </x:c>
      <x:c r="F330" s="46" t="str">
        <x:v>AC-Q-010</x:v>
      </x:c>
      <x:c r="G330" s="46" t="str">
        <x:v>No</x:v>
      </x:c>
      <x:c r="H330" s="46" t="str">
        <x:v>V1</x:v>
      </x:c>
      <x:c r="I330" s="46" t="str">
        <x:v>Notifications and Reminders</x:v>
      </x:c>
      <x:c r="J330" s="46" t="str">
        <x:v>Integration test</x:v>
      </x:c>
      <x:c r="K330" s="46" t="str">
        <x:v>Complete</x:v>
      </x:c>
      <x:c r="L330" s="47" t="str">
        <x:v>OPD-4-007</x:v>
      </x:c>
    </x:row>
    <x:row r="331" ht="42" customHeight="1">
      <x:c r="A331" s="45" t="str">
        <x:v>FR-Q-011</x:v>
      </x:c>
      <x:c r="B331" s="46" t="str">
        <x:v>Q. Notifications and Reminders</x:v>
      </x:c>
      <x:c r="C331" s="46" t="str">
        <x:v>Reminder scheduling and recovery shall prevent duplicate active reminders.</x:v>
      </x:c>
      <x:c r="D331" s="46" t="str">
        <x:v>BR-Q-006, BR-Q-007, BR-Q-010</x:v>
      </x:c>
      <x:c r="E331" s="46" t="str">
        <x:v>ADR-022 — Notifications, Background Work, and Calendar Integration</x:v>
      </x:c>
      <x:c r="F331" s="46" t="str">
        <x:v>AC-Q-011</x:v>
      </x:c>
      <x:c r="G331" s="46" t="str">
        <x:v>Yes</x:v>
      </x:c>
      <x:c r="H331" s="46" t="str">
        <x:v>V1</x:v>
      </x:c>
      <x:c r="I331" s="46" t="str">
        <x:v>Notifications and Reminders</x:v>
      </x:c>
      <x:c r="J331" s="46" t="str">
        <x:v>Domain test / Integration test</x:v>
      </x:c>
      <x:c r="K331" s="46" t="str">
        <x:v>Complete</x:v>
      </x:c>
      <x:c r="L331" s="47"/>
    </x:row>
    <x:row r="332" ht="42" customHeight="1">
      <x:c r="A332" s="45" t="str">
        <x:v>FR-Q-012</x:v>
      </x:c>
      <x:c r="B332" s="46" t="str">
        <x:v>Q. Notifications and Reminders</x:v>
      </x:c>
      <x:c r="C332" s="46" t="str">
        <x:v>Permission denial shall not alter Tasks, events, reports, targets, Actual, or Scheduled Potential.</x:v>
      </x:c>
      <x:c r="D332" s="46" t="str">
        <x:v>BR-Q-001, BR-Q-002</x:v>
      </x:c>
      <x:c r="E332" s="46" t="str">
        <x:v>ADR-005 — Confirmed-Source Progress and Read-Only Actuals; ADR-011 — Event and Task Outcome Reporting; ADR-021 — Security, Privacy, Permissions, and Sensitive Data; ADR-022 — Notifications, Background Work, and Calendar Integration</x:v>
      </x:c>
      <x:c r="F332" s="46" t="str">
        <x:v>AC-Q-012</x:v>
      </x:c>
      <x:c r="G332" s="46" t="str">
        <x:v>Yes</x:v>
      </x:c>
      <x:c r="H332" s="46" t="str">
        <x:v>V1</x:v>
      </x:c>
      <x:c r="I332" s="46" t="str">
        <x:v>Notifications and Reminders</x:v>
      </x:c>
      <x:c r="J332" s="46" t="str">
        <x:v>Domain test / Widget test</x:v>
      </x:c>
      <x:c r="K332" s="46" t="str">
        <x:v>Complete</x:v>
      </x:c>
      <x:c r="L332" s="47"/>
    </x:row>
    <x:row r="333" ht="42" customHeight="1">
      <x:c r="A333" s="45" t="str">
        <x:v>FR-Q-013</x:v>
      </x:c>
      <x:c r="B333" s="46" t="str">
        <x:v>Q. Notifications and Reminders</x:v>
      </x:c>
      <x:c r="C333" s="46" t="str">
        <x:v>Reminder definitions shall be stored locally and remain available offline.</x:v>
      </x:c>
      <x:c r="D333" s="46" t="str">
        <x:v>BR-Q-002, BR-Q-004</x:v>
      </x:c>
      <x:c r="E333" s="46" t="str">
        <x:v>ADR-022 — Notifications, Background Work, and Calendar Integration; ADR-006 — Local-First Operation with Background Synchronization; ADR-013 — Local Drift Database Architecture</x:v>
      </x:c>
      <x:c r="F333" s="46" t="str">
        <x:v>AC-Q-013</x:v>
      </x:c>
      <x:c r="G333" s="46" t="str">
        <x:v>Yes</x:v>
      </x:c>
      <x:c r="H333" s="46" t="str">
        <x:v>V1</x:v>
      </x:c>
      <x:c r="I333" s="46" t="str">
        <x:v>Notifications and Reminders</x:v>
      </x:c>
      <x:c r="J333" s="46" t="str">
        <x:v>Database test</x:v>
      </x:c>
      <x:c r="K333" s="46" t="str">
        <x:v>Complete</x:v>
      </x:c>
      <x:c r="L333" s="47"/>
    </x:row>
    <x:row r="334" ht="42" customHeight="1">
      <x:c r="A334" s="45" t="str">
        <x:v>FR-Q-014</x:v>
      </x:c>
      <x:c r="B334" s="46" t="str">
        <x:v>Q. Notifications and Reminders</x:v>
      </x:c>
      <x:c r="C334" s="46" t="str">
        <x:v>Future reminders shall be reconciled after relevant date, time, or timezone changes.</x:v>
      </x:c>
      <x:c r="D334" s="46" t="str">
        <x:v>BR-Q-006, BR-Q-007, BR-Q-010</x:v>
      </x:c>
      <x:c r="E334" s="46" t="str">
        <x:v>ADR-022 — Notifications, Background Work, and Calendar Integration</x:v>
      </x:c>
      <x:c r="F334" s="46" t="str">
        <x:v>AC-Q-014</x:v>
      </x:c>
      <x:c r="G334" s="46" t="str">
        <x:v>No</x:v>
      </x:c>
      <x:c r="H334" s="46" t="str">
        <x:v>V1</x:v>
      </x:c>
      <x:c r="I334" s="46" t="str">
        <x:v>Notifications and Reminders</x:v>
      </x:c>
      <x:c r="J334" s="46" t="str">
        <x:v>Domain test</x:v>
      </x:c>
      <x:c r="K334" s="46" t="str">
        <x:v>Complete</x:v>
      </x:c>
      <x:c r="L334" s="47" t="str">
        <x:v>OPD-4-007</x:v>
      </x:c>
    </x:row>
    <x:row r="335" ht="42" customHeight="1">
      <x:c r="A335" s="45" t="str">
        <x:v>FR-Q-015</x:v>
      </x:c>
      <x:c r="B335" s="46" t="str">
        <x:v>Q. Notifications and Reminders</x:v>
      </x:c>
      <x:c r="C335" s="46" t="str">
        <x:v>Reminder preferences and quiet hours shall be private to the Local Profile.</x:v>
      </x:c>
      <x:c r="D335" s="46" t="str">
        <x:v>BR-Q-004, BR-Q-008, BR-Q-009</x:v>
      </x:c>
      <x:c r="E335" s="46" t="str">
        <x:v>ADR-022 — Notifications, Background Work, and Calendar Integration; ADR-003 — Private Single-User Data Model</x:v>
      </x:c>
      <x:c r="F335" s="46" t="str">
        <x:v>AC-Q-015</x:v>
      </x:c>
      <x:c r="G335" s="46" t="str">
        <x:v>Yes</x:v>
      </x:c>
      <x:c r="H335" s="46" t="str">
        <x:v>V1</x:v>
      </x:c>
      <x:c r="I335" s="46" t="str">
        <x:v>Notifications and Reminders</x:v>
      </x:c>
      <x:c r="J335" s="46" t="str">
        <x:v>Domain test</x:v>
      </x:c>
      <x:c r="K335" s="46" t="str">
        <x:v>Complete</x:v>
      </x:c>
      <x:c r="L335" s="47" t="str">
        <x:v>OPD-4-005</x:v>
      </x:c>
    </x:row>
    <x:row r="336" ht="42" customHeight="1">
      <x:c r="A336" s="45" t="str">
        <x:v>FR-Q-016</x:v>
      </x:c>
      <x:c r="B336" s="46" t="str">
        <x:v>Q. Notifications and Reminders</x:v>
      </x:c>
      <x:c r="C336" s="46" t="str">
        <x:v>Obsolete reminders shall be cancelled when their source is cancelled, rescheduled, deleted, or archived as applicable.</x:v>
      </x:c>
      <x:c r="D336" s="46" t="str">
        <x:v>BR-Q-003, BR-Q-005, BR-Q-010</x:v>
      </x:c>
      <x:c r="E336" s="46" t="str">
        <x:v>ADR-011 — Event and Task Outcome Reporting; ADR-022 — Notifications, Background Work, and Calendar Integration</x:v>
      </x:c>
      <x:c r="F336" s="46" t="str">
        <x:v>AC-Q-016</x:v>
      </x:c>
      <x:c r="G336" s="46" t="str">
        <x:v>No</x:v>
      </x:c>
      <x:c r="H336" s="46" t="str">
        <x:v>V1</x:v>
      </x:c>
      <x:c r="I336" s="46" t="str">
        <x:v>Notifications and Reminders</x:v>
      </x:c>
      <x:c r="J336" s="46" t="str">
        <x:v>Domain test</x:v>
      </x:c>
      <x:c r="K336" s="46" t="str">
        <x:v>Complete</x:v>
      </x:c>
      <x:c r="L336" s="47"/>
    </x:row>
    <x:row r="337" ht="42" customHeight="1">
      <x:c r="A337" s="45" t="str">
        <x:v>FR-R-001</x:v>
      </x:c>
      <x:c r="B337" s="46" t="str">
        <x:v>R. BetterCalendar Import</x:v>
      </x:c>
      <x:c r="C337" s="46" t="str">
        <x:v>Guest and signed-in users shall be able to select a BetterCalendar JSON backup without requiring account creation.</x:v>
      </x:c>
      <x:c r="D337" s="46" t="str">
        <x:v>BR-R-001, BR-R-002</x:v>
      </x:c>
      <x:c r="E337" s="46" t="str">
        <x:v>ADR-014 — External Data Import and BetterCalendar Migration; ADR-017 — Local Backup, Export, Restore, and Disaster Recovery; ADR-002 — Guest-First Identity and Optional Accounts</x:v>
      </x:c>
      <x:c r="F337" s="46" t="str">
        <x:v>AC-R-001</x:v>
      </x:c>
      <x:c r="G337" s="46" t="str">
        <x:v>Yes</x:v>
      </x:c>
      <x:c r="H337" s="46" t="str">
        <x:v>V1</x:v>
      </x:c>
      <x:c r="I337" s="46" t="str">
        <x:v>BetterCalendar Import</x:v>
      </x:c>
      <x:c r="J337" s="46" t="str">
        <x:v>Database test / Widget test / Integration test</x:v>
      </x:c>
      <x:c r="K337" s="46" t="str">
        <x:v>Complete</x:v>
      </x:c>
      <x:c r="L337" s="47"/>
    </x:row>
    <x:row r="338" ht="42" customHeight="1">
      <x:c r="A338" s="45" t="str">
        <x:v>FR-R-002</x:v>
      </x:c>
      <x:c r="B338" s="46" t="str">
        <x:v>R. BetterCalendar Import</x:v>
      </x:c>
      <x:c r="C338" s="46" t="str">
        <x:v>validate JSON structure, source version, and recognized top-level fields before import.</x:v>
      </x:c>
      <x:c r="D338" s="46" t="str">
        <x:v>BR-R-005, BR-R-008, BR-R-009</x:v>
      </x:c>
      <x:c r="E338" s="46" t="str">
        <x:v>ADR-014 — External Data Import and BetterCalendar Migration</x:v>
      </x:c>
      <x:c r="F338" s="46" t="str">
        <x:v>AC-R-002</x:v>
      </x:c>
      <x:c r="G338" s="46" t="str">
        <x:v>Yes</x:v>
      </x:c>
      <x:c r="H338" s="46" t="str">
        <x:v>V1</x:v>
      </x:c>
      <x:c r="I338" s="46" t="str">
        <x:v>BetterCalendar Import</x:v>
      </x:c>
      <x:c r="J338" s="46" t="str">
        <x:v>Integration test</x:v>
      </x:c>
      <x:c r="K338" s="46" t="str">
        <x:v>Complete</x:v>
      </x:c>
      <x:c r="L338" s="47" t="str">
        <x:v>OPD-4-009</x:v>
      </x:c>
    </x:row>
    <x:row r="339" ht="42" customHeight="1">
      <x:c r="A339" s="45" t="str">
        <x:v>FR-R-003</x:v>
      </x:c>
      <x:c r="B339" s="46" t="str">
        <x:v>R. BetterCalendar Import</x:v>
      </x:c>
      <x:c r="C339" s="46" t="str">
        <x:v>The importer shall recognize supported contacts, events, tasks, settings, appVersion, and exportDate content.</x:v>
      </x:c>
      <x:c r="D339" s="46" t="str">
        <x:v>BR-R-004</x:v>
      </x:c>
      <x:c r="E339" s="46" t="str">
        <x:v>ADR-014 — External Data Import and BetterCalendar Migration</x:v>
      </x:c>
      <x:c r="F339" s="46" t="str">
        <x:v>AC-R-003</x:v>
      </x:c>
      <x:c r="G339" s="46" t="str">
        <x:v>Yes</x:v>
      </x:c>
      <x:c r="H339" s="46" t="str">
        <x:v>V1</x:v>
      </x:c>
      <x:c r="I339" s="46" t="str">
        <x:v>BetterCalendar Import</x:v>
      </x:c>
      <x:c r="J339" s="46" t="str">
        <x:v>Integration test</x:v>
      </x:c>
      <x:c r="K339" s="46" t="str">
        <x:v>Complete</x:v>
      </x:c>
      <x:c r="L339" s="47" t="str">
        <x:v>OPD-4-012</x:v>
      </x:c>
    </x:row>
    <x:row r="340" ht="42" customHeight="1">
      <x:c r="A340" s="45" t="str">
        <x:v>FR-R-004</x:v>
      </x:c>
      <x:c r="B340" s="46" t="str">
        <x:v>R. BetterCalendar Import</x:v>
      </x:c>
      <x:c r="C340" s="46" t="str">
        <x:v>present an import preview with counts, warnings, duplicates, unsupported fields, and category selections.</x:v>
      </x:c>
      <x:c r="D340" s="46" t="str">
        <x:v>BR-R-005, BR-R-008, BR-R-009</x:v>
      </x:c>
      <x:c r="E340" s="46" t="str">
        <x:v>ADR-014 — External Data Import and BetterCalendar Migration</x:v>
      </x:c>
      <x:c r="F340" s="46" t="str">
        <x:v>AC-R-004</x:v>
      </x:c>
      <x:c r="G340" s="46" t="str">
        <x:v>Yes</x:v>
      </x:c>
      <x:c r="H340" s="46" t="str">
        <x:v>V1</x:v>
      </x:c>
      <x:c r="I340" s="46" t="str">
        <x:v>BetterCalendar Import</x:v>
      </x:c>
      <x:c r="J340" s="46" t="str">
        <x:v>Domain test / Widget test / Integration test</x:v>
      </x:c>
      <x:c r="K340" s="46" t="str">
        <x:v>Complete</x:v>
      </x:c>
      <x:c r="L340" s="47"/>
    </x:row>
    <x:row r="341" ht="42" customHeight="1">
      <x:c r="A341" s="45" t="str">
        <x:v>FR-R-005</x:v>
      </x:c>
      <x:c r="B341" s="46" t="str">
        <x:v>R. BetterCalendar Import</x:v>
      </x:c>
      <x:c r="C341" s="46" t="str">
        <x:v>Duplicate Task representations with the same source ID and eventType TASK shall be imported as one Task.</x:v>
      </x:c>
      <x:c r="D341" s="46" t="str">
        <x:v>BR-R-005, BR-R-007</x:v>
      </x:c>
      <x:c r="E341" s="46" t="str">
        <x:v>ADR-014 — External Data Import and BetterCalendar Migration</x:v>
      </x:c>
      <x:c r="F341" s="46" t="str">
        <x:v>AC-R-005</x:v>
      </x:c>
      <x:c r="G341" s="46" t="str">
        <x:v>Yes</x:v>
      </x:c>
      <x:c r="H341" s="46" t="str">
        <x:v>V1</x:v>
      </x:c>
      <x:c r="I341" s="46" t="str">
        <x:v>BetterCalendar Import</x:v>
      </x:c>
      <x:c r="J341" s="46" t="str">
        <x:v>Domain test / Integration test</x:v>
      </x:c>
      <x:c r="K341" s="46" t="str">
        <x:v>Complete</x:v>
      </x:c>
      <x:c r="L341" s="47" t="str">
        <x:v>OPD-4-009</x:v>
      </x:c>
    </x:row>
    <x:row r="342" ht="42" customHeight="1">
      <x:c r="A342" s="45" t="str">
        <x:v>FR-R-006</x:v>
      </x:c>
      <x:c r="B342" s="46" t="str">
        <x:v>R. BetterCalendar Import</x:v>
      </x:c>
      <x:c r="C342" s="46" t="str">
        <x:v>Imported Tasks and Calendar Events shall remain separate domain entities.</x:v>
      </x:c>
      <x:c r="D342" s="46" t="str">
        <x:v>BR-R-001, BR-R-004, BR-R-007</x:v>
      </x:c>
      <x:c r="E342" s="46" t="str">
        <x:v>ADR-004 — Separation of Tasks and Calendar Events; ADR-014 — External Data Import and BetterCalendar Migration</x:v>
      </x:c>
      <x:c r="F342" s="46" t="str">
        <x:v>AC-R-006</x:v>
      </x:c>
      <x:c r="G342" s="46" t="str">
        <x:v>Yes</x:v>
      </x:c>
      <x:c r="H342" s="46" t="str">
        <x:v>V1</x:v>
      </x:c>
      <x:c r="I342" s="46" t="str">
        <x:v>BetterCalendar Import</x:v>
      </x:c>
      <x:c r="J342" s="46" t="str">
        <x:v>Integration test</x:v>
      </x:c>
      <x:c r="K342" s="46" t="str">
        <x:v>Complete</x:v>
      </x:c>
      <x:c r="L342" s="47"/>
    </x:row>
    <x:row r="343" ht="42" customHeight="1">
      <x:c r="A343" s="45" t="str">
        <x:v>FR-R-007</x:v>
      </x:c>
      <x:c r="B343" s="46" t="str">
        <x:v>R. BetterCalendar Import</x:v>
      </x:c>
      <x:c r="C343" s="46" t="str">
        <x:v>Import shall not create Actual or Activity Ledger contributions from imported schedule or completion fields alone.</x:v>
      </x:c>
      <x:c r="D343" s="46" t="str">
        <x:v>BR-R-001, BR-R-007, BR-R-009</x:v>
      </x:c>
      <x:c r="E343" s="46" t="str">
        <x:v>ADR-005 — Confirmed-Source Progress and Read-Only Actuals; ADR-012 — Activity Ledger and Contribution Engine; ADR-014 — External Data Import and BetterCalendar Migration</x:v>
      </x:c>
      <x:c r="F343" s="46" t="str">
        <x:v>AC-R-007</x:v>
      </x:c>
      <x:c r="G343" s="46" t="str">
        <x:v>Yes</x:v>
      </x:c>
      <x:c r="H343" s="46" t="str">
        <x:v>V1</x:v>
      </x:c>
      <x:c r="I343" s="46" t="str">
        <x:v>BetterCalendar Import</x:v>
      </x:c>
      <x:c r="J343" s="46" t="str">
        <x:v>Domain test / Database test / Integration test</x:v>
      </x:c>
      <x:c r="K343" s="46" t="str">
        <x:v>Complete</x:v>
      </x:c>
      <x:c r="L343" s="47" t="str">
        <x:v>OPD-4-009</x:v>
      </x:c>
    </x:row>
    <x:row r="344" ht="42" customHeight="1">
      <x:c r="A344" s="45" t="str">
        <x:v>FR-R-008</x:v>
      </x:c>
      <x:c r="B344" s="46" t="str">
        <x:v>R. BetterCalendar Import</x:v>
      </x:c>
      <x:c r="C344" s="46" t="str">
        <x:v>Imported scheduled Calendar Events shall not receive happened outcomes from elapsed source dates.</x:v>
      </x:c>
      <x:c r="D344" s="46" t="str">
        <x:v>BR-R-001, BR-R-004, BR-R-007</x:v>
      </x:c>
      <x:c r="E344" s="46" t="str">
        <x:v>ADR-011 — Event and Task Outcome Reporting; ADR-014 — External Data Import and BetterCalendar Migration</x:v>
      </x:c>
      <x:c r="F344" s="46" t="str">
        <x:v>AC-R-008</x:v>
      </x:c>
      <x:c r="G344" s="46" t="str">
        <x:v>Yes</x:v>
      </x:c>
      <x:c r="H344" s="46" t="str">
        <x:v>V1</x:v>
      </x:c>
      <x:c r="I344" s="46" t="str">
        <x:v>BetterCalendar Import</x:v>
      </x:c>
      <x:c r="J344" s="46" t="str">
        <x:v>Domain test / Integration test</x:v>
      </x:c>
      <x:c r="K344" s="46" t="str">
        <x:v>Complete</x:v>
      </x:c>
      <x:c r="L344" s="47" t="str">
        <x:v>OPD-4-009, OPD-4-013</x:v>
      </x:c>
    </x:row>
    <x:row r="345" ht="42" customHeight="1">
      <x:c r="A345" s="45" t="str">
        <x:v>FR-R-009</x:v>
      </x:c>
      <x:c r="B345" s="46" t="str">
        <x:v>R. BetterCalendar Import</x:v>
      </x:c>
      <x:c r="C345" s="46" t="str">
        <x:v>Every imported record shall retain import-batch and source provenance sufficient for deduplication and support.</x:v>
      </x:c>
      <x:c r="D345" s="46" t="str">
        <x:v>BR-R-006, BR-R-007, BR-R-009</x:v>
      </x:c>
      <x:c r="E345" s="46" t="str">
        <x:v>ADR-014 — External Data Import and BetterCalendar Migration; ADR-023 — Testing, Observability, Diagnostics, and Quality Strategy</x:v>
      </x:c>
      <x:c r="F345" s="46" t="str">
        <x:v>AC-R-009</x:v>
      </x:c>
      <x:c r="G345" s="46" t="str">
        <x:v>No</x:v>
      </x:c>
      <x:c r="H345" s="46" t="str">
        <x:v>V1</x:v>
      </x:c>
      <x:c r="I345" s="46" t="str">
        <x:v>BetterCalendar Import</x:v>
      </x:c>
      <x:c r="J345" s="46" t="str">
        <x:v>Domain test / Integration test</x:v>
      </x:c>
      <x:c r="K345" s="46" t="str">
        <x:v>Complete</x:v>
      </x:c>
      <x:c r="L345" s="47" t="str">
        <x:v>OPD-4-009, OPD-4-011</x:v>
      </x:c>
    </x:row>
    <x:row r="346" ht="42" customHeight="1">
      <x:c r="A346" s="45" t="str">
        <x:v>FR-R-010</x:v>
      </x:c>
      <x:c r="B346" s="46" t="str">
        <x:v>R. BetterCalendar Import</x:v>
      </x:c>
      <x:c r="C346" s="46" t="str">
        <x:v>Imported Contacts shall remain private records belonging to the Local Profile.</x:v>
      </x:c>
      <x:c r="D346" s="46" t="str">
        <x:v>BR-R-004, BR-R-007</x:v>
      </x:c>
      <x:c r="E346" s="46" t="str">
        <x:v>ADR-014 — External Data Import and BetterCalendar Migration</x:v>
      </x:c>
      <x:c r="F346" s="46" t="str">
        <x:v>AC-R-010</x:v>
      </x:c>
      <x:c r="G346" s="46" t="str">
        <x:v>Yes</x:v>
      </x:c>
      <x:c r="H346" s="46" t="str">
        <x:v>V1</x:v>
      </x:c>
      <x:c r="I346" s="46" t="str">
        <x:v>BetterCalendar Import</x:v>
      </x:c>
      <x:c r="J346" s="46" t="str">
        <x:v>Integration test</x:v>
      </x:c>
      <x:c r="K346" s="46" t="str">
        <x:v>Complete</x:v>
      </x:c>
      <x:c r="L346" s="47" t="str">
        <x:v>OPD-4-013</x:v>
      </x:c>
    </x:row>
    <x:row r="347" ht="42" customHeight="1">
      <x:c r="A347" s="45" t="str">
        <x:v>FR-R-011</x:v>
      </x:c>
      <x:c r="B347" s="46" t="str">
        <x:v>R. BetterCalendar Import</x:v>
      </x:c>
      <x:c r="C347" s="46" t="str">
        <x:v>Supported recurrence information shall map into Next Transfer recurrence without merging occurrence identities.</x:v>
      </x:c>
      <x:c r="D347" s="46" t="str">
        <x:v>BR-R-002</x:v>
      </x:c>
      <x:c r="E347" s="46" t="str">
        <x:v>ADR-014 — External Data Import and BetterCalendar Migration</x:v>
      </x:c>
      <x:c r="F347" s="46" t="str">
        <x:v>AC-R-011</x:v>
      </x:c>
      <x:c r="G347" s="46" t="str">
        <x:v>Yes</x:v>
      </x:c>
      <x:c r="H347" s="46" t="str">
        <x:v>V1</x:v>
      </x:c>
      <x:c r="I347" s="46" t="str">
        <x:v>BetterCalendar Import</x:v>
      </x:c>
      <x:c r="J347" s="46" t="str">
        <x:v>Domain test</x:v>
      </x:c>
      <x:c r="K347" s="46" t="str">
        <x:v>Complete</x:v>
      </x:c>
      <x:c r="L347" s="47"/>
    </x:row>
    <x:row r="348" ht="42" customHeight="1">
      <x:c r="A348" s="45" t="str">
        <x:v>FR-R-012</x:v>
      </x:c>
      <x:c r="B348" s="46" t="str">
        <x:v>R. BetterCalendar Import</x:v>
      </x:c>
      <x:c r="C348" s="46" t="str">
        <x:v>Unsupported source fields shall be listed in the import report and shall not be silently reclassified.</x:v>
      </x:c>
      <x:c r="D348" s="46" t="str">
        <x:v>BR-R-005, BR-R-008, BR-R-009</x:v>
      </x:c>
      <x:c r="E348" s="46" t="str">
        <x:v>ADR-011 — Event and Task Outcome Reporting; ADR-014 — External Data Import and BetterCalendar Migration</x:v>
      </x:c>
      <x:c r="F348" s="46" t="str">
        <x:v>AC-R-012</x:v>
      </x:c>
      <x:c r="G348" s="46" t="str">
        <x:v>Yes</x:v>
      </x:c>
      <x:c r="H348" s="46" t="str">
        <x:v>V1</x:v>
      </x:c>
      <x:c r="I348" s="46" t="str">
        <x:v>BetterCalendar Import</x:v>
      </x:c>
      <x:c r="J348" s="46" t="str">
        <x:v>Integration test</x:v>
      </x:c>
      <x:c r="K348" s="46" t="str">
        <x:v>Complete</x:v>
      </x:c>
      <x:c r="L348" s="47" t="str">
        <x:v>OPD-4-009, OPD-4-010</x:v>
      </x:c>
    </x:row>
    <x:row r="349" ht="42" customHeight="1">
      <x:c r="A349" s="45" t="str">
        <x:v>FR-R-013</x:v>
      </x:c>
      <x:c r="B349" s="46" t="str">
        <x:v>R. BetterCalendar Import</x:v>
      </x:c>
      <x:c r="C349" s="46" t="str">
        <x:v>be able to select supported import categories when dependency rules permit partial import.</x:v>
      </x:c>
      <x:c r="D349" s="46" t="str">
        <x:v>BR-R-002, BR-R-005, BR-R-009</x:v>
      </x:c>
      <x:c r="E349" s="46" t="str">
        <x:v>ADR-014 — External Data Import and BetterCalendar Migration</x:v>
      </x:c>
      <x:c r="F349" s="46" t="str">
        <x:v>AC-R-013</x:v>
      </x:c>
      <x:c r="G349" s="46" t="str">
        <x:v>No</x:v>
      </x:c>
      <x:c r="H349" s="46" t="str">
        <x:v>V1</x:v>
      </x:c>
      <x:c r="I349" s="46" t="str">
        <x:v>BetterCalendar Import</x:v>
      </x:c>
      <x:c r="J349" s="46" t="str">
        <x:v>Widget test / Integration test</x:v>
      </x:c>
      <x:c r="K349" s="46" t="str">
        <x:v>Complete</x:v>
      </x:c>
      <x:c r="L349" s="47" t="str">
        <x:v>OPD-4-012</x:v>
      </x:c>
    </x:row>
    <x:row r="350" ht="42" customHeight="1">
      <x:c r="A350" s="45" t="str">
        <x:v>FR-R-014</x:v>
      </x:c>
      <x:c r="B350" s="46" t="str">
        <x:v>R. BetterCalendar Import</x:v>
      </x:c>
      <x:c r="C350" s="46" t="str">
        <x:v>A recoverable checkpoint shall be created before import changes live local data.</x:v>
      </x:c>
      <x:c r="D350" s="46" t="str">
        <x:v>BR-R-005, BR-R-009, BR-R-010</x:v>
      </x:c>
      <x:c r="E350" s="46" t="str">
        <x:v>ADR-014 — External Data Import and BetterCalendar Migration</x:v>
      </x:c>
      <x:c r="F350" s="46" t="str">
        <x:v>AC-R-014</x:v>
      </x:c>
      <x:c r="G350" s="46" t="str">
        <x:v>No</x:v>
      </x:c>
      <x:c r="H350" s="46" t="str">
        <x:v>V1</x:v>
      </x:c>
      <x:c r="I350" s="46" t="str">
        <x:v>BetterCalendar Import</x:v>
      </x:c>
      <x:c r="J350" s="46" t="str">
        <x:v>Integration test</x:v>
      </x:c>
      <x:c r="K350" s="46" t="str">
        <x:v>Complete</x:v>
      </x:c>
      <x:c r="L350" s="47"/>
    </x:row>
    <x:row r="351" ht="42" customHeight="1">
      <x:c r="A351" s="45" t="str">
        <x:v>FR-R-015</x:v>
      </x:c>
      <x:c r="B351" s="46" t="str">
        <x:v>R. BetterCalendar Import</x:v>
      </x:c>
      <x:c r="C351" s="46" t="str">
        <x:v>Import retries shall not duplicate previously committed records from the same batch or source identity.</x:v>
      </x:c>
      <x:c r="D351" s="46" t="str">
        <x:v>BR-R-001, BR-R-005, BR-R-009</x:v>
      </x:c>
      <x:c r="E351" s="46" t="str">
        <x:v>ADR-009 — Domain Ownership and Relationship Model; ADR-014 — External Data Import and BetterCalendar Migration</x:v>
      </x:c>
      <x:c r="F351" s="46" t="str">
        <x:v>AC-R-015</x:v>
      </x:c>
      <x:c r="G351" s="46" t="str">
        <x:v>Yes</x:v>
      </x:c>
      <x:c r="H351" s="46" t="str">
        <x:v>V1</x:v>
      </x:c>
      <x:c r="I351" s="46" t="str">
        <x:v>BetterCalendar Import</x:v>
      </x:c>
      <x:c r="J351" s="46" t="str">
        <x:v>Domain test / Integration test</x:v>
      </x:c>
      <x:c r="K351" s="46" t="str">
        <x:v>Complete</x:v>
      </x:c>
      <x:c r="L351" s="47" t="str">
        <x:v>OPD-4-011</x:v>
      </x:c>
    </x:row>
    <x:row r="352" ht="42" customHeight="1">
      <x:c r="A352" s="45" t="str">
        <x:v>FR-R-016</x:v>
      </x:c>
      <x:c r="B352" s="46" t="str">
        <x:v>R. BetterCalendar Import</x:v>
      </x:c>
      <x:c r="C352" s="46" t="str">
        <x:v>Existing local records shall not be overwritten solely because titles or visible fields match imported records.</x:v>
      </x:c>
      <x:c r="D352" s="46" t="str">
        <x:v>BR-R-007, BR-R-008</x:v>
      </x:c>
      <x:c r="E352" s="46" t="str">
        <x:v>ADR-014 — External Data Import and BetterCalendar Migration; ADR-013 — Local Drift Database Architecture</x:v>
      </x:c>
      <x:c r="F352" s="46" t="str">
        <x:v>AC-R-016</x:v>
      </x:c>
      <x:c r="G352" s="46" t="str">
        <x:v>Yes</x:v>
      </x:c>
      <x:c r="H352" s="46" t="str">
        <x:v>V1</x:v>
      </x:c>
      <x:c r="I352" s="46" t="str">
        <x:v>BetterCalendar Import</x:v>
      </x:c>
      <x:c r="J352" s="46" t="str">
        <x:v>Database test / Integration test</x:v>
      </x:c>
      <x:c r="K352" s="46" t="str">
        <x:v>Complete</x:v>
      </x:c>
      <x:c r="L352" s="47" t="str">
        <x:v>OPD-4-009, OPD-4-013</x:v>
      </x:c>
    </x:row>
    <x:row r="353" ht="42" customHeight="1">
      <x:c r="A353" s="45" t="str">
        <x:v>FR-R-017</x:v>
      </x:c>
      <x:c r="B353" s="46" t="str">
        <x:v>R. BetterCalendar Import</x:v>
      </x:c>
      <x:c r="C353" s="46" t="str">
        <x:v>Only explicitly supported and safe BetterCalendar settings shall be eligible for import.</x:v>
      </x:c>
      <x:c r="D353" s="46" t="str">
        <x:v>BR-R-001, BR-R-005, BR-R-009</x:v>
      </x:c>
      <x:c r="E353" s="46" t="str">
        <x:v>ADR-014 — External Data Import and BetterCalendar Migration</x:v>
      </x:c>
      <x:c r="F353" s="46" t="str">
        <x:v>AC-R-017</x:v>
      </x:c>
      <x:c r="G353" s="46" t="str">
        <x:v>No</x:v>
      </x:c>
      <x:c r="H353" s="46" t="str">
        <x:v>V1</x:v>
      </x:c>
      <x:c r="I353" s="46" t="str">
        <x:v>BetterCalendar Import</x:v>
      </x:c>
      <x:c r="J353" s="46" t="str">
        <x:v>Integration test</x:v>
      </x:c>
      <x:c r="K353" s="46" t="str">
        <x:v>Complete</x:v>
      </x:c>
      <x:c r="L353" s="47" t="str">
        <x:v>OPD-4-012</x:v>
      </x:c>
    </x:row>
    <x:row r="354" ht="42" customHeight="1">
      <x:c r="A354" s="45" t="str">
        <x:v>FR-R-018</x:v>
      </x:c>
      <x:c r="B354" s="46" t="str">
        <x:v>R. BetterCalendar Import</x:v>
      </x:c>
      <x:c r="C354" s="46" t="str">
        <x:v>Validation, preview, commit, and supported rollback shall operate offline using Drift.</x:v>
      </x:c>
      <x:c r="D354" s="46" t="str">
        <x:v>BR-R-003, BR-R-010</x:v>
      </x:c>
      <x:c r="E354" s="46" t="str">
        <x:v>ADR-014 — External Data Import and BetterCalendar Migration; ADR-006 — Local-First Operation with Background Synchronization; ADR-013 — Local Drift Database Architecture</x:v>
      </x:c>
      <x:c r="F354" s="46" t="str">
        <x:v>AC-R-018</x:v>
      </x:c>
      <x:c r="G354" s="46" t="str">
        <x:v>Yes</x:v>
      </x:c>
      <x:c r="H354" s="46" t="str">
        <x:v>V1</x:v>
      </x:c>
      <x:c r="I354" s="46" t="str">
        <x:v>BetterCalendar Import</x:v>
      </x:c>
      <x:c r="J354" s="46" t="str">
        <x:v>Database test / Widget test</x:v>
      </x:c>
      <x:c r="K354" s="46" t="str">
        <x:v>Complete</x:v>
      </x:c>
      <x:c r="L354" s="47"/>
    </x:row>
    <x:row r="355" ht="42" customHeight="1">
      <x:c r="A355" s="45" t="str">
        <x:v>FR-R-019</x:v>
      </x:c>
      <x:c r="B355" s="46" t="str">
        <x:v>R. BetterCalendar Import</x:v>
      </x:c>
      <x:c r="C355" s="46" t="str">
        <x:v>Import shall not silently overwrite existing reports, ledger history, or user-edited records.</x:v>
      </x:c>
      <x:c r="D355" s="46" t="str">
        <x:v>BR-R-002, BR-R-005, BR-R-009</x:v>
      </x:c>
      <x:c r="E355" s="46" t="str">
        <x:v>ADR-011 — Event and Task Outcome Reporting; ADR-012 — Activity Ledger and Contribution Engine; ADR-014 — External Data Import and BetterCalendar Migration</x:v>
      </x:c>
      <x:c r="F355" s="46" t="str">
        <x:v>AC-R-019</x:v>
      </x:c>
      <x:c r="G355" s="46" t="str">
        <x:v>Yes</x:v>
      </x:c>
      <x:c r="H355" s="46" t="str">
        <x:v>V1</x:v>
      </x:c>
      <x:c r="I355" s="46" t="str">
        <x:v>BetterCalendar Import</x:v>
      </x:c>
      <x:c r="J355" s="46" t="str">
        <x:v>Database test / Integration test</x:v>
      </x:c>
      <x:c r="K355" s="46" t="str">
        <x:v>Complete</x:v>
      </x:c>
      <x:c r="L355" s="47"/>
    </x:row>
    <x:row r="356" ht="42" customHeight="1">
      <x:c r="A356" s="45" t="str">
        <x:v>FR-R-020</x:v>
      </x:c>
      <x:c r="B356" s="46" t="str">
        <x:v>R. BetterCalendar Import</x:v>
      </x:c>
      <x:c r="C356" s="46" t="str">
        <x:v>provide an import summary distinguishing imported, skipped, deduplicated, unsupported, and failed records.</x:v>
      </x:c>
      <x:c r="D356" s="46" t="str">
        <x:v>BR-R-007, BR-R-008, BR-R-009</x:v>
      </x:c>
      <x:c r="E356" s="46" t="str">
        <x:v>ADR-014 — External Data Import and BetterCalendar Migration; ADR-023 — Testing, Observability, Diagnostics, and Quality Strategy</x:v>
      </x:c>
      <x:c r="F356" s="46" t="str">
        <x:v>AC-R-020</x:v>
      </x:c>
      <x:c r="G356" s="46" t="str">
        <x:v>No</x:v>
      </x:c>
      <x:c r="H356" s="46" t="str">
        <x:v>V1</x:v>
      </x:c>
      <x:c r="I356" s="46" t="str">
        <x:v>BetterCalendar Import</x:v>
      </x:c>
      <x:c r="J356" s="46" t="str">
        <x:v>Domain test / Integration test</x:v>
      </x:c>
      <x:c r="K356" s="46" t="str">
        <x:v>Complete</x:v>
      </x:c>
      <x:c r="L356" s="47" t="str">
        <x:v>OPD-4-013, OPD-4-010</x:v>
      </x:c>
    </x:row>
    <x:row r="357" ht="42" customHeight="1">
      <x:c r="A357" s="45" t="str">
        <x:v>FR-S-001</x:v>
      </x:c>
      <x:c r="B357" s="46" t="str">
        <x:v>S. Backup, Export, and Restore</x:v>
      </x:c>
      <x:c r="C357" s="46" t="str">
        <x:v>clearly distinguish backup, export, restore, external import, and synchronization.</x:v>
      </x:c>
      <x:c r="D357" s="46" t="str">
        <x:v>BR-S-001, BR-S-009, BR-S-010</x:v>
      </x:c>
      <x:c r="E357" s="46" t="str">
        <x:v>ADR-014 — External Data Import and BetterCalendar Migration; ADR-017 — Local Backup, Export, Restore, and Disaster Recovery; ADR-016 — Offline Outbox Synchronization and Conflict Resolution</x:v>
      </x:c>
      <x:c r="F357" s="46" t="str">
        <x:v>AC-S-001</x:v>
      </x:c>
      <x:c r="G357" s="46" t="str">
        <x:v>Yes</x:v>
      </x:c>
      <x:c r="H357" s="46" t="str">
        <x:v>V1</x:v>
      </x:c>
      <x:c r="I357" s="46" t="str">
        <x:v>Backup, Export, and Restore</x:v>
      </x:c>
      <x:c r="J357" s="46" t="str">
        <x:v>Database test / Integration test</x:v>
      </x:c>
      <x:c r="K357" s="46" t="str">
        <x:v>Complete</x:v>
      </x:c>
      <x:c r="L357" s="47"/>
    </x:row>
    <x:row r="358" ht="42" customHeight="1">
      <x:c r="A358" s="45" t="str">
        <x:v>FR-S-002</x:v>
      </x:c>
      <x:c r="B358" s="46" t="str">
        <x:v>S. Backup, Export, and Restore</x:v>
      </x:c>
      <x:c r="C358" s="46" t="str">
        <x:v>Guest users shall be able to create and restore native local backups.</x:v>
      </x:c>
      <x:c r="D358" s="46" t="str">
        <x:v>BR-S-002, BR-S-005, BR-S-007</x:v>
      </x:c>
      <x:c r="E358" s="46" t="str">
        <x:v>ADR-017 — Local Backup, Export, Restore, and Disaster Recovery; ADR-002 — Guest-First Identity and Optional Accounts</x:v>
      </x:c>
      <x:c r="F358" s="46" t="str">
        <x:v>AC-S-002</x:v>
      </x:c>
      <x:c r="G358" s="46" t="str">
        <x:v>Yes</x:v>
      </x:c>
      <x:c r="H358" s="46" t="str">
        <x:v>V1</x:v>
      </x:c>
      <x:c r="I358" s="46" t="str">
        <x:v>Backup, Export, and Restore</x:v>
      </x:c>
      <x:c r="J358" s="46" t="str">
        <x:v>Database test / Widget test</x:v>
      </x:c>
      <x:c r="K358" s="46" t="str">
        <x:v>Complete</x:v>
      </x:c>
      <x:c r="L358" s="47" t="str">
        <x:v>OPD-4-015</x:v>
      </x:c>
    </x:row>
    <x:row r="359" ht="42" customHeight="1">
      <x:c r="A359" s="45" t="str">
        <x:v>FR-S-003</x:v>
      </x:c>
      <x:c r="B359" s="46" t="str">
        <x:v>S. Backup, Export, and Restore</x:v>
      </x:c>
      <x:c r="C359" s="46" t="str">
        <x:v>Native backup shall preserve domain identities and relationships required for full recovery.</x:v>
      </x:c>
      <x:c r="D359" s="46" t="str">
        <x:v>BR-S-003, BR-S-009, BR-S-010</x:v>
      </x:c>
      <x:c r="E359" s="46" t="str">
        <x:v>ADR-009 — Domain Ownership and Relationship Model; ADR-017 — Local Backup, Export, Restore, and Disaster Recovery</x:v>
      </x:c>
      <x:c r="F359" s="46" t="str">
        <x:v>AC-S-003</x:v>
      </x:c>
      <x:c r="G359" s="46" t="str">
        <x:v>Yes</x:v>
      </x:c>
      <x:c r="H359" s="46" t="str">
        <x:v>V1</x:v>
      </x:c>
      <x:c r="I359" s="46" t="str">
        <x:v>Backup, Export, and Restore</x:v>
      </x:c>
      <x:c r="J359" s="46" t="str">
        <x:v>Database test / Integration test</x:v>
      </x:c>
      <x:c r="K359" s="46" t="str">
        <x:v>Complete</x:v>
      </x:c>
      <x:c r="L359" s="47" t="str">
        <x:v>OPD-4-014</x:v>
      </x:c>
    </x:row>
    <x:row r="360" ht="42" customHeight="1">
      <x:c r="A360" s="45" t="str">
        <x:v>FR-S-004</x:v>
      </x:c>
      <x:c r="B360" s="46" t="str">
        <x:v>S. Backup, Export, and Restore</x:v>
      </x:c>
      <x:c r="C360" s="46" t="str">
        <x:v>Native backup shall preserve reports, Activity Ledger entries, reversals, replacements, and source lineage.</x:v>
      </x:c>
      <x:c r="D360" s="46" t="str">
        <x:v>BR-S-003, BR-S-009, BR-S-010</x:v>
      </x:c>
      <x:c r="E360" s="46" t="str">
        <x:v>ADR-011 — Event and Task Outcome Reporting; ADR-012 — Activity Ledger and Contribution Engine; ADR-017 — Local Backup, Export, Restore, and Disaster Recovery</x:v>
      </x:c>
      <x:c r="F360" s="46" t="str">
        <x:v>AC-S-004</x:v>
      </x:c>
      <x:c r="G360" s="46" t="str">
        <x:v>Yes</x:v>
      </x:c>
      <x:c r="H360" s="46" t="str">
        <x:v>V1</x:v>
      </x:c>
      <x:c r="I360" s="46" t="str">
        <x:v>Backup, Export, and Restore</x:v>
      </x:c>
      <x:c r="J360" s="46" t="str">
        <x:v>Database test</x:v>
      </x:c>
      <x:c r="K360" s="46" t="str">
        <x:v>Complete</x:v>
      </x:c>
      <x:c r="L360" s="47" t="str">
        <x:v>OPD-4-014</x:v>
      </x:c>
    </x:row>
    <x:row r="361" ht="42" customHeight="1">
      <x:c r="A361" s="45" t="str">
        <x:v>FR-S-005</x:v>
      </x:c>
      <x:c r="B361" s="46" t="str">
        <x:v>S. Backup, Export, and Restore</x:v>
      </x:c>
      <x:c r="C361" s="46" t="str">
        <x:v>Native backup shall preserve recurrence occurrence identities and Task–Event links.</x:v>
      </x:c>
      <x:c r="D361" s="46" t="str">
        <x:v>BR-S-003, BR-S-009, BR-S-010</x:v>
      </x:c>
      <x:c r="E361" s="46" t="str">
        <x:v>ADR-009 — Domain Ownership and Relationship Model; ADR-017 — Local Backup, Export, Restore, and Disaster Recovery</x:v>
      </x:c>
      <x:c r="F361" s="46" t="str">
        <x:v>AC-S-005</x:v>
      </x:c>
      <x:c r="G361" s="46" t="str">
        <x:v>Yes</x:v>
      </x:c>
      <x:c r="H361" s="46" t="str">
        <x:v>V1</x:v>
      </x:c>
      <x:c r="I361" s="46" t="str">
        <x:v>Backup, Export, and Restore</x:v>
      </x:c>
      <x:c r="J361" s="46" t="str">
        <x:v>Database test</x:v>
      </x:c>
      <x:c r="K361" s="46" t="str">
        <x:v>Complete</x:v>
      </x:c>
      <x:c r="L361" s="47" t="str">
        <x:v>OPD-4-014</x:v>
      </x:c>
    </x:row>
    <x:row r="362" ht="42" customHeight="1">
      <x:c r="A362" s="45" t="str">
        <x:v>FR-S-006</x:v>
      </x:c>
      <x:c r="B362" s="46" t="str">
        <x:v>S. Backup, Export, and Restore</x:v>
      </x:c>
      <x:c r="C362" s="46" t="str">
        <x:v>Backup files shall support approved protection appropriate to their sensitivity.</x:v>
      </x:c>
      <x:c r="D362" s="46" t="str">
        <x:v>BR-S-003, BR-S-009, BR-S-010</x:v>
      </x:c>
      <x:c r="E362" s="46" t="str">
        <x:v>ADR-017 — Local Backup, Export, Restore, and Disaster Recovery</x:v>
      </x:c>
      <x:c r="F362" s="46" t="str">
        <x:v>AC-S-006</x:v>
      </x:c>
      <x:c r="G362" s="46" t="str">
        <x:v>Yes</x:v>
      </x:c>
      <x:c r="H362" s="46" t="str">
        <x:v>V1</x:v>
      </x:c>
      <x:c r="I362" s="46" t="str">
        <x:v>Backup, Export, and Restore</x:v>
      </x:c>
      <x:c r="J362" s="46" t="str">
        <x:v>Database test</x:v>
      </x:c>
      <x:c r="K362" s="46" t="str">
        <x:v>Complete</x:v>
      </x:c>
      <x:c r="L362" s="47" t="str">
        <x:v>OPD-4-014</x:v>
      </x:c>
    </x:row>
    <x:row r="363" ht="42" customHeight="1">
      <x:c r="A363" s="45" t="str">
        <x:v>FR-S-007</x:v>
      </x:c>
      <x:c r="B363" s="46" t="str">
        <x:v>S. Backup, Export, and Restore</x:v>
      </x:c>
      <x:c r="C363" s="46" t="str">
        <x:v>User-readable export shall state that it is not necessarily a restorable native backup.</x:v>
      </x:c>
      <x:c r="D363" s="46" t="str">
        <x:v>BR-S-001, BR-S-003, BR-S-010</x:v>
      </x:c>
      <x:c r="E363" s="46" t="str">
        <x:v>ADR-017 — Local Backup, Export, Restore, and Disaster Recovery</x:v>
      </x:c>
      <x:c r="F363" s="46" t="str">
        <x:v>AC-S-007</x:v>
      </x:c>
      <x:c r="G363" s="46" t="str">
        <x:v>Yes</x:v>
      </x:c>
      <x:c r="H363" s="46" t="str">
        <x:v>V1</x:v>
      </x:c>
      <x:c r="I363" s="46" t="str">
        <x:v>Backup, Export, and Restore</x:v>
      </x:c>
      <x:c r="J363" s="46" t="str">
        <x:v>Database test / Integration test</x:v>
      </x:c>
      <x:c r="K363" s="46" t="str">
        <x:v>Complete</x:v>
      </x:c>
      <x:c r="L363" s="47" t="str">
        <x:v>OPD-4-014, OPD-4-016</x:v>
      </x:c>
    </x:row>
    <x:row r="364" ht="42" customHeight="1">
      <x:c r="A364" s="45" t="str">
        <x:v>FR-S-008</x:v>
      </x:c>
      <x:c r="B364" s="46" t="str">
        <x:v>S. Backup, Export, and Restore</x:v>
      </x:c>
      <x:c r="C364" s="46" t="str">
        <x:v>Restore shall validate format, integrity, version compatibility, and included categories before commit.</x:v>
      </x:c>
      <x:c r="D364" s="46" t="str">
        <x:v>BR-S-004, BR-S-007, BR-S-010</x:v>
      </x:c>
      <x:c r="E364" s="46" t="str">
        <x:v>ADR-017 — Local Backup, Export, Restore, and Disaster Recovery</x:v>
      </x:c>
      <x:c r="F364" s="46" t="str">
        <x:v>AC-S-008</x:v>
      </x:c>
      <x:c r="G364" s="46" t="str">
        <x:v>Yes</x:v>
      </x:c>
      <x:c r="H364" s="46" t="str">
        <x:v>V1</x:v>
      </x:c>
      <x:c r="I364" s="46" t="str">
        <x:v>Backup, Export, and Restore</x:v>
      </x:c>
      <x:c r="J364" s="46" t="str">
        <x:v>Database test</x:v>
      </x:c>
      <x:c r="K364" s="46" t="str">
        <x:v>Complete</x:v>
      </x:c>
      <x:c r="L364" s="47"/>
    </x:row>
    <x:row r="365" ht="42" customHeight="1">
      <x:c r="A365" s="45" t="str">
        <x:v>FR-S-009</x:v>
      </x:c>
      <x:c r="B365" s="46" t="str">
        <x:v>S. Backup, Export, and Restore</x:v>
      </x:c>
      <x:c r="C365" s="46" t="str">
        <x:v>Restore shall present a preview of affected data before modifying live local records.</x:v>
      </x:c>
      <x:c r="D365" s="46" t="str">
        <x:v>BR-S-004, BR-S-005, BR-S-010</x:v>
      </x:c>
      <x:c r="E365" s="46" t="str">
        <x:v>ADR-017 — Local Backup, Export, Restore, and Disaster Recovery; ADR-013 — Local Drift Database Architecture</x:v>
      </x:c>
      <x:c r="F365" s="46" t="str">
        <x:v>AC-S-009</x:v>
      </x:c>
      <x:c r="G365" s="46" t="str">
        <x:v>Yes</x:v>
      </x:c>
      <x:c r="H365" s="46" t="str">
        <x:v>V1</x:v>
      </x:c>
      <x:c r="I365" s="46" t="str">
        <x:v>Backup, Export, and Restore</x:v>
      </x:c>
      <x:c r="J365" s="46" t="str">
        <x:v>Database test / Widget test</x:v>
      </x:c>
      <x:c r="K365" s="46" t="str">
        <x:v>Complete</x:v>
      </x:c>
      <x:c r="L365" s="47" t="str">
        <x:v>OPD-4-015</x:v>
      </x:c>
    </x:row>
    <x:row r="366" ht="42" customHeight="1">
      <x:c r="A366" s="45" t="str">
        <x:v>FR-S-010</x:v>
      </x:c>
      <x:c r="B366" s="46" t="str">
        <x:v>S. Backup, Export, and Restore</x:v>
      </x:c>
      <x:c r="C366" s="46" t="str">
        <x:v>Restore shall not silently overwrite newer local data.</x:v>
      </x:c>
      <x:c r="D366" s="46" t="str">
        <x:v>BR-S-005, BR-S-007, BR-S-010</x:v>
      </x:c>
      <x:c r="E366" s="46" t="str">
        <x:v>ADR-017 — Local Backup, Export, Restore, and Disaster Recovery</x:v>
      </x:c>
      <x:c r="F366" s="46" t="str">
        <x:v>AC-S-010</x:v>
      </x:c>
      <x:c r="G366" s="46" t="str">
        <x:v>Yes</x:v>
      </x:c>
      <x:c r="H366" s="46" t="str">
        <x:v>V1</x:v>
      </x:c>
      <x:c r="I366" s="46" t="str">
        <x:v>Backup, Export, and Restore</x:v>
      </x:c>
      <x:c r="J366" s="46" t="str">
        <x:v>Database test</x:v>
      </x:c>
      <x:c r="K366" s="46" t="str">
        <x:v>Complete</x:v>
      </x:c>
      <x:c r="L366" s="47" t="str">
        <x:v>OPD-4-015</x:v>
      </x:c>
    </x:row>
    <x:row r="367" ht="42" customHeight="1">
      <x:c r="A367" s="45" t="str">
        <x:v>FR-S-011</x:v>
      </x:c>
      <x:c r="B367" s="46" t="str">
        <x:v>S. Backup, Export, and Restore</x:v>
      </x:c>
      <x:c r="C367" s="46" t="str">
        <x:v>A recoverable copy of current local data shall be created before destructive restore behavior.</x:v>
      </x:c>
      <x:c r="D367" s="46" t="str">
        <x:v>BR-S-004, BR-S-005, BR-S-006</x:v>
      </x:c>
      <x:c r="E367" s="46" t="str">
        <x:v>ADR-017 — Local Backup, Export, Restore, and Disaster Recovery</x:v>
      </x:c>
      <x:c r="F367" s="46" t="str">
        <x:v>AC-S-011</x:v>
      </x:c>
      <x:c r="G367" s="46" t="str">
        <x:v>Yes</x:v>
      </x:c>
      <x:c r="H367" s="46" t="str">
        <x:v>V1</x:v>
      </x:c>
      <x:c r="I367" s="46" t="str">
        <x:v>Backup, Export, and Restore</x:v>
      </x:c>
      <x:c r="J367" s="46" t="str">
        <x:v>Database test</x:v>
      </x:c>
      <x:c r="K367" s="46" t="str">
        <x:v>Complete</x:v>
      </x:c>
      <x:c r="L367" s="47" t="str">
        <x:v>OPD-4-015</x:v>
      </x:c>
    </x:row>
    <x:row r="368" ht="42" customHeight="1">
      <x:c r="A368" s="45" t="str">
        <x:v>FR-S-012</x:v>
      </x:c>
      <x:c r="B368" s="46" t="str">
        <x:v>S. Backup, Export, and Restore</x:v>
      </x:c>
      <x:c r="C368" s="46" t="str">
        <x:v>Restore modes shall preserve relationship integrity and prevent invalid partial recovery.</x:v>
      </x:c>
      <x:c r="D368" s="46" t="str">
        <x:v>BR-S-004, BR-S-006, BR-S-007</x:v>
      </x:c>
      <x:c r="E368" s="46" t="str">
        <x:v>ADR-009 — Domain Ownership and Relationship Model; ADR-017 — Local Backup, Export, Restore, and Disaster Recovery</x:v>
      </x:c>
      <x:c r="F368" s="46" t="str">
        <x:v>AC-S-012</x:v>
      </x:c>
      <x:c r="G368" s="46" t="str">
        <x:v>Yes</x:v>
      </x:c>
      <x:c r="H368" s="46" t="str">
        <x:v>V1</x:v>
      </x:c>
      <x:c r="I368" s="46" t="str">
        <x:v>Backup, Export, and Restore</x:v>
      </x:c>
      <x:c r="J368" s="46" t="str">
        <x:v>Database test / Integration test</x:v>
      </x:c>
      <x:c r="K368" s="46" t="str">
        <x:v>Complete</x:v>
      </x:c>
      <x:c r="L368" s="47" t="str">
        <x:v>OPD-4-015, OPD-4-017</x:v>
      </x:c>
    </x:row>
    <x:row r="369" ht="42" customHeight="1">
      <x:c r="A369" s="45" t="str">
        <x:v>FR-S-013</x:v>
      </x:c>
      <x:c r="B369" s="46" t="str">
        <x:v>S. Backup, Export, and Restore</x:v>
      </x:c>
      <x:c r="C369" s="46" t="str">
        <x:v>Restore and retry operations shall prevent duplicate stable records and ledger effects.</x:v>
      </x:c>
      <x:c r="D369" s="46" t="str">
        <x:v>BR-S-007, BR-S-008, BR-S-010</x:v>
      </x:c>
      <x:c r="E369" s="46" t="str">
        <x:v>ADR-012 — Activity Ledger and Contribution Engine; ADR-017 — Local Backup, Export, Restore, and Disaster Recovery; ADR-023 — Testing, Observability, Diagnostics, and Quality Strategy</x:v>
      </x:c>
      <x:c r="F369" s="46" t="str">
        <x:v>AC-S-013</x:v>
      </x:c>
      <x:c r="G369" s="46" t="str">
        <x:v>Yes</x:v>
      </x:c>
      <x:c r="H369" s="46" t="str">
        <x:v>V1</x:v>
      </x:c>
      <x:c r="I369" s="46" t="str">
        <x:v>Backup, Export, and Restore</x:v>
      </x:c>
      <x:c r="J369" s="46" t="str">
        <x:v>Domain test / Database test</x:v>
      </x:c>
      <x:c r="K369" s="46" t="str">
        <x:v>Complete</x:v>
      </x:c>
      <x:c r="L369" s="47"/>
    </x:row>
    <x:row r="370" ht="42" customHeight="1">
      <x:c r="A370" s="45" t="str">
        <x:v>FR-S-014</x:v>
      </x:c>
      <x:c r="B370" s="46" t="str">
        <x:v>S. Backup, Export, and Restore</x:v>
      </x:c>
      <x:c r="C370" s="46" t="str">
        <x:v>Derived projections shall be rebuilt from restored canonical records rather than imported as editable Actual.</x:v>
      </x:c>
      <x:c r="D370" s="46" t="str">
        <x:v>BR-S-003, BR-S-008</x:v>
      </x:c>
      <x:c r="E370" s="46" t="str">
        <x:v>ADR-005 — Confirmed-Source Progress and Read-Only Actuals; ADR-012 — Activity Ledger and Contribution Engine; ADR-017 — Local Backup, Export, Restore, and Disaster Recovery</x:v>
      </x:c>
      <x:c r="F370" s="46" t="str">
        <x:v>AC-S-014</x:v>
      </x:c>
      <x:c r="G370" s="46" t="str">
        <x:v>Yes</x:v>
      </x:c>
      <x:c r="H370" s="46" t="str">
        <x:v>V1</x:v>
      </x:c>
      <x:c r="I370" s="46" t="str">
        <x:v>Backup, Export, and Restore</x:v>
      </x:c>
      <x:c r="J370" s="46" t="str">
        <x:v>Domain test / Database test / Integration test</x:v>
      </x:c>
      <x:c r="K370" s="46" t="str">
        <x:v>Complete</x:v>
      </x:c>
      <x:c r="L370" s="47"/>
    </x:row>
    <x:row r="371" ht="42" customHeight="1">
      <x:c r="A371" s="45" t="str">
        <x:v>FR-S-015</x:v>
      </x:c>
      <x:c r="B371" s="46" t="str">
        <x:v>S. Backup, Export, and Restore</x:v>
      </x:c>
      <x:c r="C371" s="46" t="str">
        <x:v>Unsupported or incompatible backups shall be rejected without changing local data.</x:v>
      </x:c>
      <x:c r="D371" s="46" t="str">
        <x:v>BR-S-002, BR-S-005</x:v>
      </x:c>
      <x:c r="E371" s="46" t="str">
        <x:v>ADR-017 — Local Backup, Export, Restore, and Disaster Recovery</x:v>
      </x:c>
      <x:c r="F371" s="46" t="str">
        <x:v>AC-S-015</x:v>
      </x:c>
      <x:c r="G371" s="46" t="str">
        <x:v>Yes</x:v>
      </x:c>
      <x:c r="H371" s="46" t="str">
        <x:v>V1</x:v>
      </x:c>
      <x:c r="I371" s="46" t="str">
        <x:v>Backup, Export, and Restore</x:v>
      </x:c>
      <x:c r="J371" s="46" t="str">
        <x:v>Database test</x:v>
      </x:c>
      <x:c r="K371" s="46" t="str">
        <x:v>Complete</x:v>
      </x:c>
      <x:c r="L371" s="47"/>
    </x:row>
    <x:row r="372" ht="42" customHeight="1">
      <x:c r="A372" s="45" t="str">
        <x:v>FR-S-016</x:v>
      </x:c>
      <x:c r="B372" s="46" t="str">
        <x:v>S. Backup, Export, and Restore</x:v>
      </x:c>
      <x:c r="C372" s="46" t="str">
        <x:v>Partial or failed restore shall produce a detailed recovery result rather than silent omission.</x:v>
      </x:c>
      <x:c r="D372" s="46" t="str">
        <x:v>BR-S-006, BR-S-007, BR-S-010</x:v>
      </x:c>
      <x:c r="E372" s="46" t="str">
        <x:v>ADR-017 — Local Backup, Export, Restore, and Disaster Recovery</x:v>
      </x:c>
      <x:c r="F372" s="46" t="str">
        <x:v>AC-S-016</x:v>
      </x:c>
      <x:c r="G372" s="46" t="str">
        <x:v>Yes</x:v>
      </x:c>
      <x:c r="H372" s="46" t="str">
        <x:v>V1</x:v>
      </x:c>
      <x:c r="I372" s="46" t="str">
        <x:v>Backup, Export, and Restore</x:v>
      </x:c>
      <x:c r="J372" s="46" t="str">
        <x:v>Database test / Integration test</x:v>
      </x:c>
      <x:c r="K372" s="46" t="str">
        <x:v>Complete</x:v>
      </x:c>
      <x:c r="L372" s="47" t="str">
        <x:v>OPD-4-017</x:v>
      </x:c>
    </x:row>
    <x:row r="373" ht="42" customHeight="1">
      <x:c r="A373" s="45" t="str">
        <x:v>FR-S-017</x:v>
      </x:c>
      <x:c r="B373" s="46" t="str">
        <x:v>S. Backup, Export, and Restore</x:v>
      </x:c>
      <x:c r="C373" s="46" t="str">
        <x:v>Backup, export, restore preview, and restore shall operate offline.</x:v>
      </x:c>
      <x:c r="D373" s="46" t="str">
        <x:v>BR-S-001, BR-S-009, BR-S-010</x:v>
      </x:c>
      <x:c r="E373" s="46" t="str">
        <x:v>ADR-017 — Local Backup, Export, Restore, and Disaster Recovery; ADR-006 — Local-First Operation with Background Synchronization</x:v>
      </x:c>
      <x:c r="F373" s="46" t="str">
        <x:v>AC-S-017</x:v>
      </x:c>
      <x:c r="G373" s="46" t="str">
        <x:v>Yes</x:v>
      </x:c>
      <x:c r="H373" s="46" t="str">
        <x:v>V1</x:v>
      </x:c>
      <x:c r="I373" s="46" t="str">
        <x:v>Backup, Export, and Restore</x:v>
      </x:c>
      <x:c r="J373" s="46" t="str">
        <x:v>Database test / Widget test / Integration test</x:v>
      </x:c>
      <x:c r="K373" s="46" t="str">
        <x:v>Complete</x:v>
      </x:c>
      <x:c r="L373" s="47"/>
    </x:row>
    <x:row r="374" ht="42" customHeight="1">
      <x:c r="A374" s="45" t="str">
        <x:v>FR-S-018</x:v>
      </x:c>
      <x:c r="B374" s="46" t="str">
        <x:v>S. Backup, Export, and Restore</x:v>
      </x:c>
      <x:c r="C374" s="46" t="str">
        <x:v>not modify or delete the selected source backup or export file.</x:v>
      </x:c>
      <x:c r="D374" s="46" t="str">
        <x:v>BR-S-001, BR-S-009, BR-S-010</x:v>
      </x:c>
      <x:c r="E374" s="46" t="str">
        <x:v>ADR-017 — Local Backup, Export, Restore, and Disaster Recovery</x:v>
      </x:c>
      <x:c r="F374" s="46" t="str">
        <x:v>AC-S-018</x:v>
      </x:c>
      <x:c r="G374" s="46" t="str">
        <x:v>Yes</x:v>
      </x:c>
      <x:c r="H374" s="46" t="str">
        <x:v>V1</x:v>
      </x:c>
      <x:c r="I374" s="46" t="str">
        <x:v>Backup, Export, and Restore</x:v>
      </x:c>
      <x:c r="J374" s="46" t="str">
        <x:v>Database test / Integration test</x:v>
      </x:c>
      <x:c r="K374" s="46" t="str">
        <x:v>Complete</x:v>
      </x:c>
      <x:c r="L374" s="47" t="str">
        <x:v>OPD-4-016</x:v>
      </x:c>
    </x:row>
    <x:row r="375" ht="42" customHeight="1">
      <x:c r="A375" s="45" t="str">
        <x:v>FR-S-019</x:v>
      </x:c>
      <x:c r="B375" s="46" t="str">
        <x:v>S. Backup, Export, and Restore</x:v>
      </x:c>
      <x:c r="C375" s="46" t="str">
        <x:v>Native backup shall include integrity and compatibility metadata sufficient for safe restore decisions.</x:v>
      </x:c>
      <x:c r="D375" s="46" t="str">
        <x:v>BR-S-003, BR-S-004, BR-S-010</x:v>
      </x:c>
      <x:c r="E375" s="46" t="str">
        <x:v>ADR-017 — Local Backup, Export, Restore, and Disaster Recovery</x:v>
      </x:c>
      <x:c r="F375" s="46" t="str">
        <x:v>AC-S-019</x:v>
      </x:c>
      <x:c r="G375" s="46" t="str">
        <x:v>Yes</x:v>
      </x:c>
      <x:c r="H375" s="46" t="str">
        <x:v>V1</x:v>
      </x:c>
      <x:c r="I375" s="46" t="str">
        <x:v>Backup, Export, and Restore</x:v>
      </x:c>
      <x:c r="J375" s="46" t="str">
        <x:v>Database test</x:v>
      </x:c>
      <x:c r="K375" s="46" t="str">
        <x:v>Complete</x:v>
      </x:c>
      <x:c r="L375" s="47" t="str">
        <x:v>OPD-4-014</x:v>
      </x:c>
    </x:row>
    <x:row r="376" ht="42" customHeight="1">
      <x:c r="A376" s="45" t="str">
        <x:v>FR-S-020</x:v>
      </x:c>
      <x:c r="B376" s="46" t="str">
        <x:v>S. Backup, Export, and Restore</x:v>
      </x:c>
      <x:c r="C376" s="46" t="str">
        <x:v>Users may configure scheduled local backup reminders or automatic backups when an approved destination remains available.</x:v>
      </x:c>
      <x:c r="D376" s="46" t="str">
        <x:v>BR-S-002, BR-S-009, BR-S-010</x:v>
      </x:c>
      <x:c r="E376" s="46" t="str">
        <x:v>ADR-017 — Local Backup, Export, Restore, and Disaster Recovery; ADR-022 — Notifications, Background Work, and Calendar Integration; ADR-007 — Small Core V1 Scope</x:v>
      </x:c>
      <x:c r="F376" s="46" t="str">
        <x:v>AC-S-020</x:v>
      </x:c>
      <x:c r="G376" s="46" t="str">
        <x:v>No</x:v>
      </x:c>
      <x:c r="H376" s="46" t="str">
        <x:v>V1.1</x:v>
      </x:c>
      <x:c r="I376" s="46" t="str">
        <x:v>Backup, Export, and Restore</x:v>
      </x:c>
      <x:c r="J376" s="46" t="str">
        <x:v>Database test</x:v>
      </x:c>
      <x:c r="K376" s="46" t="str">
        <x:v>Deferred</x:v>
      </x:c>
      <x:c r="L376" s="47" t="str">
        <x:v>OPD-4-018</x:v>
      </x:c>
    </x:row>
    <x:row r="377" ht="42" customHeight="1">
      <x:c r="A377" s="45" t="str">
        <x:v>FR-T-001</x:v>
      </x:c>
      <x:c r="B377" s="46" t="str">
        <x:v>T. Account and Synchronization</x:v>
      </x:c>
      <x:c r="C377" s="46" t="str">
        <x:v>be able to use the complete core application without creating an account.</x:v>
      </x:c>
      <x:c r="D377" s="46" t="str">
        <x:v>BR-T-001</x:v>
      </x:c>
      <x:c r="E377" s="46" t="str">
        <x:v>ADR-016 — Offline Outbox Synchronization and Conflict Resolution; ADR-018 — Guest-to-Account Migration and Account Lifecycle; ADR-002 — Guest-First Identity and Optional Accounts</x:v>
      </x:c>
      <x:c r="F377" s="46" t="str">
        <x:v>AC-T-001</x:v>
      </x:c>
      <x:c r="G377" s="46" t="str">
        <x:v>Yes</x:v>
      </x:c>
      <x:c r="H377" s="46" t="str">
        <x:v>V1</x:v>
      </x:c>
      <x:c r="I377" s="46" t="str">
        <x:v>Account and Synchronization</x:v>
      </x:c>
      <x:c r="J377" s="46" t="str">
        <x:v>Widget test</x:v>
      </x:c>
      <x:c r="K377" s="46" t="str">
        <x:v>Complete</x:v>
      </x:c>
      <x:c r="L377" s="47"/>
    </x:row>
    <x:row r="378" ht="42" customHeight="1">
      <x:c r="A378" s="45" t="str">
        <x:v>FR-T-002</x:v>
      </x:c>
      <x:c r="B378" s="46" t="str">
        <x:v>T. Account and Synchronization</x:v>
      </x:c>
      <x:c r="C378" s="46" t="str">
        <x:v>be able to link an existing guest Local Profile to an optional account.</x:v>
      </x:c>
      <x:c r="D378" s="46" t="str">
        <x:v>BR-T-001, BR-T-006, BR-T-007</x:v>
      </x:c>
      <x:c r="E378" s="46" t="str">
        <x:v>ADR-009 — Domain Ownership and Relationship Model; ADR-016 — Offline Outbox Synchronization and Conflict Resolution; ADR-018 — Guest-to-Account Migration and Account Lifecycle; ADR-002 — Guest-First Identity and Optional Accounts</x:v>
      </x:c>
      <x:c r="F378" s="46" t="str">
        <x:v>AC-T-002</x:v>
      </x:c>
      <x:c r="G378" s="46" t="str">
        <x:v>Yes</x:v>
      </x:c>
      <x:c r="H378" s="46" t="str">
        <x:v>V1</x:v>
      </x:c>
      <x:c r="I378" s="46" t="str">
        <x:v>Account and Synchronization</x:v>
      </x:c>
      <x:c r="J378" s="46" t="str">
        <x:v>Widget test</x:v>
      </x:c>
      <x:c r="K378" s="46" t="str">
        <x:v>Complete</x:v>
      </x:c>
      <x:c r="L378" s="47" t="str">
        <x:v>OPD-4-020, OPD-4-021</x:v>
      </x:c>
    </x:row>
    <x:row r="379" ht="42" customHeight="1">
      <x:c r="A379" s="45" t="str">
        <x:v>FR-T-003</x:v>
      </x:c>
      <x:c r="B379" s="46" t="str">
        <x:v>T. Account and Synchronization</x:v>
      </x:c>
      <x:c r="C379" s="46" t="str">
        <x:v>Account linking shall retain the existing Local Profile rather than creating a replacement profile silently.</x:v>
      </x:c>
      <x:c r="D379" s="46" t="str">
        <x:v>BR-T-001, BR-T-005, BR-T-007</x:v>
      </x:c>
      <x:c r="E379" s="46" t="str">
        <x:v>ADR-012 — Activity Ledger and Contribution Engine; ADR-009 — Domain Ownership and Relationship Model; ADR-016 — Offline Outbox Synchronization and Conflict Resolution; ADR-018 — Guest-to-Account Migration and Account Lifecycle</x:v>
      </x:c>
      <x:c r="F379" s="46" t="str">
        <x:v>AC-T-003</x:v>
      </x:c>
      <x:c r="G379" s="46" t="str">
        <x:v>Yes</x:v>
      </x:c>
      <x:c r="H379" s="46" t="str">
        <x:v>V1</x:v>
      </x:c>
      <x:c r="I379" s="46" t="str">
        <x:v>Account and Synchronization</x:v>
      </x:c>
      <x:c r="J379" s="46" t="str">
        <x:v>Integration test</x:v>
      </x:c>
      <x:c r="K379" s="46" t="str">
        <x:v>Complete</x:v>
      </x:c>
      <x:c r="L379" s="47" t="str">
        <x:v>OPD-4-020, OPD-4-021, OPD-4-022</x:v>
      </x:c>
    </x:row>
    <x:row r="380" ht="42" customHeight="1">
      <x:c r="A380" s="45" t="str">
        <x:v>FR-T-004</x:v>
      </x:c>
      <x:c r="B380" s="46" t="str">
        <x:v>T. Account and Synchronization</x:v>
      </x:c>
      <x:c r="C380" s="46" t="str">
        <x:v>Drift-backed local state shall become usable before synchronization completes.</x:v>
      </x:c>
      <x:c r="D380" s="46" t="str">
        <x:v>BR-T-006, BR-T-007, BR-T-010</x:v>
      </x:c>
      <x:c r="E380" s="46" t="str">
        <x:v>ADR-016 — Offline Outbox Synchronization and Conflict Resolution; ADR-018 — Guest-to-Account Migration and Account Lifecycle; ADR-006 — Local-First Operation with Background Synchronization; ADR-013 — Local Drift Database Architecture</x:v>
      </x:c>
      <x:c r="F380" s="46" t="str">
        <x:v>AC-T-004</x:v>
      </x:c>
      <x:c r="G380" s="46" t="str">
        <x:v>Yes</x:v>
      </x:c>
      <x:c r="H380" s="46" t="str">
        <x:v>V1</x:v>
      </x:c>
      <x:c r="I380" s="46" t="str">
        <x:v>Account and Synchronization</x:v>
      </x:c>
      <x:c r="J380" s="46" t="str">
        <x:v>Database test / Integration test</x:v>
      </x:c>
      <x:c r="K380" s="46" t="str">
        <x:v>Complete</x:v>
      </x:c>
      <x:c r="L380" s="47"/>
    </x:row>
    <x:row r="381" ht="42" customHeight="1">
      <x:c r="A381" s="45" t="str">
        <x:v>FR-T-005</x:v>
      </x:c>
      <x:c r="B381" s="46" t="str">
        <x:v>T. Account and Synchronization</x:v>
      </x:c>
      <x:c r="C381" s="46" t="str">
        <x:v>Offline local changes shall enter a durable synchronization outbox.</x:v>
      </x:c>
      <x:c r="D381" s="46" t="str">
        <x:v>BR-T-003, BR-T-007, BR-T-010</x:v>
      </x:c>
      <x:c r="E381" s="46" t="str">
        <x:v>ADR-016 — Offline Outbox Synchronization and Conflict Resolution; ADR-018 — Guest-to-Account Migration and Account Lifecycle; ADR-006 — Local-First Operation with Background Synchronization</x:v>
      </x:c>
      <x:c r="F381" s="46" t="str">
        <x:v>AC-T-005</x:v>
      </x:c>
      <x:c r="G381" s="46" t="str">
        <x:v>Yes</x:v>
      </x:c>
      <x:c r="H381" s="46" t="str">
        <x:v>V1</x:v>
      </x:c>
      <x:c r="I381" s="46" t="str">
        <x:v>Account and Synchronization</x:v>
      </x:c>
      <x:c r="J381" s="46" t="str">
        <x:v>Database test / Integration test</x:v>
      </x:c>
      <x:c r="K381" s="46" t="str">
        <x:v>Complete</x:v>
      </x:c>
      <x:c r="L381" s="47"/>
    </x:row>
    <x:row r="382" ht="42" customHeight="1">
      <x:c r="A382" s="45" t="str">
        <x:v>FR-T-006</x:v>
      </x:c>
      <x:c r="B382" s="46" t="str">
        <x:v>T. Account and Synchronization</x:v>
      </x:c>
      <x:c r="C382" s="46" t="str">
        <x:v>First sync to an empty cloud account shall upload the existing Local Profile without duplicating it.</x:v>
      </x:c>
      <x:c r="D382" s="46" t="str">
        <x:v>BR-T-001, BR-T-005, BR-T-007</x:v>
      </x:c>
      <x:c r="E382" s="46" t="str">
        <x:v>ADR-016 — Offline Outbox Synchronization and Conflict Resolution; ADR-018 — Guest-to-Account Migration and Account Lifecycle</x:v>
      </x:c>
      <x:c r="F382" s="46" t="str">
        <x:v>AC-T-006</x:v>
      </x:c>
      <x:c r="G382" s="46" t="str">
        <x:v>Yes</x:v>
      </x:c>
      <x:c r="H382" s="46" t="str">
        <x:v>V1</x:v>
      </x:c>
      <x:c r="I382" s="46" t="str">
        <x:v>Account and Synchronization</x:v>
      </x:c>
      <x:c r="J382" s="46" t="str">
        <x:v>Integration test</x:v>
      </x:c>
      <x:c r="K382" s="46" t="str">
        <x:v>Complete</x:v>
      </x:c>
      <x:c r="L382" s="47" t="str">
        <x:v>OPD-4-019, OPD-4-020, OPD-4-021</x:v>
      </x:c>
    </x:row>
    <x:row r="383" ht="42" customHeight="1">
      <x:c r="A383" s="45" t="str">
        <x:v>FR-T-007</x:v>
      </x:c>
      <x:c r="B383" s="46" t="str">
        <x:v>T. Account and Synchronization</x:v>
      </x:c>
      <x:c r="C383" s="46" t="str">
        <x:v>First sync with existing cloud data shall present a safe reconciliation before applying destructive choices.</x:v>
      </x:c>
      <x:c r="D383" s="46" t="str">
        <x:v>BR-T-005, BR-T-007, BR-T-008</x:v>
      </x:c>
      <x:c r="E383" s="46" t="str">
        <x:v>ADR-016 — Offline Outbox Synchronization and Conflict Resolution; ADR-018 — Guest-to-Account Migration and Account Lifecycle</x:v>
      </x:c>
      <x:c r="F383" s="46" t="str">
        <x:v>AC-T-007</x:v>
      </x:c>
      <x:c r="G383" s="46" t="str">
        <x:v>Yes</x:v>
      </x:c>
      <x:c r="H383" s="46" t="str">
        <x:v>V1</x:v>
      </x:c>
      <x:c r="I383" s="46" t="str">
        <x:v>Account and Synchronization</x:v>
      </x:c>
      <x:c r="J383" s="46" t="str">
        <x:v>Integration test</x:v>
      </x:c>
      <x:c r="K383" s="46" t="str">
        <x:v>Complete</x:v>
      </x:c>
      <x:c r="L383" s="47" t="str">
        <x:v>OPD-4-019</x:v>
      </x:c>
    </x:row>
    <x:row r="384" ht="42" customHeight="1">
      <x:c r="A384" s="45" t="str">
        <x:v>FR-T-008</x:v>
      </x:c>
      <x:c r="B384" s="46" t="str">
        <x:v>T. Account and Synchronization</x:v>
      </x:c>
      <x:c r="C384" s="46" t="str">
        <x:v>Remote synchronization shall not silently overwrite newer or pending local records.</x:v>
      </x:c>
      <x:c r="D384" s="46" t="str">
        <x:v>BR-T-005, BR-T-007, BR-T-010</x:v>
      </x:c>
      <x:c r="E384" s="46" t="str">
        <x:v>ADR-016 — Offline Outbox Synchronization and Conflict Resolution; ADR-018 — Guest-to-Account Migration and Account Lifecycle; ADR-013 — Local Drift Database Architecture</x:v>
      </x:c>
      <x:c r="F384" s="46" t="str">
        <x:v>AC-T-008</x:v>
      </x:c>
      <x:c r="G384" s="46" t="str">
        <x:v>Yes</x:v>
      </x:c>
      <x:c r="H384" s="46" t="str">
        <x:v>V1</x:v>
      </x:c>
      <x:c r="I384" s="46" t="str">
        <x:v>Account and Synchronization</x:v>
      </x:c>
      <x:c r="J384" s="46" t="str">
        <x:v>Database test / Integration test</x:v>
      </x:c>
      <x:c r="K384" s="46" t="str">
        <x:v>Complete</x:v>
      </x:c>
      <x:c r="L384" s="47"/>
    </x:row>
    <x:row r="385" ht="42" customHeight="1">
      <x:c r="A385" s="45" t="str">
        <x:v>FR-T-009</x:v>
      </x:c>
      <x:c r="B385" s="46" t="str">
        <x:v>T. Account and Synchronization</x:v>
      </x:c>
      <x:c r="C385" s="46" t="str">
        <x:v>Supabase data access shall enforce private single-user ownership through Row Level Security.</x:v>
      </x:c>
      <x:c r="D385" s="46" t="str">
        <x:v>BR-T-006</x:v>
      </x:c>
      <x:c r="E385" s="46" t="str">
        <x:v>ADR-009 — Domain Ownership and Relationship Model; ADR-016 — Offline Outbox Synchronization and Conflict Resolution; ADR-018 — Guest-to-Account Migration and Account Lifecycle; ADR-015 — Supabase PostgreSQL Schema and Row Level Security</x:v>
      </x:c>
      <x:c r="F385" s="46" t="str">
        <x:v>AC-T-009</x:v>
      </x:c>
      <x:c r="G385" s="46" t="str">
        <x:v>Yes</x:v>
      </x:c>
      <x:c r="H385" s="46" t="str">
        <x:v>V1</x:v>
      </x:c>
      <x:c r="I385" s="46" t="str">
        <x:v>Account and Synchronization</x:v>
      </x:c>
      <x:c r="J385" s="46" t="str">
        <x:v>RLS test</x:v>
      </x:c>
      <x:c r="K385" s="46" t="str">
        <x:v>Complete</x:v>
      </x:c>
      <x:c r="L385" s="47"/>
    </x:row>
    <x:row r="386" ht="42" customHeight="1">
      <x:c r="A386" s="45" t="str">
        <x:v>FR-T-010</x:v>
      </x:c>
      <x:c r="B386" s="46" t="str">
        <x:v>T. Account and Synchronization</x:v>
      </x:c>
      <x:c r="C386" s="46" t="str">
        <x:v>Session expiration shall preserve local access and queue new local changes.</x:v>
      </x:c>
      <x:c r="D386" s="46" t="str">
        <x:v>BR-T-005, BR-T-006, BR-T-007</x:v>
      </x:c>
      <x:c r="E386" s="46" t="str">
        <x:v>ADR-016 — Offline Outbox Synchronization and Conflict Resolution; ADR-018 — Guest-to-Account Migration and Account Lifecycle</x:v>
      </x:c>
      <x:c r="F386" s="46" t="str">
        <x:v>AC-T-010</x:v>
      </x:c>
      <x:c r="G386" s="46" t="str">
        <x:v>Yes</x:v>
      </x:c>
      <x:c r="H386" s="46" t="str">
        <x:v>V1</x:v>
      </x:c>
      <x:c r="I386" s="46" t="str">
        <x:v>Account and Synchronization</x:v>
      </x:c>
      <x:c r="J386" s="46" t="str">
        <x:v>Domain test</x:v>
      </x:c>
      <x:c r="K386" s="46" t="str">
        <x:v>Complete</x:v>
      </x:c>
      <x:c r="L386" s="47"/>
    </x:row>
    <x:row r="387" ht="42" customHeight="1">
      <x:c r="A387" s="45" t="str">
        <x:v>FR-T-011</x:v>
      </x:c>
      <x:c r="B387" s="46" t="str">
        <x:v>T. Account and Synchronization</x:v>
      </x:c>
      <x:c r="C387" s="46" t="str">
        <x:v>Signing out shall not automatically erase the Local Profile or its data.</x:v>
      </x:c>
      <x:c r="D387" s="46" t="str">
        <x:v>BR-T-001, BR-T-006, BR-T-007</x:v>
      </x:c>
      <x:c r="E387" s="46" t="str">
        <x:v>ADR-016 — Offline Outbox Synchronization and Conflict Resolution; ADR-018 — Guest-to-Account Migration and Account Lifecycle</x:v>
      </x:c>
      <x:c r="F387" s="46" t="str">
        <x:v>AC-T-011</x:v>
      </x:c>
      <x:c r="G387" s="46" t="str">
        <x:v>Yes</x:v>
      </x:c>
      <x:c r="H387" s="46" t="str">
        <x:v>V1</x:v>
      </x:c>
      <x:c r="I387" s="46" t="str">
        <x:v>Account and Synchronization</x:v>
      </x:c>
      <x:c r="J387" s="46" t="str">
        <x:v>Domain test</x:v>
      </x:c>
      <x:c r="K387" s="46" t="str">
        <x:v>Complete</x:v>
      </x:c>
      <x:c r="L387" s="47" t="str">
        <x:v>OPD-4-020</x:v>
      </x:c>
    </x:row>
    <x:row r="388" ht="42" customHeight="1">
      <x:c r="A388" s="45" t="str">
        <x:v>FR-T-012</x:v>
      </x:c>
      <x:c r="B388" s="46" t="str">
        <x:v>T. Account and Synchronization</x:v>
      </x:c>
      <x:c r="C388" s="46" t="str">
        <x:v>Sign out, stop synchronization, unlink account, delete cloud data, and delete local data shall remain distinct user actions.</x:v>
      </x:c>
      <x:c r="D388" s="46" t="str">
        <x:v>BR-T-005, BR-T-006, BR-T-007</x:v>
      </x:c>
      <x:c r="E388" s="46" t="str">
        <x:v>ADR-009 — Domain Ownership and Relationship Model; ADR-016 — Offline Outbox Synchronization and Conflict Resolution; ADR-018 — Guest-to-Account Migration and Account Lifecycle</x:v>
      </x:c>
      <x:c r="F388" s="46" t="str">
        <x:v>AC-T-012</x:v>
      </x:c>
      <x:c r="G388" s="46" t="str">
        <x:v>No</x:v>
      </x:c>
      <x:c r="H388" s="46" t="str">
        <x:v>V1</x:v>
      </x:c>
      <x:c r="I388" s="46" t="str">
        <x:v>Account and Synchronization</x:v>
      </x:c>
      <x:c r="J388" s="46" t="str">
        <x:v>Integration test</x:v>
      </x:c>
      <x:c r="K388" s="46" t="str">
        <x:v>Complete</x:v>
      </x:c>
      <x:c r="L388" s="47" t="str">
        <x:v>OPD-4-021, OPD-4-024</x:v>
      </x:c>
    </x:row>
    <x:row r="389" ht="42" customHeight="1">
      <x:c r="A389" s="45" t="str">
        <x:v>FR-T-013</x:v>
      </x:c>
      <x:c r="B389" s="46" t="str">
        <x:v>T. Account and Synchronization</x:v>
      </x:c>
      <x:c r="C389" s="46" t="str">
        <x:v>Cloud-account deletion shall require explicit confirmation and disclose its effect on cloud and local data.</x:v>
      </x:c>
      <x:c r="D389" s="46" t="str">
        <x:v>BR-T-005, BR-T-006, BR-T-007</x:v>
      </x:c>
      <x:c r="E389" s="46" t="str">
        <x:v>ADR-016 — Offline Outbox Synchronization and Conflict Resolution; ADR-018 — Guest-to-Account Migration and Account Lifecycle</x:v>
      </x:c>
      <x:c r="F389" s="46" t="str">
        <x:v>AC-T-013</x:v>
      </x:c>
      <x:c r="G389" s="46" t="str">
        <x:v>Yes</x:v>
      </x:c>
      <x:c r="H389" s="46" t="str">
        <x:v>V1</x:v>
      </x:c>
      <x:c r="I389" s="46" t="str">
        <x:v>Account and Synchronization</x:v>
      </x:c>
      <x:c r="J389" s="46" t="str">
        <x:v>Domain test</x:v>
      </x:c>
      <x:c r="K389" s="46" t="str">
        <x:v>Complete</x:v>
      </x:c>
      <x:c r="L389" s="47" t="str">
        <x:v>OPD-4-021, OPD-4-022</x:v>
      </x:c>
    </x:row>
    <x:row r="390" ht="42" customHeight="1">
      <x:c r="A390" s="45" t="str">
        <x:v>FR-T-014</x:v>
      </x:c>
      <x:c r="B390" s="46" t="str">
        <x:v>T. Account and Synchronization</x:v>
      </x:c>
      <x:c r="C390" s="46" t="str">
        <x:v>A signed-in user shall be able to recover private cloud data on a replacement device without silent local overwrite.</x:v>
      </x:c>
      <x:c r="D390" s="46" t="str">
        <x:v>BR-T-005, BR-T-006, BR-T-007</x:v>
      </x:c>
      <x:c r="E390" s="46" t="str">
        <x:v>ADR-012 — Activity Ledger and Contribution Engine; ADR-016 — Offline Outbox Synchronization and Conflict Resolution; ADR-018 — Guest-to-Account Migration and Account Lifecycle</x:v>
      </x:c>
      <x:c r="F390" s="46" t="str">
        <x:v>AC-T-014</x:v>
      </x:c>
      <x:c r="G390" s="46" t="str">
        <x:v>Yes</x:v>
      </x:c>
      <x:c r="H390" s="46" t="str">
        <x:v>V1</x:v>
      </x:c>
      <x:c r="I390" s="46" t="str">
        <x:v>Account and Synchronization</x:v>
      </x:c>
      <x:c r="J390" s="46" t="str">
        <x:v>Widget test</x:v>
      </x:c>
      <x:c r="K390" s="46" t="str">
        <x:v>Complete</x:v>
      </x:c>
      <x:c r="L390" s="47" t="str">
        <x:v>OPD-4-021, OPD-4-022, OPD-4-024</x:v>
      </x:c>
    </x:row>
    <x:row r="391" ht="42" customHeight="1">
      <x:c r="A391" s="45" t="str">
        <x:v>FR-T-015</x:v>
      </x:c>
      <x:c r="B391" s="46" t="str">
        <x:v>T. Account and Synchronization</x:v>
      </x:c>
      <x:c r="C391" s="46" t="str">
        <x:v>display whether data is local-only, pending upload, synchronized, paused, expired, or Action Required.</x:v>
      </x:c>
      <x:c r="D391" s="46" t="str">
        <x:v>BR-T-005, BR-T-006, BR-T-007</x:v>
      </x:c>
      <x:c r="E391" s="46" t="str">
        <x:v>ADR-016 — Offline Outbox Synchronization and Conflict Resolution; ADR-018 — Guest-to-Account Migration and Account Lifecycle</x:v>
      </x:c>
      <x:c r="F391" s="46" t="str">
        <x:v>AC-T-015</x:v>
      </x:c>
      <x:c r="G391" s="46" t="str">
        <x:v>No</x:v>
      </x:c>
      <x:c r="H391" s="46" t="str">
        <x:v>V1</x:v>
      </x:c>
      <x:c r="I391" s="46" t="str">
        <x:v>Account and Synchronization</x:v>
      </x:c>
      <x:c r="J391" s="46" t="str">
        <x:v>Widget test / Integration test</x:v>
      </x:c>
      <x:c r="K391" s="46" t="str">
        <x:v>Complete</x:v>
      </x:c>
      <x:c r="L391" s="47"/>
    </x:row>
    <x:row r="392" ht="42" customHeight="1">
      <x:c r="A392" s="45" t="str">
        <x:v>FR-T-016</x:v>
      </x:c>
      <x:c r="B392" s="46" t="str">
        <x:v>T. Account and Synchronization</x:v>
      </x:c>
      <x:c r="C392" s="46" t="str">
        <x:v>Synchronization retries shall be idempotent and shall not duplicate domain records or contribution effects.</x:v>
      </x:c>
      <x:c r="D392" s="46" t="str">
        <x:v>BR-T-010</x:v>
      </x:c>
      <x:c r="E392" s="46" t="str">
        <x:v>ADR-012 — Activity Ledger and Contribution Engine; ADR-016 — Offline Outbox Synchronization and Conflict Resolution; ADR-018 — Guest-to-Account Migration and Account Lifecycle; ADR-023 — Testing, Observability, Diagnostics, and Quality Strategy</x:v>
      </x:c>
      <x:c r="F392" s="46" t="str">
        <x:v>AC-T-016</x:v>
      </x:c>
      <x:c r="G392" s="46" t="str">
        <x:v>Yes</x:v>
      </x:c>
      <x:c r="H392" s="46" t="str">
        <x:v>V1</x:v>
      </x:c>
      <x:c r="I392" s="46" t="str">
        <x:v>Account and Synchronization</x:v>
      </x:c>
      <x:c r="J392" s="46" t="str">
        <x:v>Domain test / Integration test</x:v>
      </x:c>
      <x:c r="K392" s="46" t="str">
        <x:v>Complete</x:v>
      </x:c>
      <x:c r="L392" s="47"/>
    </x:row>
    <x:row r="393" ht="42" customHeight="1">
      <x:c r="A393" s="45" t="str">
        <x:v>FR-T-017</x:v>
      </x:c>
      <x:c r="B393" s="46" t="str">
        <x:v>T. Account and Synchronization</x:v>
      </x:c>
      <x:c r="C393" s="46" t="str">
        <x:v>Conflict resolution shall preserve report history, ledger lineage, recurrence occurrences, and Task–Event relationships.</x:v>
      </x:c>
      <x:c r="D393" s="46" t="str">
        <x:v>BR-T-009</x:v>
      </x:c>
      <x:c r="E393" s="46" t="str">
        <x:v>ADR-011 — Event and Task Outcome Reporting; ADR-012 — Activity Ledger and Contribution Engine; ADR-009 — Domain Ownership and Relationship Model; ADR-016 — Offline Outbox Synchronization and Conflict Resolution</x:v>
      </x:c>
      <x:c r="F393" s="46" t="str">
        <x:v>AC-T-017</x:v>
      </x:c>
      <x:c r="G393" s="46" t="str">
        <x:v>Yes</x:v>
      </x:c>
      <x:c r="H393" s="46" t="str">
        <x:v>V1</x:v>
      </x:c>
      <x:c r="I393" s="46" t="str">
        <x:v>Account and Synchronization</x:v>
      </x:c>
      <x:c r="J393" s="46" t="str">
        <x:v>Database test</x:v>
      </x:c>
      <x:c r="K393" s="46" t="str">
        <x:v>Complete</x:v>
      </x:c>
      <x:c r="L393" s="47" t="str">
        <x:v>OPD-4-023</x:v>
      </x:c>
    </x:row>
    <x:row r="394" ht="42" customHeight="1">
      <x:c r="A394" s="45" t="str">
        <x:v>FR-T-018</x:v>
      </x:c>
      <x:c r="B394" s="46" t="str">
        <x:v>T. Account and Synchronization</x:v>
      </x:c>
      <x:c r="C394" s="46" t="str">
        <x:v>Account synchronization shall not provide sharing, collaboration, leader, family, or mentor access.</x:v>
      </x:c>
      <x:c r="D394" s="46" t="str">
        <x:v>BR-T-001, BR-T-010</x:v>
      </x:c>
      <x:c r="E394" s="46" t="str">
        <x:v>ADR-016 — Offline Outbox Synchronization and Conflict Resolution; ADR-018 — Guest-to-Account Migration and Account Lifecycle; ADR-003 — Private Single-User Data Model</x:v>
      </x:c>
      <x:c r="F394" s="46" t="str">
        <x:v>AC-T-018</x:v>
      </x:c>
      <x:c r="G394" s="46" t="str">
        <x:v>Yes</x:v>
      </x:c>
      <x:c r="H394" s="46" t="str">
        <x:v>V1</x:v>
      </x:c>
      <x:c r="I394" s="46" t="str">
        <x:v>Account and Synchronization</x:v>
      </x:c>
      <x:c r="J394" s="46" t="str">
        <x:v>Integration test</x:v>
      </x:c>
      <x:c r="K394" s="46" t="str">
        <x:v>Complete</x:v>
      </x:c>
      <x:c r="L394" s="47"/>
    </x:row>
    <x:row r="395" ht="42" customHeight="1">
      <x:c r="A395" s="45" t="str">
        <x:v>FR-T-019</x:v>
      </x:c>
      <x:c r="B395" s="46" t="str">
        <x:v>T. Account and Synchronization</x:v>
      </x:c>
      <x:c r="C395" s="46" t="str">
        <x:v>Privacy lock shall remain enforceable independently of account authentication state.</x:v>
      </x:c>
      <x:c r="D395" s="46" t="str">
        <x:v>BR-T-001</x:v>
      </x:c>
      <x:c r="E395" s="46" t="str">
        <x:v>ADR-016 — Offline Outbox Synchronization and Conflict Resolution; ADR-018 — Guest-to-Account Migration and Account Lifecycle; ADR-021 — Security, Privacy, Permissions, and Sensitive Data</x:v>
      </x:c>
      <x:c r="F395" s="46" t="str">
        <x:v>AC-T-019</x:v>
      </x:c>
      <x:c r="G395" s="46" t="str">
        <x:v>Yes</x:v>
      </x:c>
      <x:c r="H395" s="46" t="str">
        <x:v>V1</x:v>
      </x:c>
      <x:c r="I395" s="46" t="str">
        <x:v>Account and Synchronization</x:v>
      </x:c>
      <x:c r="J395" s="46" t="str">
        <x:v>Domain test</x:v>
      </x:c>
      <x:c r="K395" s="46" t="str">
        <x:v>Complete</x:v>
      </x:c>
      <x:c r="L395" s="47"/>
    </x:row>
    <x:row r="396" ht="42" customHeight="1">
      <x:c r="A396" s="45" t="str">
        <x:v>FR-T-020</x:v>
      </x:c>
      <x:c r="B396" s="46" t="str">
        <x:v>T. Account and Synchronization</x:v>
      </x:c>
      <x:c r="C396" s="46" t="str">
        <x:v>Failed or cancelled authentication shall return the user to usable local-only operation.</x:v>
      </x:c>
      <x:c r="D396" s="46" t="str">
        <x:v>BR-T-005, BR-T-006, BR-T-007</x:v>
      </x:c>
      <x:c r="E396" s="46" t="str">
        <x:v>ADR-016 — Offline Outbox Synchronization and Conflict Resolution; ADR-018 — Guest-to-Account Migration and Account Lifecycle; ADR-002 — Guest-First Identity and Optional Accounts</x:v>
      </x:c>
      <x:c r="F396" s="46" t="str">
        <x:v>AC-T-020</x:v>
      </x:c>
      <x:c r="G396" s="46" t="str">
        <x:v>No</x:v>
      </x:c>
      <x:c r="H396" s="46" t="str">
        <x:v>V1</x:v>
      </x:c>
      <x:c r="I396" s="46" t="str">
        <x:v>Account and Synchronization</x:v>
      </x:c>
      <x:c r="J396" s="46" t="str">
        <x:v>Domain test</x:v>
      </x:c>
      <x:c r="K396" s="46" t="str">
        <x:v>Complete</x:v>
      </x:c>
      <x:c r="L396" s="47" t="str">
        <x:v>OPD-4-020</x:v>
      </x:c>
    </x:row>
    <x:row r="397" ht="42" customHeight="1">
      <x:c r="A397" s="45" t="str">
        <x:v>FR-T-021</x:v>
      </x:c>
      <x:c r="B397" s="46" t="str">
        <x:v>T. Account and Synchronization</x:v>
      </x:c>
      <x:c r="C397" s="46" t="str">
        <x:v>Synchronization diagnostics shall minimize user content and avoid exposing authentication secrets.</x:v>
      </x:c>
      <x:c r="D397" s="46" t="str">
        <x:v>BR-T-010</x:v>
      </x:c>
      <x:c r="E397" s="46" t="str">
        <x:v>ADR-016 — Offline Outbox Synchronization and Conflict Resolution; ADR-018 — Guest-to-Account Migration and Account Lifecycle; ADR-023 — Testing, Observability, Diagnostics, and Quality Strategy</x:v>
      </x:c>
      <x:c r="F397" s="46" t="str">
        <x:v>AC-T-021</x:v>
      </x:c>
      <x:c r="G397" s="46" t="str">
        <x:v>No</x:v>
      </x:c>
      <x:c r="H397" s="46" t="str">
        <x:v>V1</x:v>
      </x:c>
      <x:c r="I397" s="46" t="str">
        <x:v>Account and Synchronization</x:v>
      </x:c>
      <x:c r="J397" s="46" t="str">
        <x:v>Integration test</x:v>
      </x:c>
      <x:c r="K397" s="46" t="str">
        <x:v>Complete</x:v>
      </x:c>
      <x:c r="L397" s="47"/>
    </x:row>
    <x:row r="398" ht="42" customHeight="1">
      <x:c r="A398" s="45" t="str">
        <x:v>FR-T-022</x:v>
      </x:c>
      <x:c r="B398" s="46" t="str">
        <x:v>T. Account and Synchronization</x:v>
      </x:c>
      <x:c r="C398" s="46" t="str">
        <x:v>A user may pause synchronization without disabling local application workflows.</x:v>
      </x:c>
      <x:c r="D398" s="46" t="str">
        <x:v>BR-T-006, BR-T-007, BR-T-010</x:v>
      </x:c>
      <x:c r="E398" s="46" t="str">
        <x:v>ADR-016 — Offline Outbox Synchronization and Conflict Resolution; ADR-018 — Guest-to-Account Migration and Account Lifecycle; ADR-007 — Small Core V1 Scope</x:v>
      </x:c>
      <x:c r="F398" s="46" t="str">
        <x:v>AC-T-022</x:v>
      </x:c>
      <x:c r="G398" s="46" t="str">
        <x:v>No</x:v>
      </x:c>
      <x:c r="H398" s="46" t="str">
        <x:v>V1.1</x:v>
      </x:c>
      <x:c r="I398" s="46" t="str">
        <x:v>Account and Synchronization</x:v>
      </x:c>
      <x:c r="J398" s="46" t="str">
        <x:v>Integration test</x:v>
      </x:c>
      <x:c r="K398" s="46" t="str">
        <x:v>Deferred</x:v>
      </x:c>
      <x:c r="L398" s="47"/>
    </x:row>
    <x:row r="399" ht="42" customHeight="1">
      <x:c r="A399" s="45" t="str">
        <x:v>FR-U-001</x:v>
      </x:c>
      <x:c r="B399" s="46" t="str">
        <x:v>U. Notifications and Background Work</x:v>
      </x:c>
      <x:c r="C399" s="46" t="str">
        <x:v>provide a durable local background-work scheduler for approved V1 jobs.</x:v>
      </x:c>
      <x:c r="D399" s="46" t="str">
        <x:v>BR-U-001, BR-U-007, BR-U-011</x:v>
      </x:c>
      <x:c r="E399" s="46" t="str">
        <x:v>ADR-022 — Notifications, Background Work, and Calendar Integration; ADR-023 — Testing, Observability, Diagnostics, and Quality Strategy</x:v>
      </x:c>
      <x:c r="F399" s="46" t="str">
        <x:v>AC-U-001</x:v>
      </x:c>
      <x:c r="G399" s="46" t="str">
        <x:v>Yes</x:v>
      </x:c>
      <x:c r="H399" s="46" t="str">
        <x:v>V1</x:v>
      </x:c>
      <x:c r="I399" s="46" t="str">
        <x:v>Notifications and Background Work</x:v>
      </x:c>
      <x:c r="J399" s="46" t="str">
        <x:v>Integration test</x:v>
      </x:c>
      <x:c r="K399" s="46" t="str">
        <x:v>Complete</x:v>
      </x:c>
      <x:c r="L399" s="47"/>
    </x:row>
    <x:row r="400" ht="42" customHeight="1">
      <x:c r="A400" s="45" t="str">
        <x:v>FR-U-002</x:v>
      </x:c>
      <x:c r="B400" s="46" t="str">
        <x:v>U. Notifications and Background Work</x:v>
      </x:c>
      <x:c r="C400" s="46" t="str">
        <x:v>Background work shall never create Task completion, Calendar Event outcomes, reports, Actual, or Activity Ledger contributions without a valid canonical source.</x:v>
      </x:c>
      <x:c r="D400" s="46" t="str">
        <x:v>BR-U-001, BR-U-002, BR-U-012</x:v>
      </x:c>
      <x:c r="E400" s="46" t="str">
        <x:v>ADR-005 — Confirmed-Source Progress and Read-Only Actuals; ADR-011 — Event and Task Outcome Reporting; ADR-022 — Notifications, Background Work, and Calendar Integration; ADR-023 — Testing, Observability, Diagnostics, and Quality Strategy</x:v>
      </x:c>
      <x:c r="F400" s="46" t="str">
        <x:v>AC-U-002</x:v>
      </x:c>
      <x:c r="G400" s="46" t="str">
        <x:v>Yes</x:v>
      </x:c>
      <x:c r="H400" s="46" t="str">
        <x:v>V1</x:v>
      </x:c>
      <x:c r="I400" s="46" t="str">
        <x:v>Notifications and Background Work</x:v>
      </x:c>
      <x:c r="J400" s="46" t="str">
        <x:v>Domain test / Database test / Integration test</x:v>
      </x:c>
      <x:c r="K400" s="46" t="str">
        <x:v>Complete</x:v>
      </x:c>
      <x:c r="L400" s="47" t="str">
        <x:v>OPD-5-003</x:v>
      </x:c>
    </x:row>
    <x:row r="401" ht="42" customHeight="1">
      <x:c r="A401" s="45" t="str">
        <x:v>FR-U-003</x:v>
      </x:c>
      <x:c r="B401" s="46" t="str">
        <x:v>U. Notifications and Background Work</x:v>
      </x:c>
      <x:c r="C401" s="46" t="str">
        <x:v>Background jobs shall be idempotent and safe to retry after process death, device restart, or uncertain completion.</x:v>
      </x:c>
      <x:c r="D401" s="46" t="str">
        <x:v>BR-U-003, BR-U-011, BR-U-012</x:v>
      </x:c>
      <x:c r="E401" s="46" t="str">
        <x:v>ADR-022 — Notifications, Background Work, and Calendar Integration; ADR-023 — Testing, Observability, Diagnostics, and Quality Strategy</x:v>
      </x:c>
      <x:c r="F401" s="46" t="str">
        <x:v>AC-U-003</x:v>
      </x:c>
      <x:c r="G401" s="46" t="str">
        <x:v>Yes</x:v>
      </x:c>
      <x:c r="H401" s="46" t="str">
        <x:v>V1</x:v>
      </x:c>
      <x:c r="I401" s="46" t="str">
        <x:v>Notifications and Background Work</x:v>
      </x:c>
      <x:c r="J401" s="46" t="str">
        <x:v>Domain test / Integration test</x:v>
      </x:c>
      <x:c r="K401" s="46" t="str">
        <x:v>Complete</x:v>
      </x:c>
      <x:c r="L401" s="47"/>
    </x:row>
    <x:row r="402" ht="42" customHeight="1">
      <x:c r="A402" s="45" t="str">
        <x:v>FR-U-004</x:v>
      </x:c>
      <x:c r="B402" s="46" t="str">
        <x:v>U. Notifications and Background Work</x:v>
      </x:c>
      <x:c r="C402" s="46" t="str">
        <x:v>Background jobs shall declare and respect required connectivity, charging, battery, and storage constraints where applicable.</x:v>
      </x:c>
      <x:c r="D402" s="46" t="str">
        <x:v>BR-U-006, BR-U-009, BR-U-011</x:v>
      </x:c>
      <x:c r="E402" s="46" t="str">
        <x:v>ADR-022 — Notifications, Background Work, and Calendar Integration; ADR-023 — Testing, Observability, Diagnostics, and Quality Strategy</x:v>
      </x:c>
      <x:c r="F402" s="46" t="str">
        <x:v>AC-U-004</x:v>
      </x:c>
      <x:c r="G402" s="46" t="str">
        <x:v>Yes</x:v>
      </x:c>
      <x:c r="H402" s="46" t="str">
        <x:v>V1</x:v>
      </x:c>
      <x:c r="I402" s="46" t="str">
        <x:v>Notifications and Background Work</x:v>
      </x:c>
      <x:c r="J402" s="46" t="str">
        <x:v>Integration test</x:v>
      </x:c>
      <x:c r="K402" s="46" t="str">
        <x:v>Complete</x:v>
      </x:c>
      <x:c r="L402" s="47"/>
    </x:row>
    <x:row r="403" ht="42" customHeight="1">
      <x:c r="A403" s="45" t="str">
        <x:v>FR-U-005</x:v>
      </x:c>
      <x:c r="B403" s="46" t="str">
        <x:v>U. Notifications and Background Work</x:v>
      </x:c>
      <x:c r="C403" s="46" t="str">
        <x:v>recover eligible reminder schedules and pending background work after device restart or app update.</x:v>
      </x:c>
      <x:c r="D403" s="46" t="str">
        <x:v>BR-U-001, BR-U-006, BR-U-007</x:v>
      </x:c>
      <x:c r="E403" s="46" t="str">
        <x:v>ADR-022 — Notifications, Background Work, and Calendar Integration; ADR-023 — Testing, Observability, Diagnostics, and Quality Strategy</x:v>
      </x:c>
      <x:c r="F403" s="46" t="str">
        <x:v>AC-U-005</x:v>
      </x:c>
      <x:c r="G403" s="46" t="str">
        <x:v>Yes</x:v>
      </x:c>
      <x:c r="H403" s="46" t="str">
        <x:v>V1</x:v>
      </x:c>
      <x:c r="I403" s="46" t="str">
        <x:v>Notifications and Background Work</x:v>
      </x:c>
      <x:c r="J403" s="46" t="str">
        <x:v>Integration test</x:v>
      </x:c>
      <x:c r="K403" s="46" t="str">
        <x:v>Complete</x:v>
      </x:c>
      <x:c r="L403" s="47"/>
    </x:row>
    <x:row r="404" ht="42" customHeight="1">
      <x:c r="A404" s="45" t="str">
        <x:v>FR-U-006</x:v>
      </x:c>
      <x:c r="B404" s="46" t="str">
        <x:v>U. Notifications and Background Work</x:v>
      </x:c>
      <x:c r="C404" s="46" t="str">
        <x:v>process synchronization outbox work without blocking foreground local workflows.</x:v>
      </x:c>
      <x:c r="D404" s="46" t="str">
        <x:v>BR-U-001, BR-U-005, BR-U-007</x:v>
      </x:c>
      <x:c r="E404" s="46" t="str">
        <x:v>ADR-016 — Offline Outbox Synchronization and Conflict Resolution; ADR-022 — Notifications, Background Work, and Calendar Integration; ADR-006 — Local-First Operation with Background Synchronization; ADR-023 — Testing, Observability, Diagnostics, and Quality Strategy</x:v>
      </x:c>
      <x:c r="F404" s="46" t="str">
        <x:v>AC-U-006</x:v>
      </x:c>
      <x:c r="G404" s="46" t="str">
        <x:v>Yes</x:v>
      </x:c>
      <x:c r="H404" s="46" t="str">
        <x:v>V1</x:v>
      </x:c>
      <x:c r="I404" s="46" t="str">
        <x:v>Notifications and Background Work</x:v>
      </x:c>
      <x:c r="J404" s="46" t="str">
        <x:v>Database test / Integration test</x:v>
      </x:c>
      <x:c r="K404" s="46" t="str">
        <x:v>Complete</x:v>
      </x:c>
      <x:c r="L404" s="47"/>
    </x:row>
    <x:row r="405" ht="42" customHeight="1">
      <x:c r="A405" s="45" t="str">
        <x:v>FR-U-007</x:v>
      </x:c>
      <x:c r="B405" s="46" t="str">
        <x:v>U. Notifications and Background Work</x:v>
      </x:c>
      <x:c r="C405" s="46" t="str">
        <x:v>Background synchronization failure shall preserve pending local operations and expose factual status.</x:v>
      </x:c>
      <x:c r="D405" s="46" t="str">
        <x:v>BR-U-002, BR-U-007, BR-U-008</x:v>
      </x:c>
      <x:c r="E405" s="46" t="str">
        <x:v>ADR-005 — Confirmed-Source Progress and Read-Only Actuals; ADR-016 — Offline Outbox Synchronization and Conflict Resolution; ADR-022 — Notifications, Background Work, and Calendar Integration; ADR-006 — Local-First Operation with Background Synchronization; ADR-023 — Testing, Observability, Diagnostics, and Quality Strategy</x:v>
      </x:c>
      <x:c r="F405" s="46" t="str">
        <x:v>AC-U-007</x:v>
      </x:c>
      <x:c r="G405" s="46" t="str">
        <x:v>Yes</x:v>
      </x:c>
      <x:c r="H405" s="46" t="str">
        <x:v>V1</x:v>
      </x:c>
      <x:c r="I405" s="46" t="str">
        <x:v>Notifications and Background Work</x:v>
      </x:c>
      <x:c r="J405" s="46" t="str">
        <x:v>Domain test / Integration test</x:v>
      </x:c>
      <x:c r="K405" s="46" t="str">
        <x:v>Complete</x:v>
      </x:c>
      <x:c r="L405" s="47"/>
    </x:row>
    <x:row r="406" ht="42" customHeight="1">
      <x:c r="A406" s="45" t="str">
        <x:v>FR-U-008</x:v>
      </x:c>
      <x:c r="B406" s="46" t="str">
        <x:v>U. Notifications and Background Work</x:v>
      </x:c>
      <x:c r="C406" s="46" t="str">
        <x:v>support periodic official-content update checks without blocking bundled or last-known-valid content.</x:v>
      </x:c>
      <x:c r="D406" s="46" t="str">
        <x:v>BR-U-008, BR-U-010</x:v>
      </x:c>
      <x:c r="E406" s="46" t="str">
        <x:v>ADR-022 — Notifications, Background Work, and Calendar Integration; ADR-019 — Philippine Content Packs and Official Source Governance; ADR-006 — Local-First Operation with Background Synchronization; ADR-023 — Testing, Observability, Diagnostics, and Quality Strategy</x:v>
      </x:c>
      <x:c r="F406" s="46" t="str">
        <x:v>AC-U-008</x:v>
      </x:c>
      <x:c r="G406" s="46" t="str">
        <x:v>Yes</x:v>
      </x:c>
      <x:c r="H406" s="46" t="str">
        <x:v>V1</x:v>
      </x:c>
      <x:c r="I406" s="46" t="str">
        <x:v>Notifications and Background Work</x:v>
      </x:c>
      <x:c r="J406" s="46" t="str">
        <x:v>Manual review</x:v>
      </x:c>
      <x:c r="K406" s="46" t="str">
        <x:v>Complete</x:v>
      </x:c>
      <x:c r="L406" s="47" t="str">
        <x:v>OPD-5-004</x:v>
      </x:c>
    </x:row>
    <x:row r="407" ht="42" customHeight="1">
      <x:c r="A407" s="45" t="str">
        <x:v>FR-U-009</x:v>
      </x:c>
      <x:c r="B407" s="46" t="str">
        <x:v>U. Notifications and Background Work</x:v>
      </x:c>
      <x:c r="C407" s="46" t="str">
        <x:v>Background content checks shall not overwrite user-created state or verified historical content.</x:v>
      </x:c>
      <x:c r="D407" s="46" t="str">
        <x:v>BR-U-006, BR-U-008, BR-U-010</x:v>
      </x:c>
      <x:c r="E407" s="46" t="str">
        <x:v>ADR-022 — Notifications, Background Work, and Calendar Integration; ADR-023 — Testing, Observability, Diagnostics, and Quality Strategy</x:v>
      </x:c>
      <x:c r="F407" s="46" t="str">
        <x:v>AC-U-009</x:v>
      </x:c>
      <x:c r="G407" s="46" t="str">
        <x:v>Yes</x:v>
      </x:c>
      <x:c r="H407" s="46" t="str">
        <x:v>V1</x:v>
      </x:c>
      <x:c r="I407" s="46" t="str">
        <x:v>Notifications and Background Work</x:v>
      </x:c>
      <x:c r="J407" s="46" t="str">
        <x:v>Integration test</x:v>
      </x:c>
      <x:c r="K407" s="46" t="str">
        <x:v>Complete</x:v>
      </x:c>
      <x:c r="L407" s="47" t="str">
        <x:v>OPD-5-003</x:v>
      </x:c>
    </x:row>
    <x:row r="408" ht="42" customHeight="1">
      <x:c r="A408" s="45" t="str">
        <x:v>FR-U-010</x:v>
      </x:c>
      <x:c r="B408" s="46" t="str">
        <x:v>U. Notifications and Background Work</x:v>
      </x:c>
      <x:c r="C408" s="46" t="str">
        <x:v>not use background location permission or continuous background location work in V1.</x:v>
      </x:c>
      <x:c r="D408" s="46" t="str">
        <x:v>BR-U-001, BR-U-006, BR-U-007</x:v>
      </x:c>
      <x:c r="E408" s="46" t="str">
        <x:v>ADR-021 — Security, Privacy, Permissions, and Sensitive Data; ADR-022 — Notifications, Background Work, and Calendar Integration; ADR-023 — Testing, Observability, Diagnostics, and Quality Strategy</x:v>
      </x:c>
      <x:c r="F408" s="46" t="str">
        <x:v>AC-U-010</x:v>
      </x:c>
      <x:c r="G408" s="46" t="str">
        <x:v>Yes</x:v>
      </x:c>
      <x:c r="H408" s="46" t="str">
        <x:v>V1</x:v>
      </x:c>
      <x:c r="I408" s="46" t="str">
        <x:v>Notifications and Background Work</x:v>
      </x:c>
      <x:c r="J408" s="46" t="str">
        <x:v>Widget test / Integration test</x:v>
      </x:c>
      <x:c r="K408" s="46" t="str">
        <x:v>Complete</x:v>
      </x:c>
      <x:c r="L408" s="47"/>
    </x:row>
    <x:row r="409" ht="42" customHeight="1">
      <x:c r="A409" s="45" t="str">
        <x:v>FR-U-011</x:v>
      </x:c>
      <x:c r="B409" s="46" t="str">
        <x:v>U. Notifications and Background Work</x:v>
      </x:c>
      <x:c r="C409" s="46" t="str">
        <x:v>Long-running user-initiated work shall use an appropriate visible progress experience when Android requires it.</x:v>
      </x:c>
      <x:c r="D409" s="46" t="str">
        <x:v>BR-U-005, BR-U-007, BR-U-008</x:v>
      </x:c>
      <x:c r="E409" s="46" t="str">
        <x:v>ADR-022 — Notifications, Background Work, and Calendar Integration; ADR-023 — Testing, Observability, Diagnostics, and Quality Strategy</x:v>
      </x:c>
      <x:c r="F409" s="46" t="str">
        <x:v>AC-U-011</x:v>
      </x:c>
      <x:c r="G409" s="46" t="str">
        <x:v>No</x:v>
      </x:c>
      <x:c r="H409" s="46" t="str">
        <x:v>V1</x:v>
      </x:c>
      <x:c r="I409" s="46" t="str">
        <x:v>Notifications and Background Work</x:v>
      </x:c>
      <x:c r="J409" s="46" t="str">
        <x:v>Domain test</x:v>
      </x:c>
      <x:c r="K409" s="46" t="str">
        <x:v>Complete</x:v>
      </x:c>
      <x:c r="L409" s="47" t="str">
        <x:v>OPD-5-002</x:v>
      </x:c>
    </x:row>
    <x:row r="410" ht="42" customHeight="1">
      <x:c r="A410" s="45" t="str">
        <x:v>FR-U-012</x:v>
      </x:c>
      <x:c r="B410" s="46" t="str">
        <x:v>U. Notifications and Background Work</x:v>
      </x:c>
      <x:c r="C410" s="46" t="str">
        <x:v>Background jobs shall not contain private record titles, notes, reflections, document references, or precise locations in logs or analytics.</x:v>
      </x:c>
      <x:c r="D410" s="46" t="str">
        <x:v>BR-U-009, BR-U-010, BR-U-011</x:v>
      </x:c>
      <x:c r="E410" s="46" t="str">
        <x:v>ADR-021 — Security, Privacy, Permissions, and Sensitive Data; ADR-022 — Notifications, Background Work, and Calendar Integration; ADR-023 — Testing, Observability, Diagnostics, and Quality Strategy</x:v>
      </x:c>
      <x:c r="F410" s="46" t="str">
        <x:v>AC-U-012</x:v>
      </x:c>
      <x:c r="G410" s="46" t="str">
        <x:v>Yes</x:v>
      </x:c>
      <x:c r="H410" s="46" t="str">
        <x:v>V1</x:v>
      </x:c>
      <x:c r="I410" s="46" t="str">
        <x:v>Notifications and Background Work</x:v>
      </x:c>
      <x:c r="J410" s="46" t="str">
        <x:v>Integration test</x:v>
      </x:c>
      <x:c r="K410" s="46" t="str">
        <x:v>Complete</x:v>
      </x:c>
      <x:c r="L410" s="47" t="str">
        <x:v>OPD-5-003</x:v>
      </x:c>
    </x:row>
    <x:row r="411" ht="42" customHeight="1">
      <x:c r="A411" s="45" t="str">
        <x:v>FR-U-013</x:v>
      </x:c>
      <x:c r="B411" s="46" t="str">
        <x:v>U. Notifications and Background Work</x:v>
      </x:c>
      <x:c r="C411" s="46" t="str">
        <x:v>provide privacy-safe diagnostic status for failed, delayed, cancelled, and retried background jobs.</x:v>
      </x:c>
      <x:c r="D411" s="46" t="str">
        <x:v>BR-U-006, BR-U-009, BR-U-011</x:v>
      </x:c>
      <x:c r="E411" s="46" t="str">
        <x:v>ADR-021 — Security, Privacy, Permissions, and Sensitive Data; ADR-022 — Notifications, Background Work, and Calendar Integration; ADR-023 — Testing, Observability, Diagnostics, and Quality Strategy</x:v>
      </x:c>
      <x:c r="F411" s="46" t="str">
        <x:v>AC-U-013</x:v>
      </x:c>
      <x:c r="G411" s="46" t="str">
        <x:v>Yes</x:v>
      </x:c>
      <x:c r="H411" s="46" t="str">
        <x:v>V1</x:v>
      </x:c>
      <x:c r="I411" s="46" t="str">
        <x:v>Notifications and Background Work</x:v>
      </x:c>
      <x:c r="J411" s="46" t="str">
        <x:v>Domain test / Integration test</x:v>
      </x:c>
      <x:c r="K411" s="46" t="str">
        <x:v>Complete</x:v>
      </x:c>
      <x:c r="L411" s="47" t="str">
        <x:v>OPD-5-003</x:v>
      </x:c>
    </x:row>
    <x:row r="412" ht="42" customHeight="1">
      <x:c r="A412" s="45" t="str">
        <x:v>FR-U-014</x:v>
      </x:c>
      <x:c r="B412" s="46" t="str">
        <x:v>U. Notifications and Background Work</x:v>
      </x:c>
      <x:c r="C412" s="46" t="str">
        <x:v>Duplicate scheduled work for the same stable job identity shall be coalesced or safely deduplicated.</x:v>
      </x:c>
      <x:c r="D412" s="46" t="str">
        <x:v>BR-U-001, BR-U-003, BR-U-007</x:v>
      </x:c>
      <x:c r="E412" s="46" t="str">
        <x:v>ADR-022 — Notifications, Background Work, and Calendar Integration; ADR-023 — Testing, Observability, Diagnostics, and Quality Strategy</x:v>
      </x:c>
      <x:c r="F412" s="46" t="str">
        <x:v>AC-U-014</x:v>
      </x:c>
      <x:c r="G412" s="46" t="str">
        <x:v>No</x:v>
      </x:c>
      <x:c r="H412" s="46" t="str">
        <x:v>V1</x:v>
      </x:c>
      <x:c r="I412" s="46" t="str">
        <x:v>Notifications and Background Work</x:v>
      </x:c>
      <x:c r="J412" s="46" t="str">
        <x:v>Domain test</x:v>
      </x:c>
      <x:c r="K412" s="46" t="str">
        <x:v>Complete</x:v>
      </x:c>
      <x:c r="L412" s="47"/>
    </x:row>
    <x:row r="413" ht="42" customHeight="1">
      <x:c r="A413" s="45" t="str">
        <x:v>FR-U-015</x:v>
      </x:c>
      <x:c r="B413" s="46" t="str">
        <x:v>U. Notifications and Background Work</x:v>
      </x:c>
      <x:c r="C413" s="46" t="str">
        <x:v>Expired or obsolete background jobs shall be cancelled when their owning record is cancelled, rescheduled, deleted, or archived.</x:v>
      </x:c>
      <x:c r="D413" s="46" t="str">
        <x:v>BR-U-006, BR-U-009, BR-U-011</x:v>
      </x:c>
      <x:c r="E413" s="46" t="str">
        <x:v>ADR-011 — Event and Task Outcome Reporting; ADR-022 — Notifications, Background Work, and Calendar Integration; ADR-023 — Testing, Observability, Diagnostics, and Quality Strategy</x:v>
      </x:c>
      <x:c r="F413" s="46" t="str">
        <x:v>AC-U-015</x:v>
      </x:c>
      <x:c r="G413" s="46" t="str">
        <x:v>No</x:v>
      </x:c>
      <x:c r="H413" s="46" t="str">
        <x:v>V1</x:v>
      </x:c>
      <x:c r="I413" s="46" t="str">
        <x:v>Notifications and Background Work</x:v>
      </x:c>
      <x:c r="J413" s="46" t="str">
        <x:v>Integration test</x:v>
      </x:c>
      <x:c r="K413" s="46" t="str">
        <x:v>Complete</x:v>
      </x:c>
      <x:c r="L413" s="47"/>
    </x:row>
    <x:row r="414" ht="42" customHeight="1">
      <x:c r="A414" s="45" t="str">
        <x:v>FR-U-016</x:v>
      </x:c>
      <x:c r="B414" s="46" t="str">
        <x:v>U. Notifications and Background Work</x:v>
      </x:c>
      <x:c r="C414" s="46" t="str">
        <x:v>Background work shall preserve Local Profile ownership and shall not operate across user profiles.</x:v>
      </x:c>
      <x:c r="D414" s="46" t="str">
        <x:v>BR-U-001, BR-U-007, BR-U-008</x:v>
      </x:c>
      <x:c r="E414" s="46" t="str">
        <x:v>ADR-022 — Notifications, Background Work, and Calendar Integration; ADR-023 — Testing, Observability, Diagnostics, and Quality Strategy</x:v>
      </x:c>
      <x:c r="F414" s="46" t="str">
        <x:v>AC-U-016</x:v>
      </x:c>
      <x:c r="G414" s="46" t="str">
        <x:v>Yes</x:v>
      </x:c>
      <x:c r="H414" s="46" t="str">
        <x:v>V1</x:v>
      </x:c>
      <x:c r="I414" s="46" t="str">
        <x:v>Notifications and Background Work</x:v>
      </x:c>
      <x:c r="J414" s="46" t="str">
        <x:v>Integration test</x:v>
      </x:c>
      <x:c r="K414" s="46" t="str">
        <x:v>Complete</x:v>
      </x:c>
      <x:c r="L414" s="47"/>
    </x:row>
    <x:row r="415" ht="42" customHeight="1">
      <x:c r="A415" s="45" t="str">
        <x:v>FR-U-017</x:v>
      </x:c>
      <x:c r="B415" s="46" t="str">
        <x:v>U. Notifications and Background Work</x:v>
      </x:c>
      <x:c r="C415" s="46" t="str">
        <x:v>Core V1 background functions shall remain usable for guest users where no account is required.</x:v>
      </x:c>
      <x:c r="D415" s="46" t="str">
        <x:v>BR-U-001, BR-U-006, BR-U-011</x:v>
      </x:c>
      <x:c r="E415" s="46" t="str">
        <x:v>ADR-022 — Notifications, Background Work, and Calendar Integration; ADR-023 — Testing, Observability, Diagnostics, and Quality Strategy</x:v>
      </x:c>
      <x:c r="F415" s="46" t="str">
        <x:v>AC-U-017</x:v>
      </x:c>
      <x:c r="G415" s="46" t="str">
        <x:v>Yes</x:v>
      </x:c>
      <x:c r="H415" s="46" t="str">
        <x:v>V1</x:v>
      </x:c>
      <x:c r="I415" s="46" t="str">
        <x:v>Notifications and Background Work</x:v>
      </x:c>
      <x:c r="J415" s="46" t="str">
        <x:v>Integration test</x:v>
      </x:c>
      <x:c r="K415" s="46" t="str">
        <x:v>Complete</x:v>
      </x:c>
      <x:c r="L415" s="47"/>
    </x:row>
    <x:row r="416" ht="42" customHeight="1">
      <x:c r="A416" s="45" t="str">
        <x:v>FR-U-018</x:v>
      </x:c>
      <x:c r="B416" s="46" t="str">
        <x:v>U. Notifications and Background Work</x:v>
      </x:c>
      <x:c r="C416" s="46" t="str">
        <x:v>avoid exact-alarm or foreground-service use unless an approved user-facing function genuinely requires it.</x:v>
      </x:c>
      <x:c r="D416" s="46" t="str">
        <x:v>BR-U-001, BR-U-005, BR-U-008</x:v>
      </x:c>
      <x:c r="E416" s="46" t="str">
        <x:v>ADR-022 — Notifications, Background Work, and Calendar Integration; ADR-023 — Testing, Observability, Diagnostics, and Quality Strategy</x:v>
      </x:c>
      <x:c r="F416" s="46" t="str">
        <x:v>AC-U-018</x:v>
      </x:c>
      <x:c r="G416" s="46" t="str">
        <x:v>No</x:v>
      </x:c>
      <x:c r="H416" s="46" t="str">
        <x:v>V1</x:v>
      </x:c>
      <x:c r="I416" s="46" t="str">
        <x:v>Notifications and Background Work</x:v>
      </x:c>
      <x:c r="J416" s="46" t="str">
        <x:v>Domain test</x:v>
      </x:c>
      <x:c r="K416" s="46" t="str">
        <x:v>Complete</x:v>
      </x:c>
      <x:c r="L416" s="47" t="str">
        <x:v>OPD-5-001, OPD-5-002</x:v>
      </x:c>
    </x:row>
    <x:row r="417" ht="42" customHeight="1">
      <x:c r="A417" s="45" t="str">
        <x:v>FR-U-019</x:v>
      </x:c>
      <x:c r="B417" s="46" t="str">
        <x:v>U. Notifications and Background Work</x:v>
      </x:c>
      <x:c r="C417" s="46" t="str">
        <x:v>Background execution limitations imposed by Android shall be communicated without implying that domain work was completed.</x:v>
      </x:c>
      <x:c r="D417" s="46" t="str">
        <x:v>BR-U-002, BR-U-004, BR-U-012</x:v>
      </x:c>
      <x:c r="E417" s="46" t="str">
        <x:v>ADR-022 — Notifications, Background Work, and Calendar Integration; ADR-023 — Testing, Observability, Diagnostics, and Quality Strategy</x:v>
      </x:c>
      <x:c r="F417" s="46" t="str">
        <x:v>AC-U-019</x:v>
      </x:c>
      <x:c r="G417" s="46" t="str">
        <x:v>Yes</x:v>
      </x:c>
      <x:c r="H417" s="46" t="str">
        <x:v>V1</x:v>
      </x:c>
      <x:c r="I417" s="46" t="str">
        <x:v>Notifications and Background Work</x:v>
      </x:c>
      <x:c r="J417" s="46" t="str">
        <x:v>Integration test</x:v>
      </x:c>
      <x:c r="K417" s="46" t="str">
        <x:v>Complete</x:v>
      </x:c>
      <x:c r="L417" s="47" t="str">
        <x:v>OPD-5-003</x:v>
      </x:c>
    </x:row>
    <x:row r="418" ht="42" customHeight="1">
      <x:c r="A418" s="45" t="str">
        <x:v>FR-U-020</x:v>
      </x:c>
      <x:c r="B418" s="46" t="str">
        <x:v>U. Notifications and Background Work</x:v>
      </x:c>
      <x:c r="C418" s="46" t="str">
        <x:v>expose last-run and next-eligible-run information for support-relevant background categories where useful.</x:v>
      </x:c>
      <x:c r="D418" s="46" t="str">
        <x:v>BR-U-002, BR-U-003, BR-U-006</x:v>
      </x:c>
      <x:c r="E418" s="46" t="str">
        <x:v>ADR-022 — Notifications, Background Work, and Calendar Integration; ADR-023 — Testing, Observability, Diagnostics, and Quality Strategy</x:v>
      </x:c>
      <x:c r="F418" s="46" t="str">
        <x:v>AC-U-020</x:v>
      </x:c>
      <x:c r="G418" s="46" t="str">
        <x:v>No</x:v>
      </x:c>
      <x:c r="H418" s="46" t="str">
        <x:v>V1</x:v>
      </x:c>
      <x:c r="I418" s="46" t="str">
        <x:v>Notifications and Background Work</x:v>
      </x:c>
      <x:c r="J418" s="46" t="str">
        <x:v>Integration test</x:v>
      </x:c>
      <x:c r="K418" s="46" t="str">
        <x:v>Complete</x:v>
      </x:c>
      <x:c r="L418" s="47"/>
    </x:row>
    <x:row r="419" ht="42" customHeight="1">
      <x:c r="A419" s="45" t="str">
        <x:v>FR-V-001</x:v>
      </x:c>
      <x:c r="B419" s="46" t="str">
        <x:v>V. Device-Calendar Manual Import and Export</x:v>
      </x:c>
      <x:c r="C419" s="46" t="str">
        <x:v>be able to manually import selected device-calendar events after an explicit calendar-permission request.</x:v>
      </x:c>
      <x:c r="D419" s="46" t="str">
        <x:v>BR-V-002, BR-V-003, BR-V-004</x:v>
      </x:c>
      <x:c r="E419" s="46" t="str">
        <x:v>ADR-021 — Security, Privacy, Permissions, and Sensitive Data; ADR-022 — Notifications, Background Work, and Calendar Integration</x:v>
      </x:c>
      <x:c r="F419" s="46" t="str">
        <x:v>AC-V-001</x:v>
      </x:c>
      <x:c r="G419" s="46" t="str">
        <x:v>Yes</x:v>
      </x:c>
      <x:c r="H419" s="46" t="str">
        <x:v>V1</x:v>
      </x:c>
      <x:c r="I419" s="46" t="str">
        <x:v>Device-Calendar Manual Import and Export</x:v>
      </x:c>
      <x:c r="J419" s="46" t="str">
        <x:v>Widget test / Integration test</x:v>
      </x:c>
      <x:c r="K419" s="46" t="str">
        <x:v>Complete</x:v>
      </x:c>
      <x:c r="L419" s="47" t="str">
        <x:v>OPD-5-005</x:v>
      </x:c>
    </x:row>
    <x:row r="420" ht="42" customHeight="1">
      <x:c r="A420" s="45" t="str">
        <x:v>FR-V-002</x:v>
      </x:c>
      <x:c r="B420" s="46" t="str">
        <x:v>V. Device-Calendar Manual Import and Export</x:v>
      </x:c>
      <x:c r="C420" s="46" t="str">
        <x:v>be able to manually export selected Next Transfer Calendar Events to a chosen device calendar.</x:v>
      </x:c>
      <x:c r="D420" s="46" t="str">
        <x:v>BR-V-002, BR-V-005, BR-V-012</x:v>
      </x:c>
      <x:c r="E420" s="46" t="str">
        <x:v>ADR-022 — Notifications, Background Work, and Calendar Integration</x:v>
      </x:c>
      <x:c r="F420" s="46" t="str">
        <x:v>AC-V-002</x:v>
      </x:c>
      <x:c r="G420" s="46" t="str">
        <x:v>Yes</x:v>
      </x:c>
      <x:c r="H420" s="46" t="str">
        <x:v>V1</x:v>
      </x:c>
      <x:c r="I420" s="46" t="str">
        <x:v>Device-Calendar Manual Import and Export</x:v>
      </x:c>
      <x:c r="J420" s="46" t="str">
        <x:v>Widget test / Integration test</x:v>
      </x:c>
      <x:c r="K420" s="46" t="str">
        <x:v>Complete</x:v>
      </x:c>
      <x:c r="L420" s="47" t="str">
        <x:v>OPD-5-005</x:v>
      </x:c>
    </x:row>
    <x:row r="421" ht="42" customHeight="1">
      <x:c r="A421" s="45" t="str">
        <x:v>FR-V-003</x:v>
      </x:c>
      <x:c r="B421" s="46" t="str">
        <x:v>V. Device-Calendar Manual Import and Export</x:v>
      </x:c>
      <x:c r="C421" s="46" t="str">
        <x:v>The internal Next Transfer remain authoritative after import or export.</x:v>
      </x:c>
      <x:c r="D421" s="46" t="str">
        <x:v>BR-V-001, BR-V-005, BR-V-008</x:v>
      </x:c>
      <x:c r="E421" s="46" t="str">
        <x:v>ADR-022 — Notifications, Background Work, and Calendar Integration</x:v>
      </x:c>
      <x:c r="F421" s="46" t="str">
        <x:v>AC-V-003</x:v>
      </x:c>
      <x:c r="G421" s="46" t="str">
        <x:v>Yes</x:v>
      </x:c>
      <x:c r="H421" s="46" t="str">
        <x:v>V1</x:v>
      </x:c>
      <x:c r="I421" s="46" t="str">
        <x:v>Device-Calendar Manual Import and Export</x:v>
      </x:c>
      <x:c r="J421" s="46" t="str">
        <x:v>Integration test</x:v>
      </x:c>
      <x:c r="K421" s="46" t="str">
        <x:v>Complete</x:v>
      </x:c>
      <x:c r="L421" s="47"/>
    </x:row>
    <x:row r="422" ht="42" customHeight="1">
      <x:c r="A422" s="45" t="str">
        <x:v>FR-V-004</x:v>
      </x:c>
      <x:c r="B422" s="46" t="str">
        <x:v>V. Device-Calendar Manual Import and Export</x:v>
      </x:c>
      <x:c r="C422" s="46" t="str">
        <x:v>Device-calendar permission shall be requested only after the user selects an external-calendar action.</x:v>
      </x:c>
      <x:c r="D422" s="46" t="str">
        <x:v>BR-V-002, BR-V-003, BR-V-011</x:v>
      </x:c>
      <x:c r="E422" s="46" t="str">
        <x:v>ADR-021 — Security, Privacy, Permissions, and Sensitive Data; ADR-022 — Notifications, Background Work, and Calendar Integration</x:v>
      </x:c>
      <x:c r="F422" s="46" t="str">
        <x:v>AC-V-004</x:v>
      </x:c>
      <x:c r="G422" s="46" t="str">
        <x:v>Yes</x:v>
      </x:c>
      <x:c r="H422" s="46" t="str">
        <x:v>V1</x:v>
      </x:c>
      <x:c r="I422" s="46" t="str">
        <x:v>Device-Calendar Manual Import and Export</x:v>
      </x:c>
      <x:c r="J422" s="46" t="str">
        <x:v>Widget test / Integration test</x:v>
      </x:c>
      <x:c r="K422" s="46" t="str">
        <x:v>Complete</x:v>
      </x:c>
      <x:c r="L422" s="47" t="str">
        <x:v>OPD-5-005</x:v>
      </x:c>
    </x:row>
    <x:row r="423" ht="42" customHeight="1">
      <x:c r="A423" s="45" t="str">
        <x:v>FR-V-005</x:v>
      </x:c>
      <x:c r="B423" s="46" t="str">
        <x:v>V. Device-Calendar Manual Import and Export</x:v>
      </x:c>
      <x:c r="C423" s="46" t="str">
        <x:v>External events shall be previewed before import.</x:v>
      </x:c>
      <x:c r="D423" s="46" t="str">
        <x:v>BR-V-004, BR-V-007, BR-V-010</x:v>
      </x:c>
      <x:c r="E423" s="46" t="str">
        <x:v>ADR-022 — Notifications, Background Work, and Calendar Integration</x:v>
      </x:c>
      <x:c r="F423" s="46" t="str">
        <x:v>AC-V-005</x:v>
      </x:c>
      <x:c r="G423" s="46" t="str">
        <x:v>Yes</x:v>
      </x:c>
      <x:c r="H423" s="46" t="str">
        <x:v>V1</x:v>
      </x:c>
      <x:c r="I423" s="46" t="str">
        <x:v>Device-Calendar Manual Import and Export</x:v>
      </x:c>
      <x:c r="J423" s="46" t="str">
        <x:v>Widget test / Integration test</x:v>
      </x:c>
      <x:c r="K423" s="46" t="str">
        <x:v>Complete</x:v>
      </x:c>
      <x:c r="L423" s="47"/>
    </x:row>
    <x:row r="424" ht="42" customHeight="1">
      <x:c r="A424" s="45" t="str">
        <x:v>FR-V-006</x:v>
      </x:c>
      <x:c r="B424" s="46" t="str">
        <x:v>V. Device-Calendar Manual Import and Export</x:v>
      </x:c>
      <x:c r="C424" s="46" t="str">
        <x:v>Imported external events shall receive new Next Transfer UUIDs as primary identities.</x:v>
      </x:c>
      <x:c r="D424" s="46" t="str">
        <x:v>BR-V-004, BR-V-005, BR-V-007</x:v>
      </x:c>
      <x:c r="E424" s="46" t="str">
        <x:v>ADR-009 — Domain Ownership and Relationship Model; ADR-022 — Notifications, Background Work, and Calendar Integration</x:v>
      </x:c>
      <x:c r="F424" s="46" t="str">
        <x:v>AC-V-006</x:v>
      </x:c>
      <x:c r="G424" s="46" t="str">
        <x:v>Yes</x:v>
      </x:c>
      <x:c r="H424" s="46" t="str">
        <x:v>V1</x:v>
      </x:c>
      <x:c r="I424" s="46" t="str">
        <x:v>Device-Calendar Manual Import and Export</x:v>
      </x:c>
      <x:c r="J424" s="46" t="str">
        <x:v>Integration test</x:v>
      </x:c>
      <x:c r="K424" s="46" t="str">
        <x:v>Complete</x:v>
      </x:c>
      <x:c r="L424" s="47"/>
    </x:row>
    <x:row r="425" ht="42" customHeight="1">
      <x:c r="A425" s="45" t="str">
        <x:v>FR-V-007</x:v>
      </x:c>
      <x:c r="B425" s="46" t="str">
        <x:v>V. Device-Calendar Manual Import and Export</x:v>
      </x:c>
      <x:c r="C425" s="46" t="str">
        <x:v>External event IDs and iCal UIDs shall be retained only as mapping and duplicate-detection metadata.</x:v>
      </x:c>
      <x:c r="D425" s="46" t="str">
        <x:v>BR-V-006, BR-V-009, BR-V-010</x:v>
      </x:c>
      <x:c r="E425" s="46" t="str">
        <x:v>ADR-022 — Notifications, Background Work, and Calendar Integration</x:v>
      </x:c>
      <x:c r="F425" s="46" t="str">
        <x:v>AC-V-007</x:v>
      </x:c>
      <x:c r="G425" s="46" t="str">
        <x:v>Yes</x:v>
      </x:c>
      <x:c r="H425" s="46" t="str">
        <x:v>V1</x:v>
      </x:c>
      <x:c r="I425" s="46" t="str">
        <x:v>Device-Calendar Manual Import and Export</x:v>
      </x:c>
      <x:c r="J425" s="46" t="str">
        <x:v>Domain test / Integration test</x:v>
      </x:c>
      <x:c r="K425" s="46" t="str">
        <x:v>Complete</x:v>
      </x:c>
      <x:c r="L425" s="47"/>
    </x:row>
    <x:row r="426" ht="42" customHeight="1">
      <x:c r="A426" s="45" t="str">
        <x:v>FR-V-008</x:v>
      </x:c>
      <x:c r="B426" s="46" t="str">
        <x:v>V. Device-Calendar Manual Import and Export</x:v>
      </x:c>
      <x:c r="C426" s="46" t="str">
        <x:v>External provider IDs shall never become Next Transfer primary keys.</x:v>
      </x:c>
      <x:c r="D426" s="46" t="str">
        <x:v>BR-V-005, BR-V-007, BR-V-010</x:v>
      </x:c>
      <x:c r="E426" s="46" t="str">
        <x:v>ADR-009 — Domain Ownership and Relationship Model; ADR-022 — Notifications, Background Work, and Calendar Integration</x:v>
      </x:c>
      <x:c r="F426" s="46" t="str">
        <x:v>AC-V-008</x:v>
      </x:c>
      <x:c r="G426" s="46" t="str">
        <x:v>Yes</x:v>
      </x:c>
      <x:c r="H426" s="46" t="str">
        <x:v>V1</x:v>
      </x:c>
      <x:c r="I426" s="46" t="str">
        <x:v>Device-Calendar Manual Import and Export</x:v>
      </x:c>
      <x:c r="J426" s="46" t="str">
        <x:v>Integration test</x:v>
      </x:c>
      <x:c r="K426" s="46" t="str">
        <x:v>Complete</x:v>
      </x:c>
      <x:c r="L426" s="47"/>
    </x:row>
    <x:row r="427" ht="42" customHeight="1">
      <x:c r="A427" s="45" t="str">
        <x:v>FR-V-009</x:v>
      </x:c>
      <x:c r="B427" s="46" t="str">
        <x:v>V. Device-Calendar Manual Import and Export</x:v>
      </x:c>
      <x:c r="C427" s="46" t="str">
        <x:v>A past imported external event shall remain without a happened outcome until valid Next Transfer reporting occurs.</x:v>
      </x:c>
      <x:c r="D427" s="46" t="str">
        <x:v>BR-V-005, BR-V-007, BR-V-010</x:v>
      </x:c>
      <x:c r="E427" s="46" t="str">
        <x:v>ADR-022 — Notifications, Background Work, and Calendar Integration</x:v>
      </x:c>
      <x:c r="F427" s="46" t="str">
        <x:v>AC-V-009</x:v>
      </x:c>
      <x:c r="G427" s="46" t="str">
        <x:v>Yes</x:v>
      </x:c>
      <x:c r="H427" s="46" t="str">
        <x:v>V1</x:v>
      </x:c>
      <x:c r="I427" s="46" t="str">
        <x:v>Device-Calendar Manual Import and Export</x:v>
      </x:c>
      <x:c r="J427" s="46" t="str">
        <x:v>Domain test / Integration test</x:v>
      </x:c>
      <x:c r="K427" s="46" t="str">
        <x:v>Complete</x:v>
      </x:c>
      <x:c r="L427" s="47"/>
    </x:row>
    <x:row r="428" ht="42" customHeight="1">
      <x:c r="A428" s="45" t="str">
        <x:v>FR-V-010</x:v>
      </x:c>
      <x:c r="B428" s="46" t="str">
        <x:v>V. Device-Calendar Manual Import and Export</x:v>
      </x:c>
      <x:c r="C428" s="46" t="str">
        <x:v>Manual import or export shall not create Actual or Activity Ledger contributions.</x:v>
      </x:c>
      <x:c r="D428" s="46" t="str">
        <x:v>BR-V-004, BR-V-008, BR-V-012</x:v>
      </x:c>
      <x:c r="E428" s="46" t="str">
        <x:v>ADR-005 — Confirmed-Source Progress and Read-Only Actuals; ADR-022 — Notifications, Background Work, and Calendar Integration</x:v>
      </x:c>
      <x:c r="F428" s="46" t="str">
        <x:v>AC-V-010</x:v>
      </x:c>
      <x:c r="G428" s="46" t="str">
        <x:v>Yes</x:v>
      </x:c>
      <x:c r="H428" s="46" t="str">
        <x:v>V1</x:v>
      </x:c>
      <x:c r="I428" s="46" t="str">
        <x:v>Device-Calendar Manual Import and Export</x:v>
      </x:c>
      <x:c r="J428" s="46" t="str">
        <x:v>Domain test / Database test / Integration test</x:v>
      </x:c>
      <x:c r="K428" s="46" t="str">
        <x:v>Complete</x:v>
      </x:c>
      <x:c r="L428" s="47" t="str">
        <x:v>OPD-5-006</x:v>
      </x:c>
    </x:row>
    <x:row r="429" ht="42" customHeight="1">
      <x:c r="A429" s="45" t="str">
        <x:v>FR-V-011</x:v>
      </x:c>
      <x:c r="B429" s="46" t="str">
        <x:v>V. Device-Calendar Manual Import and Export</x:v>
      </x:c>
      <x:c r="C429" s="46" t="str">
        <x:v>Duplicate detection shall prioritize external event ID, iCal UID, recurring-series identity and occurrence date, then exact event fingerprints.</x:v>
      </x:c>
      <x:c r="D429" s="46" t="str">
        <x:v>BR-V-007, BR-V-009, BR-V-010</x:v>
      </x:c>
      <x:c r="E429" s="46" t="str">
        <x:v>ADR-009 — Domain Ownership and Relationship Model; ADR-022 — Notifications, Background Work, and Calendar Integration</x:v>
      </x:c>
      <x:c r="F429" s="46" t="str">
        <x:v>AC-V-011</x:v>
      </x:c>
      <x:c r="G429" s="46" t="str">
        <x:v>No</x:v>
      </x:c>
      <x:c r="H429" s="46" t="str">
        <x:v>V1</x:v>
      </x:c>
      <x:c r="I429" s="46" t="str">
        <x:v>Device-Calendar Manual Import and Export</x:v>
      </x:c>
      <x:c r="J429" s="46" t="str">
        <x:v>Domain test / Integration test</x:v>
      </x:c>
      <x:c r="K429" s="46" t="str">
        <x:v>Complete</x:v>
      </x:c>
      <x:c r="L429" s="47" t="str">
        <x:v>OPD-5-009</x:v>
      </x:c>
    </x:row>
    <x:row r="430" ht="42" customHeight="1">
      <x:c r="A430" s="45" t="str">
        <x:v>FR-V-012</x:v>
      </x:c>
      <x:c r="B430" s="46" t="str">
        <x:v>V. Device-Calendar Manual Import and Export</x:v>
      </x:c>
      <x:c r="C430" s="46" t="str">
        <x:v>Deleting or modifying an external event shall not automatically delete or modify its internal Next Transfer copy.</x:v>
      </x:c>
      <x:c r="D430" s="46" t="str">
        <x:v>BR-V-005, BR-V-010, BR-V-011</x:v>
      </x:c>
      <x:c r="E430" s="46" t="str">
        <x:v>ADR-022 — Notifications, Background Work, and Calendar Integration</x:v>
      </x:c>
      <x:c r="F430" s="46" t="str">
        <x:v>AC-V-012</x:v>
      </x:c>
      <x:c r="G430" s="46" t="str">
        <x:v>Yes</x:v>
      </x:c>
      <x:c r="H430" s="46" t="str">
        <x:v>V1</x:v>
      </x:c>
      <x:c r="I430" s="46" t="str">
        <x:v>Device-Calendar Manual Import and Export</x:v>
      </x:c>
      <x:c r="J430" s="46" t="str">
        <x:v>Integration test</x:v>
      </x:c>
      <x:c r="K430" s="46" t="str">
        <x:v>Complete</x:v>
      </x:c>
      <x:c r="L430" s="47"/>
    </x:row>
    <x:row r="431" ht="42" customHeight="1">
      <x:c r="A431" s="45" t="str">
        <x:v>FR-V-013</x:v>
      </x:c>
      <x:c r="B431" s="46" t="str">
        <x:v>V. Device-Calendar Manual Import and Export</x:v>
      </x:c>
      <x:c r="C431" s="46" t="str">
        <x:v>Deleting or modifying an internal event shall not silently delete or modify its external copy.</x:v>
      </x:c>
      <x:c r="D431" s="46" t="str">
        <x:v>BR-V-007, BR-V-010, BR-V-011</x:v>
      </x:c>
      <x:c r="E431" s="46" t="str">
        <x:v>ADR-022 — Notifications, Background Work, and Calendar Integration</x:v>
      </x:c>
      <x:c r="F431" s="46" t="str">
        <x:v>AC-V-013</x:v>
      </x:c>
      <x:c r="G431" s="46" t="str">
        <x:v>Yes</x:v>
      </x:c>
      <x:c r="H431" s="46" t="str">
        <x:v>V1</x:v>
      </x:c>
      <x:c r="I431" s="46" t="str">
        <x:v>Device-Calendar Manual Import and Export</x:v>
      </x:c>
      <x:c r="J431" s="46" t="str">
        <x:v>Integration test</x:v>
      </x:c>
      <x:c r="K431" s="46" t="str">
        <x:v>Complete</x:v>
      </x:c>
      <x:c r="L431" s="47"/>
    </x:row>
    <x:row r="432" ht="42" customHeight="1">
      <x:c r="A432" s="45" t="str">
        <x:v>FR-V-014</x:v>
      </x:c>
      <x:c r="B432" s="46" t="str">
        <x:v>V. Device-Calendar Manual Import and Export</x:v>
      </x:c>
      <x:c r="C432" s="46" t="str">
        <x:v>Revoking calendar permission shall preserve all internal Planner records and mapping metadata already stored locally.</x:v>
      </x:c>
      <x:c r="D432" s="46" t="str">
        <x:v>BR-V-003, BR-V-006, BR-V-011</x:v>
      </x:c>
      <x:c r="E432" s="46" t="str">
        <x:v>ADR-021 — Security, Privacy, Permissions, and Sensitive Data; ADR-022 — Notifications, Background Work, and Calendar Integration</x:v>
      </x:c>
      <x:c r="F432" s="46" t="str">
        <x:v>AC-V-014</x:v>
      </x:c>
      <x:c r="G432" s="46" t="str">
        <x:v>Yes</x:v>
      </x:c>
      <x:c r="H432" s="46" t="str">
        <x:v>V1</x:v>
      </x:c>
      <x:c r="I432" s="46" t="str">
        <x:v>Device-Calendar Manual Import and Export</x:v>
      </x:c>
      <x:c r="J432" s="46" t="str">
        <x:v>Database test / Widget test / Integration test</x:v>
      </x:c>
      <x:c r="K432" s="46" t="str">
        <x:v>Complete</x:v>
      </x:c>
      <x:c r="L432" s="47"/>
    </x:row>
    <x:row r="433" ht="42" customHeight="1">
      <x:c r="A433" s="45" t="str">
        <x:v>FR-V-015</x:v>
      </x:c>
      <x:c r="B433" s="46" t="str">
        <x:v>V. Device-Calendar Manual Import and Export</x:v>
      </x:c>
      <x:c r="C433" s="46" t="str">
        <x:v>Sensitive descriptions, private reflections, and Extra Private fields shall be excluded from export by default.</x:v>
      </x:c>
      <x:c r="D433" s="46" t="str">
        <x:v>BR-V-007, BR-V-008, BR-V-012</x:v>
      </x:c>
      <x:c r="E433" s="46" t="str">
        <x:v>ADR-021 — Security, Privacy, Permissions, and Sensitive Data; ADR-022 — Notifications, Background Work, and Calendar Integration</x:v>
      </x:c>
      <x:c r="F433" s="46" t="str">
        <x:v>AC-V-015</x:v>
      </x:c>
      <x:c r="G433" s="46" t="str">
        <x:v>No</x:v>
      </x:c>
      <x:c r="H433" s="46" t="str">
        <x:v>V1</x:v>
      </x:c>
      <x:c r="I433" s="46" t="str">
        <x:v>Device-Calendar Manual Import and Export</x:v>
      </x:c>
      <x:c r="J433" s="46" t="str">
        <x:v>Integration test</x:v>
      </x:c>
      <x:c r="K433" s="46" t="str">
        <x:v>Complete</x:v>
      </x:c>
      <x:c r="L433" s="47" t="str">
        <x:v>OPD-5-007</x:v>
      </x:c>
    </x:row>
    <x:row r="434" ht="42" customHeight="1">
      <x:c r="A434" s="45" t="str">
        <x:v>FR-V-016</x:v>
      </x:c>
      <x:c r="B434" s="46" t="str">
        <x:v>V. Device-Calendar Manual Import and Export</x:v>
      </x:c>
      <x:c r="C434" s="46" t="str">
        <x:v>be able to review which fields will be exported before commit.</x:v>
      </x:c>
      <x:c r="D434" s="46" t="str">
        <x:v>BR-V-004, BR-V-012</x:v>
      </x:c>
      <x:c r="E434" s="46" t="str">
        <x:v>ADR-022 — Notifications, Background Work, and Calendar Integration</x:v>
      </x:c>
      <x:c r="F434" s="46" t="str">
        <x:v>AC-V-016</x:v>
      </x:c>
      <x:c r="G434" s="46" t="str">
        <x:v>No</x:v>
      </x:c>
      <x:c r="H434" s="46" t="str">
        <x:v>V1</x:v>
      </x:c>
      <x:c r="I434" s="46" t="str">
        <x:v>Device-Calendar Manual Import and Export</x:v>
      </x:c>
      <x:c r="J434" s="46" t="str">
        <x:v>Widget test / Integration test</x:v>
      </x:c>
      <x:c r="K434" s="46" t="str">
        <x:v>Complete</x:v>
      </x:c>
      <x:c r="L434" s="47"/>
    </x:row>
    <x:row r="435" ht="42" customHeight="1">
      <x:c r="A435" s="45" t="str">
        <x:v>FR-V-017</x:v>
      </x:c>
      <x:c r="B435" s="46" t="str">
        <x:v>V. Device-Calendar Manual Import and Export</x:v>
      </x:c>
      <x:c r="C435" s="46" t="str">
        <x:v>Recurring external events shall be imported with stable series and occurrence mapping where supported.</x:v>
      </x:c>
      <x:c r="D435" s="46" t="str">
        <x:v>BR-V-004, BR-V-005, BR-V-007</x:v>
      </x:c>
      <x:c r="E435" s="46" t="str">
        <x:v>ADR-022 — Notifications, Background Work, and Calendar Integration</x:v>
      </x:c>
      <x:c r="F435" s="46" t="str">
        <x:v>AC-V-017</x:v>
      </x:c>
      <x:c r="G435" s="46" t="str">
        <x:v>No</x:v>
      </x:c>
      <x:c r="H435" s="46" t="str">
        <x:v>V1</x:v>
      </x:c>
      <x:c r="I435" s="46" t="str">
        <x:v>Device-Calendar Manual Import and Export</x:v>
      </x:c>
      <x:c r="J435" s="46" t="str">
        <x:v>Integration test</x:v>
      </x:c>
      <x:c r="K435" s="46" t="str">
        <x:v>Complete</x:v>
      </x:c>
      <x:c r="L435" s="47" t="str">
        <x:v>OPD-5-006</x:v>
      </x:c>
    </x:row>
    <x:row r="436" ht="42" customHeight="1">
      <x:c r="A436" s="45" t="str">
        <x:v>FR-V-018</x:v>
      </x:c>
      <x:c r="B436" s="46" t="str">
        <x:v>V. Device-Calendar Manual Import and Export</x:v>
      </x:c>
      <x:c r="C436" s="46" t="str">
        <x:v>Manual re-import and re-export shall avoid duplicate internal or external copies when stable mapping exists.</x:v>
      </x:c>
      <x:c r="D436" s="46" t="str">
        <x:v>BR-V-004, BR-V-008, BR-V-010</x:v>
      </x:c>
      <x:c r="E436" s="46" t="str">
        <x:v>ADR-022 — Notifications, Background Work, and Calendar Integration</x:v>
      </x:c>
      <x:c r="F436" s="46" t="str">
        <x:v>AC-V-018</x:v>
      </x:c>
      <x:c r="G436" s="46" t="str">
        <x:v>No</x:v>
      </x:c>
      <x:c r="H436" s="46" t="str">
        <x:v>V1</x:v>
      </x:c>
      <x:c r="I436" s="46" t="str">
        <x:v>Device-Calendar Manual Import and Export</x:v>
      </x:c>
      <x:c r="J436" s="46" t="str">
        <x:v>Domain test / Integration test</x:v>
      </x:c>
      <x:c r="K436" s="46" t="str">
        <x:v>Complete</x:v>
      </x:c>
      <x:c r="L436" s="47" t="str">
        <x:v>OPD-5-006</x:v>
      </x:c>
    </x:row>
    <x:row r="437" ht="42" customHeight="1">
      <x:c r="A437" s="45" t="str">
        <x:v>FR-V-019</x:v>
      </x:c>
      <x:c r="B437" s="46" t="str">
        <x:v>V. Device-Calendar Manual Import and Export</x:v>
      </x:c>
      <x:c r="C437" s="46" t="str">
        <x:v>Unsupported provider fields or recurrence patterns shall be disclosed before import.</x:v>
      </x:c>
      <x:c r="D437" s="46" t="str">
        <x:v>BR-V-004, BR-V-008, BR-V-012</x:v>
      </x:c>
      <x:c r="E437" s="46" t="str">
        <x:v>ADR-022 — Notifications, Background Work, and Calendar Integration</x:v>
      </x:c>
      <x:c r="F437" s="46" t="str">
        <x:v>AC-V-019</x:v>
      </x:c>
      <x:c r="G437" s="46" t="str">
        <x:v>No</x:v>
      </x:c>
      <x:c r="H437" s="46" t="str">
        <x:v>V1</x:v>
      </x:c>
      <x:c r="I437" s="46" t="str">
        <x:v>Device-Calendar Manual Import and Export</x:v>
      </x:c>
      <x:c r="J437" s="46" t="str">
        <x:v>Integration test</x:v>
      </x:c>
      <x:c r="K437" s="46" t="str">
        <x:v>Complete</x:v>
      </x:c>
      <x:c r="L437" s="47" t="str">
        <x:v>OPD-5-008, OPD-5-009</x:v>
      </x:c>
    </x:row>
    <x:row r="438" ht="42" customHeight="1">
      <x:c r="A438" s="45" t="str">
        <x:v>FR-V-020</x:v>
      </x:c>
      <x:c r="B438" s="46" t="str">
        <x:v>V. Device-Calendar Manual Import and Export</x:v>
      </x:c>
      <x:c r="C438" s="46" t="str">
        <x:v>Continuous or automatic two-way device-calendar synchronization shall remain deferred.</x:v>
      </x:c>
      <x:c r="D438" s="46" t="str">
        <x:v>BR-V-002, BR-V-003, BR-V-013</x:v>
      </x:c>
      <x:c r="E438" s="46" t="str">
        <x:v>ADR-022 — Notifications, Background Work, and Calendar Integration; ADR-007 — Small Core V1 Scope</x:v>
      </x:c>
      <x:c r="F438" s="46" t="str">
        <x:v>AC-V-020</x:v>
      </x:c>
      <x:c r="G438" s="46" t="str">
        <x:v>No</x:v>
      </x:c>
      <x:c r="H438" s="46" t="str">
        <x:v>Deferred</x:v>
      </x:c>
      <x:c r="I438" s="46" t="str">
        <x:v>Device-Calendar Manual Import and Export</x:v>
      </x:c>
      <x:c r="J438" s="46" t="str">
        <x:v>Integration test</x:v>
      </x:c>
      <x:c r="K438" s="46" t="str">
        <x:v>Deferred</x:v>
      </x:c>
      <x:c r="L438" s="47" t="str">
        <x:v>OPD-5-005</x:v>
      </x:c>
    </x:row>
    <x:row r="439" ht="42" customHeight="1">
      <x:c r="A439" s="45" t="str">
        <x:v>FR-W-001</x:v>
      </x:c>
      <x:c r="B439" s="46" t="str">
        <x:v>W. Privacy Lock, Permissions, and Privacy Center</x:v>
      </x:c>
      <x:c r="C439" s="46" t="str">
        <x:v>Core V1 workflows shall remain usable when all optional Android permissions are denied.</x:v>
      </x:c>
      <x:c r="D439" s="46" t="str">
        <x:v>BR-W-001, BR-W-006, BR-W-013</x:v>
      </x:c>
      <x:c r="E439" s="46" t="str">
        <x:v>ADR-021 — Security, Privacy, Permissions, and Sensitive Data</x:v>
      </x:c>
      <x:c r="F439" s="46" t="str">
        <x:v>AC-W-001</x:v>
      </x:c>
      <x:c r="G439" s="46" t="str">
        <x:v>Yes</x:v>
      </x:c>
      <x:c r="H439" s="46" t="str">
        <x:v>V1</x:v>
      </x:c>
      <x:c r="I439" s="46" t="str">
        <x:v>Privacy Lock, Permissions, and Privacy Center</x:v>
      </x:c>
      <x:c r="J439" s="46" t="str">
        <x:v>Widget test</x:v>
      </x:c>
      <x:c r="K439" s="46" t="str">
        <x:v>Complete</x:v>
      </x:c>
      <x:c r="L439" s="47"/>
    </x:row>
    <x:row r="440" ht="42" customHeight="1">
      <x:c r="A440" s="45" t="str">
        <x:v>FR-W-002</x:v>
      </x:c>
      <x:c r="B440" s="46" t="str">
        <x:v>W. Privacy Lock, Permissions, and Privacy Center</x:v>
      </x:c>
      <x:c r="C440" s="46" t="str">
        <x:v>Permissions shall be requested just in time and only for the selected feature.</x:v>
      </x:c>
      <x:c r="D440" s="46" t="str">
        <x:v>BR-W-001, BR-W-002, BR-W-009</x:v>
      </x:c>
      <x:c r="E440" s="46" t="str">
        <x:v>ADR-021 — Security, Privacy, Permissions, and Sensitive Data</x:v>
      </x:c>
      <x:c r="F440" s="46" t="str">
        <x:v>AC-W-002</x:v>
      </x:c>
      <x:c r="G440" s="46" t="str">
        <x:v>Yes</x:v>
      </x:c>
      <x:c r="H440" s="46" t="str">
        <x:v>V1</x:v>
      </x:c>
      <x:c r="I440" s="46" t="str">
        <x:v>Privacy Lock, Permissions, and Privacy Center</x:v>
      </x:c>
      <x:c r="J440" s="46" t="str">
        <x:v>Widget test</x:v>
      </x:c>
      <x:c r="K440" s="46" t="str">
        <x:v>Complete</x:v>
      </x:c>
      <x:c r="L440" s="47"/>
    </x:row>
    <x:row r="441" ht="42" customHeight="1">
      <x:c r="A441" s="45" t="str">
        <x:v>FR-W-003</x:v>
      </x:c>
      <x:c r="B441" s="46" t="str">
        <x:v>W. Privacy Lock, Permissions, and Privacy Center</x:v>
      </x:c>
      <x:c r="C441" s="46" t="str">
        <x:v>Privacy Lock shall use operating-system biometric or device-credential authentication where available.</x:v>
      </x:c>
      <x:c r="D441" s="46" t="str">
        <x:v>BR-W-003, BR-W-007, BR-W-013</x:v>
      </x:c>
      <x:c r="E441" s="46" t="str">
        <x:v>ADR-021 — Security, Privacy, Permissions, and Sensitive Data</x:v>
      </x:c>
      <x:c r="F441" s="46" t="str">
        <x:v>AC-W-003</x:v>
      </x:c>
      <x:c r="G441" s="46" t="str">
        <x:v>Yes</x:v>
      </x:c>
      <x:c r="H441" s="46" t="str">
        <x:v>V1</x:v>
      </x:c>
      <x:c r="I441" s="46" t="str">
        <x:v>Privacy Lock, Permissions, and Privacy Center</x:v>
      </x:c>
      <x:c r="J441" s="46" t="str">
        <x:v>Domain test</x:v>
      </x:c>
      <x:c r="K441" s="46" t="str">
        <x:v>Complete</x:v>
      </x:c>
      <x:c r="L441" s="47" t="str">
        <x:v>OPD-5-010, OPD-1-002</x:v>
      </x:c>
    </x:row>
    <x:row r="442" ht="42" customHeight="1">
      <x:c r="A442" s="45" t="str">
        <x:v>FR-W-004</x:v>
      </x:c>
      <x:c r="B442" s="46" t="str">
        <x:v>W. Privacy Lock, Permissions, and Privacy Center</x:v>
      </x:c>
      <x:c r="C442" s="46" t="str">
        <x:v>not store biometric data.</x:v>
      </x:c>
      <x:c r="D442" s="46" t="str">
        <x:v>BR-W-003, BR-W-004, BR-W-008</x:v>
      </x:c>
      <x:c r="E442" s="46" t="str">
        <x:v>ADR-021 — Security, Privacy, Permissions, and Sensitive Data</x:v>
      </x:c>
      <x:c r="F442" s="46" t="str">
        <x:v>AC-W-004</x:v>
      </x:c>
      <x:c r="G442" s="46" t="str">
        <x:v>Yes</x:v>
      </x:c>
      <x:c r="H442" s="46" t="str">
        <x:v>V1</x:v>
      </x:c>
      <x:c r="I442" s="46" t="str">
        <x:v>Privacy Lock, Permissions, and Privacy Center</x:v>
      </x:c>
      <x:c r="J442" s="46" t="str">
        <x:v>Domain test</x:v>
      </x:c>
      <x:c r="K442" s="46" t="str">
        <x:v>Complete</x:v>
      </x:c>
      <x:c r="L442" s="47"/>
    </x:row>
    <x:row r="443" ht="42" customHeight="1">
      <x:c r="A443" s="45" t="str">
        <x:v>FR-W-005</x:v>
      </x:c>
      <x:c r="B443" s="46" t="str">
        <x:v>W. Privacy Lock, Permissions, and Privacy Center</x:v>
      </x:c>
      <x:c r="C443" s="46" t="str">
        <x:v>Privacy Lock failure shall not delete, reset, or corrupt local data.</x:v>
      </x:c>
      <x:c r="D443" s="46" t="str">
        <x:v>BR-W-003, BR-W-004, BR-W-013</x:v>
      </x:c>
      <x:c r="E443" s="46" t="str">
        <x:v>ADR-021 — Security, Privacy, Permissions, and Sensitive Data; ADR-023 — Testing, Observability, Diagnostics, and Quality Strategy</x:v>
      </x:c>
      <x:c r="F443" s="46" t="str">
        <x:v>AC-W-005</x:v>
      </x:c>
      <x:c r="G443" s="46" t="str">
        <x:v>Yes</x:v>
      </x:c>
      <x:c r="H443" s="46" t="str">
        <x:v>V1</x:v>
      </x:c>
      <x:c r="I443" s="46" t="str">
        <x:v>Privacy Lock, Permissions, and Privacy Center</x:v>
      </x:c>
      <x:c r="J443" s="46" t="str">
        <x:v>Domain test</x:v>
      </x:c>
      <x:c r="K443" s="46" t="str">
        <x:v>Complete</x:v>
      </x:c>
      <x:c r="L443" s="47" t="str">
        <x:v>OPD-1-003</x:v>
      </x:c>
    </x:row>
    <x:row r="444" ht="42" customHeight="1">
      <x:c r="A444" s="45" t="str">
        <x:v>FR-W-006</x:v>
      </x:c>
      <x:c r="B444" s="46" t="str">
        <x:v>W. Privacy Lock, Permissions, and Privacy Center</x:v>
      </x:c>
      <x:c r="C444" s="46" t="str">
        <x:v>Sensitive content shall be obscured in app-switcher previews where supported.</x:v>
      </x:c>
      <x:c r="D444" s="46" t="str">
        <x:v>BR-W-005</x:v>
      </x:c>
      <x:c r="E444" s="46" t="str">
        <x:v>ADR-021 — Security, Privacy, Permissions, and Sensitive Data</x:v>
      </x:c>
      <x:c r="F444" s="46" t="str">
        <x:v>AC-W-006</x:v>
      </x:c>
      <x:c r="G444" s="46" t="str">
        <x:v>Yes</x:v>
      </x:c>
      <x:c r="H444" s="46" t="str">
        <x:v>V1</x:v>
      </x:c>
      <x:c r="I444" s="46" t="str">
        <x:v>Privacy Lock, Permissions, and Privacy Center</x:v>
      </x:c>
      <x:c r="J444" s="46" t="str">
        <x:v>Widget test</x:v>
      </x:c>
      <x:c r="K444" s="46" t="str">
        <x:v>Complete</x:v>
      </x:c>
      <x:c r="L444" s="47" t="str">
        <x:v>OPD-5-012</x:v>
      </x:c>
    </x:row>
    <x:row r="445" ht="42" customHeight="1">
      <x:c r="A445" s="45" t="str">
        <x:v>FR-W-007</x:v>
      </x:c>
      <x:c r="B445" s="46" t="str">
        <x:v>W. Privacy Lock, Permissions, and Privacy Center</x:v>
      </x:c>
      <x:c r="C445" s="46" t="str">
        <x:v>Notification previews shall follow the user’s privacy settings and obscure sensitive content where supported.</x:v>
      </x:c>
      <x:c r="D445" s="46" t="str">
        <x:v>BR-W-005, BR-W-010, BR-W-013</x:v>
      </x:c>
      <x:c r="E445" s="46" t="str">
        <x:v>ADR-021 — Security, Privacy, Permissions, and Sensitive Data</x:v>
      </x:c>
      <x:c r="F445" s="46" t="str">
        <x:v>AC-W-007</x:v>
      </x:c>
      <x:c r="G445" s="46" t="str">
        <x:v>Yes</x:v>
      </x:c>
      <x:c r="H445" s="46" t="str">
        <x:v>V1</x:v>
      </x:c>
      <x:c r="I445" s="46" t="str">
        <x:v>Privacy Lock, Permissions, and Privacy Center</x:v>
      </x:c>
      <x:c r="J445" s="46" t="str">
        <x:v>Widget test</x:v>
      </x:c>
      <x:c r="K445" s="46" t="str">
        <x:v>Complete</x:v>
      </x:c>
      <x:c r="L445" s="47"/>
    </x:row>
    <x:row r="446" ht="42" customHeight="1">
      <x:c r="A446" s="45" t="str">
        <x:v>FR-W-008</x:v>
      </x:c>
      <x:c r="B446" s="46" t="str">
        <x:v>W. Privacy Lock, Permissions, and Privacy Center</x:v>
      </x:c>
      <x:c r="C446" s="46" t="str">
        <x:v>The Privacy Center shall explain local storage, optional cloud synchronization, and local-only records.</x:v>
      </x:c>
      <x:c r="D446" s="46" t="str">
        <x:v>BR-W-009, BR-W-011, BR-W-013</x:v>
      </x:c>
      <x:c r="E446" s="46" t="str">
        <x:v>ADR-021 — Security, Privacy, Permissions, and Sensitive Data</x:v>
      </x:c>
      <x:c r="F446" s="46" t="str">
        <x:v>AC-W-008</x:v>
      </x:c>
      <x:c r="G446" s="46" t="str">
        <x:v>Yes</x:v>
      </x:c>
      <x:c r="H446" s="46" t="str">
        <x:v>V1</x:v>
      </x:c>
      <x:c r="I446" s="46" t="str">
        <x:v>Privacy Lock, Permissions, and Privacy Center</x:v>
      </x:c>
      <x:c r="J446" s="46" t="str">
        <x:v>Integration test</x:v>
      </x:c>
      <x:c r="K446" s="46" t="str">
        <x:v>Complete</x:v>
      </x:c>
      <x:c r="L446" s="47"/>
    </x:row>
    <x:row r="447" ht="42" customHeight="1">
      <x:c r="A447" s="45" t="str">
        <x:v>FR-W-009</x:v>
      </x:c>
      <x:c r="B447" s="46" t="str">
        <x:v>W. Privacy Lock, Permissions, and Privacy Center</x:v>
      </x:c>
      <x:c r="C447" s="46" t="str">
        <x:v>The Privacy Center shall explain imported contacts, attachments, permissions, diagnostics, export, backup, and deletion.</x:v>
      </x:c>
      <x:c r="D447" s="46" t="str">
        <x:v>BR-W-006, BR-W-010, BR-W-013</x:v>
      </x:c>
      <x:c r="E447" s="46" t="str">
        <x:v>ADR-017 — Local Backup, Export, Restore, and Disaster Recovery; ADR-021 — Security, Privacy, Permissions, and Sensitive Data; ADR-023 — Testing, Observability, Diagnostics, and Quality Strategy</x:v>
      </x:c>
      <x:c r="F447" s="46" t="str">
        <x:v>AC-W-009</x:v>
      </x:c>
      <x:c r="G447" s="46" t="str">
        <x:v>Yes</x:v>
      </x:c>
      <x:c r="H447" s="46" t="str">
        <x:v>V1</x:v>
      </x:c>
      <x:c r="I447" s="46" t="str">
        <x:v>Privacy Lock, Permissions, and Privacy Center</x:v>
      </x:c>
      <x:c r="J447" s="46" t="str">
        <x:v>Database test / Widget test / Integration test</x:v>
      </x:c>
      <x:c r="K447" s="46" t="str">
        <x:v>Complete</x:v>
      </x:c>
      <x:c r="L447" s="47"/>
    </x:row>
    <x:row r="448" ht="42" customHeight="1">
      <x:c r="A448" s="45" t="str">
        <x:v>FR-W-010</x:v>
      </x:c>
      <x:c r="B448" s="46" t="str">
        <x:v>W. Privacy Lock, Permissions, and Privacy Center</x:v>
      </x:c>
      <x:c r="C448" s="46" t="str">
        <x:v>Raw BetterCalendar backup files shall remain local and shall never enter Supabase, analytics, diagnostics, or the synchronization outbox.</x:v>
      </x:c>
      <x:c r="D448" s="46" t="str">
        <x:v>BR-W-006, BR-W-009, BR-W-013</x:v>
      </x:c>
      <x:c r="E448" s="46" t="str">
        <x:v>ADR-014 — External Data Import and BetterCalendar Migration; ADR-017 — Local Backup, Export, Restore, and Disaster Recovery; ADR-021 — Security, Privacy, Permissions, and Sensitive Data; ADR-015 — Supabase PostgreSQL Schema and Row Level Security; ADR-023 — Testing, Observability, Diagnostics, and Quality Strategy</x:v>
      </x:c>
      <x:c r="F448" s="46" t="str">
        <x:v>AC-W-010</x:v>
      </x:c>
      <x:c r="G448" s="46" t="str">
        <x:v>Yes</x:v>
      </x:c>
      <x:c r="H448" s="46" t="str">
        <x:v>V1</x:v>
      </x:c>
      <x:c r="I448" s="46" t="str">
        <x:v>Privacy Lock, Permissions, and Privacy Center</x:v>
      </x:c>
      <x:c r="J448" s="46" t="str">
        <x:v>Database test / Integration test / RLS test</x:v>
      </x:c>
      <x:c r="K448" s="46" t="str">
        <x:v>Complete</x:v>
      </x:c>
      <x:c r="L448" s="47"/>
    </x:row>
    <x:row r="449" ht="42" customHeight="1">
      <x:c r="A449" s="45" t="str">
        <x:v>FR-W-011</x:v>
      </x:c>
      <x:c r="B449" s="46" t="str">
        <x:v>W. Privacy Lock, Permissions, and Privacy Center</x:v>
      </x:c>
      <x:c r="C449" s="46" t="str">
        <x:v>Authentication tokens shall use secure device storage and shall not be stored in Drift or portable backups.</x:v>
      </x:c>
      <x:c r="D449" s="46" t="str">
        <x:v>BR-W-007, BR-W-011, BR-W-013</x:v>
      </x:c>
      <x:c r="E449" s="46" t="str">
        <x:v>ADR-017 — Local Backup, Export, Restore, and Disaster Recovery; ADR-021 — Security, Privacy, Permissions, and Sensitive Data</x:v>
      </x:c>
      <x:c r="F449" s="46" t="str">
        <x:v>AC-W-011</x:v>
      </x:c>
      <x:c r="G449" s="46" t="str">
        <x:v>Yes</x:v>
      </x:c>
      <x:c r="H449" s="46" t="str">
        <x:v>V1</x:v>
      </x:c>
      <x:c r="I449" s="46" t="str">
        <x:v>Privacy Lock, Permissions, and Privacy Center</x:v>
      </x:c>
      <x:c r="J449" s="46" t="str">
        <x:v>Database test</x:v>
      </x:c>
      <x:c r="K449" s="46" t="str">
        <x:v>Complete</x:v>
      </x:c>
      <x:c r="L449" s="47" t="str">
        <x:v>OPD-5-010</x:v>
      </x:c>
    </x:row>
    <x:row r="450" ht="42" customHeight="1">
      <x:c r="A450" s="45" t="str">
        <x:v>FR-W-012</x:v>
      </x:c>
      <x:c r="B450" s="46" t="str">
        <x:v>W. Privacy Lock, Permissions, and Privacy Center</x:v>
      </x:c>
      <x:c r="C450" s="46" t="str">
        <x:v>Private records and sensitive field values shall be excluded from logs and analytics.</x:v>
      </x:c>
      <x:c r="D450" s="46" t="str">
        <x:v>BR-W-008, BR-W-009, BR-W-012</x:v>
      </x:c>
      <x:c r="E450" s="46" t="str">
        <x:v>ADR-021 — Security, Privacy, Permissions, and Sensitive Data</x:v>
      </x:c>
      <x:c r="F450" s="46" t="str">
        <x:v>AC-W-012</x:v>
      </x:c>
      <x:c r="G450" s="46" t="str">
        <x:v>No</x:v>
      </x:c>
      <x:c r="H450" s="46" t="str">
        <x:v>V1</x:v>
      </x:c>
      <x:c r="I450" s="46" t="str">
        <x:v>Privacy Lock, Permissions, and Privacy Center</x:v>
      </x:c>
      <x:c r="J450" s="46" t="str">
        <x:v>Domain test</x:v>
      </x:c>
      <x:c r="K450" s="46" t="str">
        <x:v>Complete</x:v>
      </x:c>
      <x:c r="L450" s="47" t="str">
        <x:v>OPD-5-013</x:v>
      </x:c>
    </x:row>
    <x:row r="451" ht="42" customHeight="1">
      <x:c r="A451" s="45" t="str">
        <x:v>FR-W-013</x:v>
      </x:c>
      <x:c r="B451" s="46" t="str">
        <x:v>W. Privacy Lock, Permissions, and Privacy Center</x:v>
      </x:c>
      <x:c r="C451" s="46" t="str">
        <x:v>Private reflections shall default to Extra Private or local-only behavior according to the approved privacy model.</x:v>
      </x:c>
      <x:c r="D451" s="46" t="str">
        <x:v>BR-W-009, BR-W-010, BR-W-013</x:v>
      </x:c>
      <x:c r="E451" s="46" t="str">
        <x:v>ADR-021 — Security, Privacy, Permissions, and Sensitive Data</x:v>
      </x:c>
      <x:c r="F451" s="46" t="str">
        <x:v>AC-W-013</x:v>
      </x:c>
      <x:c r="G451" s="46" t="str">
        <x:v>Yes</x:v>
      </x:c>
      <x:c r="H451" s="46" t="str">
        <x:v>V1</x:v>
      </x:c>
      <x:c r="I451" s="46" t="str">
        <x:v>Privacy Lock, Permissions, and Privacy Center</x:v>
      </x:c>
      <x:c r="J451" s="46" t="str">
        <x:v>Domain test</x:v>
      </x:c>
      <x:c r="K451" s="46" t="str">
        <x:v>Complete</x:v>
      </x:c>
      <x:c r="L451" s="47" t="str">
        <x:v>OPD-5-011, OPD-5-013, OPD-3-002</x:v>
      </x:c>
    </x:row>
    <x:row r="452" ht="42" customHeight="1">
      <x:c r="A452" s="45" t="str">
        <x:v>FR-W-014</x:v>
      </x:c>
      <x:c r="B452" s="46" t="str">
        <x:v>W. Privacy Lock, Permissions, and Privacy Center</x:v>
      </x:c>
      <x:c r="C452" s="46" t="str">
        <x:v>Covenant Path records shall not be shared automatically with leaders, family, or mentors.</x:v>
      </x:c>
      <x:c r="D452" s="46" t="str">
        <x:v>BR-W-001</x:v>
      </x:c>
      <x:c r="E452" s="46" t="str">
        <x:v>ADR-021 — Security, Privacy, Permissions, and Sensitive Data; ADR-003 — Private Single-User Data Model</x:v>
      </x:c>
      <x:c r="F452" s="46" t="str">
        <x:v>AC-W-014</x:v>
      </x:c>
      <x:c r="G452" s="46" t="str">
        <x:v>Yes</x:v>
      </x:c>
      <x:c r="H452" s="46" t="str">
        <x:v>V1</x:v>
      </x:c>
      <x:c r="I452" s="46" t="str">
        <x:v>Privacy Lock, Permissions, and Privacy Center</x:v>
      </x:c>
      <x:c r="J452" s="46" t="str">
        <x:v>Domain test</x:v>
      </x:c>
      <x:c r="K452" s="46" t="str">
        <x:v>Complete</x:v>
      </x:c>
      <x:c r="L452" s="47"/>
    </x:row>
    <x:row r="453" ht="42" customHeight="1">
      <x:c r="A453" s="45" t="str">
        <x:v>FR-W-015</x:v>
      </x:c>
      <x:c r="B453" s="46" t="str">
        <x:v>W. Privacy Lock, Permissions, and Privacy Center</x:v>
      </x:c>
      <x:c r="C453" s="46" t="str">
        <x:v>not claim end-to-end encryption or a fully encrypted local database unless implemented and verified.</x:v>
      </x:c>
      <x:c r="D453" s="46" t="str">
        <x:v>BR-W-006, BR-W-009</x:v>
      </x:c>
      <x:c r="E453" s="46" t="str">
        <x:v>ADR-021 — Security, Privacy, Permissions, and Sensitive Data</x:v>
      </x:c>
      <x:c r="F453" s="46" t="str">
        <x:v>AC-W-015</x:v>
      </x:c>
      <x:c r="G453" s="46" t="str">
        <x:v>Yes</x:v>
      </x:c>
      <x:c r="H453" s="46" t="str">
        <x:v>V1</x:v>
      </x:c>
      <x:c r="I453" s="46" t="str">
        <x:v>Privacy Lock, Permissions, and Privacy Center</x:v>
      </x:c>
      <x:c r="J453" s="46" t="str">
        <x:v>Database test / Manual review</x:v>
      </x:c>
      <x:c r="K453" s="46" t="str">
        <x:v>Complete</x:v>
      </x:c>
      <x:c r="L453" s="47" t="str">
        <x:v>OPD-5-014</x:v>
      </x:c>
    </x:row>
    <x:row r="454" ht="42" customHeight="1">
      <x:c r="A454" s="45" t="str">
        <x:v>FR-W-016</x:v>
      </x:c>
      <x:c r="B454" s="46" t="str">
        <x:v>W. Privacy Lock, Permissions, and Privacy Center</x:v>
      </x:c>
      <x:c r="C454" s="46" t="str">
        <x:v>File selection shall use scoped system pickers rather than broad storage permission.</x:v>
      </x:c>
      <x:c r="D454" s="46" t="str">
        <x:v>BR-W-007, BR-W-011</x:v>
      </x:c>
      <x:c r="E454" s="46" t="str">
        <x:v>ADR-021 — Security, Privacy, Permissions, and Sensitive Data</x:v>
      </x:c>
      <x:c r="F454" s="46" t="str">
        <x:v>AC-W-016</x:v>
      </x:c>
      <x:c r="G454" s="46" t="str">
        <x:v>Yes</x:v>
      </x:c>
      <x:c r="H454" s="46" t="str">
        <x:v>V1</x:v>
      </x:c>
      <x:c r="I454" s="46" t="str">
        <x:v>Privacy Lock, Permissions, and Privacy Center</x:v>
      </x:c>
      <x:c r="J454" s="46" t="str">
        <x:v>Widget test</x:v>
      </x:c>
      <x:c r="K454" s="46" t="str">
        <x:v>Complete</x:v>
      </x:c>
      <x:c r="L454" s="47"/>
    </x:row>
    <x:row r="455" ht="42" customHeight="1">
      <x:c r="A455" s="45" t="str">
        <x:v>FR-W-017</x:v>
      </x:c>
      <x:c r="B455" s="46" t="str">
        <x:v>W. Privacy Lock, Permissions, and Privacy Center</x:v>
      </x:c>
      <x:c r="C455" s="46" t="str">
        <x:v>Background location permission shall not be included in V1.</x:v>
      </x:c>
      <x:c r="D455" s="46" t="str">
        <x:v>BR-W-011, BR-W-012</x:v>
      </x:c>
      <x:c r="E455" s="46" t="str">
        <x:v>ADR-021 — Security, Privacy, Permissions, and Sensitive Data</x:v>
      </x:c>
      <x:c r="F455" s="46" t="str">
        <x:v>AC-W-017</x:v>
      </x:c>
      <x:c r="G455" s="46" t="str">
        <x:v>Yes</x:v>
      </x:c>
      <x:c r="H455" s="46" t="str">
        <x:v>V1</x:v>
      </x:c>
      <x:c r="I455" s="46" t="str">
        <x:v>Privacy Lock, Permissions, and Privacy Center</x:v>
      </x:c>
      <x:c r="J455" s="46" t="str">
        <x:v>Widget test / Integration test</x:v>
      </x:c>
      <x:c r="K455" s="46" t="str">
        <x:v>Complete</x:v>
      </x:c>
      <x:c r="L455" s="47"/>
    </x:row>
    <x:row r="456" ht="42" customHeight="1">
      <x:c r="A456" s="45" t="str">
        <x:v>FR-W-018</x:v>
      </x:c>
      <x:c r="B456" s="46" t="str">
        <x:v>W. Privacy Lock, Permissions, and Privacy Center</x:v>
      </x:c>
      <x:c r="C456" s="46" t="str">
        <x:v>be able to review the current status and purpose of every optional permission.</x:v>
      </x:c>
      <x:c r="D456" s="46" t="str">
        <x:v>BR-W-001, BR-W-011</x:v>
      </x:c>
      <x:c r="E456" s="46" t="str">
        <x:v>ADR-021 — Security, Privacy, Permissions, and Sensitive Data</x:v>
      </x:c>
      <x:c r="F456" s="46" t="str">
        <x:v>AC-W-018</x:v>
      </x:c>
      <x:c r="G456" s="46" t="str">
        <x:v>Yes</x:v>
      </x:c>
      <x:c r="H456" s="46" t="str">
        <x:v>V1</x:v>
      </x:c>
      <x:c r="I456" s="46" t="str">
        <x:v>Privacy Lock, Permissions, and Privacy Center</x:v>
      </x:c>
      <x:c r="J456" s="46" t="str">
        <x:v>Domain test / Widget test</x:v>
      </x:c>
      <x:c r="K456" s="46" t="str">
        <x:v>Complete</x:v>
      </x:c>
      <x:c r="L456" s="47"/>
    </x:row>
    <x:row r="457" ht="42" customHeight="1">
      <x:c r="A457" s="45" t="str">
        <x:v>FR-W-019</x:v>
      </x:c>
      <x:c r="B457" s="46" t="str">
        <x:v>W. Privacy Lock, Permissions, and Privacy Center</x:v>
      </x:c>
      <x:c r="C457" s="46" t="str">
        <x:v>be able to revoke or open system settings for optional permissions without losing internal records.</x:v>
      </x:c>
      <x:c r="D457" s="46" t="str">
        <x:v>BR-W-001, BR-W-003, BR-W-011</x:v>
      </x:c>
      <x:c r="E457" s="46" t="str">
        <x:v>ADR-021 — Security, Privacy, Permissions, and Sensitive Data</x:v>
      </x:c>
      <x:c r="F457" s="46" t="str">
        <x:v>AC-W-019</x:v>
      </x:c>
      <x:c r="G457" s="46" t="str">
        <x:v>Yes</x:v>
      </x:c>
      <x:c r="H457" s="46" t="str">
        <x:v>V1</x:v>
      </x:c>
      <x:c r="I457" s="46" t="str">
        <x:v>Privacy Lock, Permissions, and Privacy Center</x:v>
      </x:c>
      <x:c r="J457" s="46" t="str">
        <x:v>Widget test</x:v>
      </x:c>
      <x:c r="K457" s="46" t="str">
        <x:v>Complete</x:v>
      </x:c>
      <x:c r="L457" s="47"/>
    </x:row>
    <x:row r="458" ht="42" customHeight="1">
      <x:c r="A458" s="45" t="str">
        <x:v>FR-W-020</x:v>
      </x:c>
      <x:c r="B458" s="46" t="str">
        <x:v>W. Privacy Lock, Permissions, and Privacy Center</x:v>
      </x:c>
      <x:c r="C458" s="46" t="str">
        <x:v>Privacy Lock and account authentication shall remain separate protections.</x:v>
      </x:c>
      <x:c r="D458" s="46" t="str">
        <x:v>BR-W-003, BR-W-004, BR-W-013</x:v>
      </x:c>
      <x:c r="E458" s="46" t="str">
        <x:v>ADR-021 — Security, Privacy, Permissions, and Sensitive Data</x:v>
      </x:c>
      <x:c r="F458" s="46" t="str">
        <x:v>AC-W-020</x:v>
      </x:c>
      <x:c r="G458" s="46" t="str">
        <x:v>Yes</x:v>
      </x:c>
      <x:c r="H458" s="46" t="str">
        <x:v>V1</x:v>
      </x:c>
      <x:c r="I458" s="46" t="str">
        <x:v>Privacy Lock, Permissions, and Privacy Center</x:v>
      </x:c>
      <x:c r="J458" s="46" t="str">
        <x:v>Domain test</x:v>
      </x:c>
      <x:c r="K458" s="46" t="str">
        <x:v>Complete</x:v>
      </x:c>
      <x:c r="L458" s="47" t="str">
        <x:v>OPD-5-010, OPD-1-002</x:v>
      </x:c>
    </x:row>
    <x:row r="459" ht="42" customHeight="1">
      <x:c r="A459" s="45" t="str">
        <x:v>FR-W-021</x:v>
      </x:c>
      <x:c r="B459" s="46" t="str">
        <x:v>W. Privacy Lock, Permissions, and Privacy Center</x:v>
      </x:c>
      <x:c r="C459" s="46" t="str">
        <x:v>Destructive privacy and deletion actions shall explain the difference between local data, synchronized data, backups, and source files.</x:v>
      </x:c>
      <x:c r="D459" s="46" t="str">
        <x:v>BR-W-003, BR-W-004, BR-W-006</x:v>
      </x:c>
      <x:c r="E459" s="46" t="str">
        <x:v>ADR-017 — Local Backup, Export, Restore, and Disaster Recovery; ADR-021 — Security, Privacy, Permissions, and Sensitive Data</x:v>
      </x:c>
      <x:c r="F459" s="46" t="str">
        <x:v>AC-W-021</x:v>
      </x:c>
      <x:c r="G459" s="46" t="str">
        <x:v>Yes</x:v>
      </x:c>
      <x:c r="H459" s="46" t="str">
        <x:v>V1</x:v>
      </x:c>
      <x:c r="I459" s="46" t="str">
        <x:v>Privacy Lock, Permissions, and Privacy Center</x:v>
      </x:c>
      <x:c r="J459" s="46" t="str">
        <x:v>Database test / Integration test</x:v>
      </x:c>
      <x:c r="K459" s="46" t="str">
        <x:v>Complete</x:v>
      </x:c>
      <x:c r="L459" s="47"/>
    </x:row>
    <x:row r="460" ht="42" customHeight="1">
      <x:c r="A460" s="45" t="str">
        <x:v>FR-W-022</x:v>
      </x:c>
      <x:c r="B460" s="46" t="str">
        <x:v>W. Privacy Lock, Permissions, and Privacy Center</x:v>
      </x:c>
      <x:c r="C460" s="46" t="str">
        <x:v>Privacy-safe diagnostics shall require explicit user review before exporting any optional detailed information.</x:v>
      </x:c>
      <x:c r="D460" s="46" t="str">
        <x:v>BR-W-006, BR-W-010, BR-W-013</x:v>
      </x:c>
      <x:c r="E460" s="46" t="str">
        <x:v>ADR-021 — Security, Privacy, Permissions, and Sensitive Data; ADR-023 — Testing, Observability, Diagnostics, and Quality Strategy</x:v>
      </x:c>
      <x:c r="F460" s="46" t="str">
        <x:v>AC-W-022</x:v>
      </x:c>
      <x:c r="G460" s="46" t="str">
        <x:v>Yes</x:v>
      </x:c>
      <x:c r="H460" s="46" t="str">
        <x:v>V1</x:v>
      </x:c>
      <x:c r="I460" s="46" t="str">
        <x:v>Privacy Lock, Permissions, and Privacy Center</x:v>
      </x:c>
      <x:c r="J460" s="46" t="str">
        <x:v>Integration test</x:v>
      </x:c>
      <x:c r="K460" s="46" t="str">
        <x:v>Complete</x:v>
      </x:c>
      <x:c r="L460" s="47"/>
    </x:row>
    <x:row r="461" ht="42" customHeight="1">
      <x:c r="A461" s="45" t="str">
        <x:v>FR-X-001</x:v>
      </x:c>
      <x:c r="B461" s="46" t="str">
        <x:v>X. Settings, Account and Sync Center, and More Screen</x:v>
      </x:c>
      <x:c r="C461" s="46" t="str">
        <x:v>More shall remain the fifth permanent bottom-navigation destination.</x:v>
      </x:c>
      <x:c r="D461" s="46" t="str">
        <x:v>BR-X-001, BR-X-011, BR-X-012</x:v>
      </x:c>
      <x:c r="E461" s="46" t="str">
        <x:v>ADR-024 — V1 Scope, Vertical Slices, Roadmap, and Release Plan; ADR-025 — Final Architecture Baseline and Implementation Contract</x:v>
      </x:c>
      <x:c r="F461" s="46" t="str">
        <x:v>AC-X-001</x:v>
      </x:c>
      <x:c r="G461" s="46" t="str">
        <x:v>Yes</x:v>
      </x:c>
      <x:c r="H461" s="46" t="str">
        <x:v>V1</x:v>
      </x:c>
      <x:c r="I461" s="46" t="str">
        <x:v>Settings, Account and Sync Center, and More Screen</x:v>
      </x:c>
      <x:c r="J461" s="46" t="str">
        <x:v>Widget test</x:v>
      </x:c>
      <x:c r="K461" s="46" t="str">
        <x:v>Complete</x:v>
      </x:c>
      <x:c r="L461" s="47"/>
    </x:row>
    <x:row r="462" ht="42" customHeight="1">
      <x:c r="A462" s="45" t="str">
        <x:v>FR-X-002</x:v>
      </x:c>
      <x:c r="B462" s="46" t="str">
        <x:v>X. Settings, Account and Sync Center, and More Screen</x:v>
      </x:c>
      <x:c r="C462" s="46" t="str">
        <x:v>The More Screen shall provide a clear Account and Sync entry point.</x:v>
      </x:c>
      <x:c r="D462" s="46" t="str">
        <x:v>BR-X-002, BR-X-010, BR-X-013</x:v>
      </x:c>
      <x:c r="E462" s="46" t="str">
        <x:v>ADR-025 — Final Architecture Baseline and Implementation Contract</x:v>
      </x:c>
      <x:c r="F462" s="46" t="str">
        <x:v>AC-X-002</x:v>
      </x:c>
      <x:c r="G462" s="46" t="str">
        <x:v>Yes</x:v>
      </x:c>
      <x:c r="H462" s="46" t="str">
        <x:v>V1</x:v>
      </x:c>
      <x:c r="I462" s="46" t="str">
        <x:v>Settings, Account and Sync Center, and More Screen</x:v>
      </x:c>
      <x:c r="J462" s="46" t="str">
        <x:v>Widget test / Integration test</x:v>
      </x:c>
      <x:c r="K462" s="46" t="str">
        <x:v>Complete</x:v>
      </x:c>
      <x:c r="L462" s="47"/>
    </x:row>
    <x:row r="463" ht="42" customHeight="1">
      <x:c r="A463" s="45" t="str">
        <x:v>FR-X-003</x:v>
      </x:c>
      <x:c r="B463" s="46" t="str">
        <x:v>X. Settings, Account and Sync Center, and More Screen</x:v>
      </x:c>
      <x:c r="C463" s="46" t="str">
        <x:v>The More Screen shall provide a clear Sync Center entry point.</x:v>
      </x:c>
      <x:c r="D463" s="46" t="str">
        <x:v>BR-X-002, BR-X-007, BR-X-013</x:v>
      </x:c>
      <x:c r="E463" s="46" t="str">
        <x:v>ADR-025 — Final Architecture Baseline and Implementation Contract</x:v>
      </x:c>
      <x:c r="F463" s="46" t="str">
        <x:v>AC-X-003</x:v>
      </x:c>
      <x:c r="G463" s="46" t="str">
        <x:v>Yes</x:v>
      </x:c>
      <x:c r="H463" s="46" t="str">
        <x:v>V1</x:v>
      </x:c>
      <x:c r="I463" s="46" t="str">
        <x:v>Settings, Account and Sync Center, and More Screen</x:v>
      </x:c>
      <x:c r="J463" s="46" t="str">
        <x:v>Widget test / Integration test</x:v>
      </x:c>
      <x:c r="K463" s="46" t="str">
        <x:v>Complete</x:v>
      </x:c>
      <x:c r="L463" s="47"/>
    </x:row>
    <x:row r="464" ht="42" customHeight="1">
      <x:c r="A464" s="45" t="str">
        <x:v>FR-X-004</x:v>
      </x:c>
      <x:c r="B464" s="46" t="str">
        <x:v>X. Settings, Account and Sync Center, and More Screen</x:v>
      </x:c>
      <x:c r="C464" s="46" t="str">
        <x:v>The More Screen shall provide clear Import and Export and Backup and Recovery entry points.</x:v>
      </x:c>
      <x:c r="D464" s="46" t="str">
        <x:v>BR-X-002, BR-X-010, BR-X-013</x:v>
      </x:c>
      <x:c r="E464" s="46" t="str">
        <x:v>ADR-017 — Local Backup, Export, Restore, and Disaster Recovery; ADR-025 — Final Architecture Baseline and Implementation Contract</x:v>
      </x:c>
      <x:c r="F464" s="46" t="str">
        <x:v>AC-X-004</x:v>
      </x:c>
      <x:c r="G464" s="46" t="str">
        <x:v>Yes</x:v>
      </x:c>
      <x:c r="H464" s="46" t="str">
        <x:v>V1</x:v>
      </x:c>
      <x:c r="I464" s="46" t="str">
        <x:v>Settings, Account and Sync Center, and More Screen</x:v>
      </x:c>
      <x:c r="J464" s="46" t="str">
        <x:v>Database test / Widget test / Integration test</x:v>
      </x:c>
      <x:c r="K464" s="46" t="str">
        <x:v>Complete</x:v>
      </x:c>
      <x:c r="L464" s="47"/>
    </x:row>
    <x:row r="465" ht="42" customHeight="1">
      <x:c r="A465" s="45" t="str">
        <x:v>FR-X-005</x:v>
      </x:c>
      <x:c r="B465" s="46" t="str">
        <x:v>X. Settings, Account and Sync Center, and More Screen</x:v>
      </x:c>
      <x:c r="C465" s="46" t="str">
        <x:v>The More Screen shall provide clear Notifications and Calendar and Philippine Content and Content Updates entry points.</x:v>
      </x:c>
      <x:c r="D465" s="46" t="str">
        <x:v>BR-X-002, BR-X-010, BR-X-013</x:v>
      </x:c>
      <x:c r="E465" s="46" t="str">
        <x:v>ADR-022 — Notifications, Background Work, and Calendar Integration; ADR-019 — Philippine Content Packs and Official Source Governance; ADR-025 — Final Architecture Baseline and Implementation Contract</x:v>
      </x:c>
      <x:c r="F465" s="46" t="str">
        <x:v>AC-X-005</x:v>
      </x:c>
      <x:c r="G465" s="46" t="str">
        <x:v>Yes</x:v>
      </x:c>
      <x:c r="H465" s="46" t="str">
        <x:v>V1</x:v>
      </x:c>
      <x:c r="I465" s="46" t="str">
        <x:v>Settings, Account and Sync Center, and More Screen</x:v>
      </x:c>
      <x:c r="J465" s="46" t="str">
        <x:v>Widget test / Integration test</x:v>
      </x:c>
      <x:c r="K465" s="46" t="str">
        <x:v>Complete</x:v>
      </x:c>
      <x:c r="L465" s="47"/>
    </x:row>
    <x:row r="466" ht="42" customHeight="1">
      <x:c r="A466" s="45" t="str">
        <x:v>FR-X-006</x:v>
      </x:c>
      <x:c r="B466" s="46" t="str">
        <x:v>X. Settings, Account and Sync Center, and More Screen</x:v>
      </x:c>
      <x:c r="C466" s="46" t="str">
        <x:v>The More Screen shall provide clear Privacy and Data, Permissions, Appearance and Language, and Help, About, and Legal entry points.</x:v>
      </x:c>
      <x:c r="D466" s="46" t="str">
        <x:v>BR-X-002, BR-X-010, BR-X-013</x:v>
      </x:c>
      <x:c r="E466" s="46" t="str">
        <x:v>ADR-021 — Security, Privacy, Permissions, and Sensitive Data; ADR-025 — Final Architecture Baseline and Implementation Contract</x:v>
      </x:c>
      <x:c r="F466" s="46" t="str">
        <x:v>AC-X-006</x:v>
      </x:c>
      <x:c r="G466" s="46" t="str">
        <x:v>Yes</x:v>
      </x:c>
      <x:c r="H466" s="46" t="str">
        <x:v>V1</x:v>
      </x:c>
      <x:c r="I466" s="46" t="str">
        <x:v>Settings, Account and Sync Center, and More Screen</x:v>
      </x:c>
      <x:c r="J466" s="46" t="str">
        <x:v>Widget test / Manual review</x:v>
      </x:c>
      <x:c r="K466" s="46" t="str">
        <x:v>Complete</x:v>
      </x:c>
      <x:c r="L466" s="47" t="str">
        <x:v>OPD-5-015</x:v>
      </x:c>
    </x:row>
    <x:row r="467" ht="42" customHeight="1">
      <x:c r="A467" s="45" t="str">
        <x:v>FR-X-007</x:v>
      </x:c>
      <x:c r="B467" s="46" t="str">
        <x:v>X. Settings, Account and Sync Center, and More Screen</x:v>
      </x:c>
      <x:c r="C467" s="46" t="str">
        <x:v>Account creation shall remain optional throughout More and Account workflows.</x:v>
      </x:c>
      <x:c r="D467" s="46" t="str">
        <x:v>BR-X-003, BR-X-005, BR-X-012</x:v>
      </x:c>
      <x:c r="E467" s="46" t="str">
        <x:v>ADR-002 — Guest-First Identity and Optional Accounts; ADR-025 — Final Architecture Baseline and Implementation Contract</x:v>
      </x:c>
      <x:c r="F467" s="46" t="str">
        <x:v>AC-X-007</x:v>
      </x:c>
      <x:c r="G467" s="46" t="str">
        <x:v>Yes</x:v>
      </x:c>
      <x:c r="H467" s="46" t="str">
        <x:v>V1</x:v>
      </x:c>
      <x:c r="I467" s="46" t="str">
        <x:v>Settings, Account and Sync Center, and More Screen</x:v>
      </x:c>
      <x:c r="J467" s="46" t="str">
        <x:v>Domain test</x:v>
      </x:c>
      <x:c r="K467" s="46" t="str">
        <x:v>Complete</x:v>
      </x:c>
      <x:c r="L467" s="47"/>
    </x:row>
    <x:row r="468" ht="42" customHeight="1">
      <x:c r="A468" s="45" t="str">
        <x:v>FR-X-008</x:v>
      </x:c>
      <x:c r="B468" s="46" t="str">
        <x:v>X. Settings, Account and Sync Center, and More Screen</x:v>
      </x:c>
      <x:c r="C468" s="46" t="str">
        <x:v>Ordinary sign-out shall preserve the Local Profile, local records, and pending synchronization operations.</x:v>
      </x:c>
      <x:c r="D468" s="46" t="str">
        <x:v>BR-X-004, BR-X-008, BR-X-009</x:v>
      </x:c>
      <x:c r="E468" s="46" t="str">
        <x:v>ADR-016 — Offline Outbox Synchronization and Conflict Resolution; ADR-025 — Final Architecture Baseline and Implementation Contract</x:v>
      </x:c>
      <x:c r="F468" s="46" t="str">
        <x:v>AC-X-008</x:v>
      </x:c>
      <x:c r="G468" s="46" t="str">
        <x:v>Yes</x:v>
      </x:c>
      <x:c r="H468" s="46" t="str">
        <x:v>V1</x:v>
      </x:c>
      <x:c r="I468" s="46" t="str">
        <x:v>Settings, Account and Sync Center, and More Screen</x:v>
      </x:c>
      <x:c r="J468" s="46" t="str">
        <x:v>Database test / Integration test</x:v>
      </x:c>
      <x:c r="K468" s="46" t="str">
        <x:v>Complete</x:v>
      </x:c>
      <x:c r="L468" s="47" t="str">
        <x:v>OPD-5-018</x:v>
      </x:c>
    </x:row>
    <x:row r="469" ht="42" customHeight="1">
      <x:c r="A469" s="45" t="str">
        <x:v>FR-X-009</x:v>
      </x:c>
      <x:c r="B469" s="46" t="str">
        <x:v>X. Settings, Account and Sync Center, and More Screen</x:v>
      </x:c>
      <x:c r="C469" s="46" t="str">
        <x:v>Sync pause shall preserve queued changes and full local functionality.</x:v>
      </x:c>
      <x:c r="D469" s="46" t="str">
        <x:v>BR-X-004, BR-X-007, BR-X-008</x:v>
      </x:c>
      <x:c r="E469" s="46" t="str">
        <x:v>ADR-025 — Final Architecture Baseline and Implementation Contract</x:v>
      </x:c>
      <x:c r="F469" s="46" t="str">
        <x:v>AC-X-009</x:v>
      </x:c>
      <x:c r="G469" s="46" t="str">
        <x:v>Yes</x:v>
      </x:c>
      <x:c r="H469" s="46" t="str">
        <x:v>V1</x:v>
      </x:c>
      <x:c r="I469" s="46" t="str">
        <x:v>Settings, Account and Sync Center, and More Screen</x:v>
      </x:c>
      <x:c r="J469" s="46" t="str">
        <x:v>Integration test</x:v>
      </x:c>
      <x:c r="K469" s="46" t="str">
        <x:v>Complete</x:v>
      </x:c>
      <x:c r="L469" s="47"/>
    </x:row>
    <x:row r="470" ht="42" customHeight="1">
      <x:c r="A470" s="45" t="str">
        <x:v>FR-X-010</x:v>
      </x:c>
      <x:c r="B470" s="46" t="str">
        <x:v>X. Settings, Account and Sync Center, and More Screen</x:v>
      </x:c>
      <x:c r="C470" s="46" t="str">
        <x:v>Account deletion shall remain separate from local-data deletion.</x:v>
      </x:c>
      <x:c r="D470" s="46" t="str">
        <x:v>BR-X-005, BR-X-009, BR-X-012</x:v>
      </x:c>
      <x:c r="E470" s="46" t="str">
        <x:v>ADR-018 — Guest-to-Account Migration and Account Lifecycle; ADR-025 — Final Architecture Baseline and Implementation Contract</x:v>
      </x:c>
      <x:c r="F470" s="46" t="str">
        <x:v>AC-X-010</x:v>
      </x:c>
      <x:c r="G470" s="46" t="str">
        <x:v>Yes</x:v>
      </x:c>
      <x:c r="H470" s="46" t="str">
        <x:v>V1</x:v>
      </x:c>
      <x:c r="I470" s="46" t="str">
        <x:v>Settings, Account and Sync Center, and More Screen</x:v>
      </x:c>
      <x:c r="J470" s="46" t="str">
        <x:v>Domain test</x:v>
      </x:c>
      <x:c r="K470" s="46" t="str">
        <x:v>Complete</x:v>
      </x:c>
      <x:c r="L470" s="47" t="str">
        <x:v>OPD-5-018</x:v>
      </x:c>
    </x:row>
    <x:row r="471" ht="42" customHeight="1">
      <x:c r="A471" s="45" t="str">
        <x:v>FR-X-011</x:v>
      </x:c>
      <x:c r="B471" s="46" t="str">
        <x:v>X. Settings, Account and Sync Center, and More Screen</x:v>
      </x:c>
      <x:c r="C471" s="46" t="str">
        <x:v>Removing synchronized data from the device shall require explicit confirmation and a warning about local-only records.</x:v>
      </x:c>
      <x:c r="D471" s="46" t="str">
        <x:v>BR-X-006, BR-X-008, BR-X-012</x:v>
      </x:c>
      <x:c r="E471" s="46" t="str">
        <x:v>ADR-025 — Final Architecture Baseline and Implementation Contract</x:v>
      </x:c>
      <x:c r="F471" s="46" t="str">
        <x:v>AC-X-011</x:v>
      </x:c>
      <x:c r="G471" s="46" t="str">
        <x:v>No</x:v>
      </x:c>
      <x:c r="H471" s="46" t="str">
        <x:v>V1</x:v>
      </x:c>
      <x:c r="I471" s="46" t="str">
        <x:v>Settings, Account and Sync Center, and More Screen</x:v>
      </x:c>
      <x:c r="J471" s="46" t="str">
        <x:v>Integration test</x:v>
      </x:c>
      <x:c r="K471" s="46" t="str">
        <x:v>Complete</x:v>
      </x:c>
      <x:c r="L471" s="47" t="str">
        <x:v>OPD-5-015, OPD-5-018</x:v>
      </x:c>
    </x:row>
    <x:row r="472" ht="42" customHeight="1">
      <x:c r="A472" s="45" t="str">
        <x:v>FR-X-012</x:v>
      </x:c>
      <x:c r="B472" s="46" t="str">
        <x:v>X. Settings, Account and Sync Center, and More Screen</x:v>
      </x:c>
      <x:c r="C472" s="46" t="str">
        <x:v>The Sync Center shall show factual states including Up to Date, Waiting for Connection, Changes Waiting, Sign-In Required, Sync Paused, and Items Needing Review.</x:v>
      </x:c>
      <x:c r="D472" s="46" t="str">
        <x:v>BR-X-004, BR-X-007, BR-X-008</x:v>
      </x:c>
      <x:c r="E472" s="46" t="str">
        <x:v>ADR-025 — Final Architecture Baseline and Implementation Contract</x:v>
      </x:c>
      <x:c r="F472" s="46" t="str">
        <x:v>AC-X-012</x:v>
      </x:c>
      <x:c r="G472" s="46" t="str">
        <x:v>Yes</x:v>
      </x:c>
      <x:c r="H472" s="46" t="str">
        <x:v>V1</x:v>
      </x:c>
      <x:c r="I472" s="46" t="str">
        <x:v>Settings, Account and Sync Center, and More Screen</x:v>
      </x:c>
      <x:c r="J472" s="46" t="str">
        <x:v>Domain test / Integration test</x:v>
      </x:c>
      <x:c r="K472" s="46" t="str">
        <x:v>Complete</x:v>
      </x:c>
      <x:c r="L472" s="47" t="str">
        <x:v>OPD-5-017</x:v>
      </x:c>
    </x:row>
    <x:row r="473" ht="42" customHeight="1">
      <x:c r="A473" s="45" t="str">
        <x:v>FR-X-013</x:v>
      </x:c>
      <x:c r="B473" s="46" t="str">
        <x:v>X. Settings, Account and Sync Center, and More Screen</x:v>
      </x:c>
      <x:c r="C473" s="46" t="str">
        <x:v>be able to review local-only categories and imported-contact upload choices.</x:v>
      </x:c>
      <x:c r="D473" s="46" t="str">
        <x:v>BR-X-004, BR-X-005, BR-X-008</x:v>
      </x:c>
      <x:c r="E473" s="46" t="str">
        <x:v>ADR-025 — Final Architecture Baseline and Implementation Contract</x:v>
      </x:c>
      <x:c r="F473" s="46" t="str">
        <x:v>AC-X-013</x:v>
      </x:c>
      <x:c r="G473" s="46" t="str">
        <x:v>No</x:v>
      </x:c>
      <x:c r="H473" s="46" t="str">
        <x:v>V1</x:v>
      </x:c>
      <x:c r="I473" s="46" t="str">
        <x:v>Settings, Account and Sync Center, and More Screen</x:v>
      </x:c>
      <x:c r="J473" s="46" t="str">
        <x:v>Widget test / Integration test</x:v>
      </x:c>
      <x:c r="K473" s="46" t="str">
        <x:v>Complete</x:v>
      </x:c>
      <x:c r="L473" s="47"/>
    </x:row>
    <x:row r="474" ht="42" customHeight="1">
      <x:c r="A474" s="45" t="str">
        <x:v>FR-X-014</x:v>
      </x:c>
      <x:c r="B474" s="46" t="str">
        <x:v>X. Settings, Account and Sync Center, and More Screen</x:v>
      </x:c>
      <x:c r="C474" s="46" t="str">
        <x:v>be able to review attachment status, connected devices, conflicts, and the last successful synchronization.</x:v>
      </x:c>
      <x:c r="D474" s="46" t="str">
        <x:v>BR-X-007, BR-X-008, BR-X-009</x:v>
      </x:c>
      <x:c r="E474" s="46" t="str">
        <x:v>ADR-016 — Offline Outbox Synchronization and Conflict Resolution; ADR-025 — Final Architecture Baseline and Implementation Contract</x:v>
      </x:c>
      <x:c r="F474" s="46" t="str">
        <x:v>AC-X-014</x:v>
      </x:c>
      <x:c r="G474" s="46" t="str">
        <x:v>No</x:v>
      </x:c>
      <x:c r="H474" s="46" t="str">
        <x:v>V1</x:v>
      </x:c>
      <x:c r="I474" s="46" t="str">
        <x:v>Settings, Account and Sync Center, and More Screen</x:v>
      </x:c>
      <x:c r="J474" s="46" t="str">
        <x:v>Domain test / Widget test / Integration test</x:v>
      </x:c>
      <x:c r="K474" s="46" t="str">
        <x:v>Complete</x:v>
      </x:c>
      <x:c r="L474" s="47" t="str">
        <x:v>OPD-5-017</x:v>
      </x:c>
    </x:row>
    <x:row r="475" ht="42" customHeight="1">
      <x:c r="A475" s="45" t="str">
        <x:v>FR-X-015</x:v>
      </x:c>
      <x:c r="B475" s="46" t="str">
        <x:v>X. Settings, Account and Sync Center, and More Screen</x:v>
      </x:c>
      <x:c r="C475" s="46" t="str">
        <x:v>The Backup and Recovery area shall distinguish cloud synchronization from portable .ntbackup recovery.</x:v>
      </x:c>
      <x:c r="D475" s="46" t="str">
        <x:v>BR-X-007, BR-X-009, BR-X-013</x:v>
      </x:c>
      <x:c r="E475" s="46" t="str">
        <x:v>ADR-017 — Local Backup, Export, Restore, and Disaster Recovery; ADR-016 — Offline Outbox Synchronization and Conflict Resolution; ADR-025 — Final Architecture Baseline and Implementation Contract</x:v>
      </x:c>
      <x:c r="F475" s="46" t="str">
        <x:v>AC-X-015</x:v>
      </x:c>
      <x:c r="G475" s="46" t="str">
        <x:v>Yes</x:v>
      </x:c>
      <x:c r="H475" s="46" t="str">
        <x:v>V1</x:v>
      </x:c>
      <x:c r="I475" s="46" t="str">
        <x:v>Settings, Account and Sync Center, and More Screen</x:v>
      </x:c>
      <x:c r="J475" s="46" t="str">
        <x:v>Database test / Integration test</x:v>
      </x:c>
      <x:c r="K475" s="46" t="str">
        <x:v>Complete</x:v>
      </x:c>
      <x:c r="L475" s="47"/>
    </x:row>
    <x:row r="476" ht="42" customHeight="1">
      <x:c r="A476" s="45" t="str">
        <x:v>FR-X-016</x:v>
      </x:c>
      <x:c r="B476" s="46" t="str">
        <x:v>X. Settings, Account and Sync Center, and More Screen</x:v>
      </x:c>
      <x:c r="C476" s="46" t="str">
        <x:v>The More Screen shall avoid duplicate or conflicting settings entry points.</x:v>
      </x:c>
      <x:c r="D476" s="46" t="str">
        <x:v>BR-X-001, BR-X-002, BR-X-010</x:v>
      </x:c>
      <x:c r="E476" s="46" t="str">
        <x:v>ADR-025 — Final Architecture Baseline and Implementation Contract</x:v>
      </x:c>
      <x:c r="F476" s="46" t="str">
        <x:v>AC-X-016</x:v>
      </x:c>
      <x:c r="G476" s="46" t="str">
        <x:v>No</x:v>
      </x:c>
      <x:c r="H476" s="46" t="str">
        <x:v>V1</x:v>
      </x:c>
      <x:c r="I476" s="46" t="str">
        <x:v>Settings, Account and Sync Center, and More Screen</x:v>
      </x:c>
      <x:c r="J476" s="46" t="str">
        <x:v>Domain test / Widget test</x:v>
      </x:c>
      <x:c r="K476" s="46" t="str">
        <x:v>Complete</x:v>
      </x:c>
      <x:c r="L476" s="47" t="str">
        <x:v>OPD-5-019</x:v>
      </x:c>
    </x:row>
    <x:row r="477" ht="42" customHeight="1">
      <x:c r="A477" s="45" t="str">
        <x:v>FR-X-017</x:v>
      </x:c>
      <x:c r="B477" s="46" t="str">
        <x:v>X. Settings, Account and Sync Center, and More Screen</x:v>
      </x:c>
      <x:c r="C477" s="46" t="str">
        <x:v>Maps shall not be added as a permanent bottom-navigation tab.</x:v>
      </x:c>
      <x:c r="D477" s="46" t="str">
        <x:v>BR-X-001, BR-X-011</x:v>
      </x:c>
      <x:c r="E477" s="46" t="str">
        <x:v>ADR-024 — V1 Scope, Vertical Slices, Roadmap, and Release Plan; ADR-025 — Final Architecture Baseline and Implementation Contract</x:v>
      </x:c>
      <x:c r="F477" s="46" t="str">
        <x:v>AC-X-017</x:v>
      </x:c>
      <x:c r="G477" s="46" t="str">
        <x:v>Yes</x:v>
      </x:c>
      <x:c r="H477" s="46" t="str">
        <x:v>V1</x:v>
      </x:c>
      <x:c r="I477" s="46" t="str">
        <x:v>Settings, Account and Sync Center, and More Screen</x:v>
      </x:c>
      <x:c r="J477" s="46" t="str">
        <x:v>Domain test</x:v>
      </x:c>
      <x:c r="K477" s="46" t="str">
        <x:v>Complete</x:v>
      </x:c>
      <x:c r="L477" s="47"/>
    </x:row>
    <x:row r="478" ht="42" customHeight="1">
      <x:c r="A478" s="45" t="str">
        <x:v>FR-X-018</x:v>
      </x:c>
      <x:c r="B478" s="46" t="str">
        <x:v>X. Settings, Account and Sync Center, and More Screen</x:v>
      </x:c>
      <x:c r="C478" s="46" t="str">
        <x:v>Device-specific settings shall remain distinct from globally synchronized preferences.</x:v>
      </x:c>
      <x:c r="D478" s="46" t="str">
        <x:v>BR-X-006, BR-X-009, BR-X-012</x:v>
      </x:c>
      <x:c r="E478" s="46" t="str">
        <x:v>ADR-025 — Final Architecture Baseline and Implementation Contract</x:v>
      </x:c>
      <x:c r="F478" s="46" t="str">
        <x:v>AC-X-018</x:v>
      </x:c>
      <x:c r="G478" s="46" t="str">
        <x:v>No</x:v>
      </x:c>
      <x:c r="H478" s="46" t="str">
        <x:v>V1</x:v>
      </x:c>
      <x:c r="I478" s="46" t="str">
        <x:v>Settings, Account and Sync Center, and More Screen</x:v>
      </x:c>
      <x:c r="J478" s="46" t="str">
        <x:v>Integration test</x:v>
      </x:c>
      <x:c r="K478" s="46" t="str">
        <x:v>Complete</x:v>
      </x:c>
      <x:c r="L478" s="47" t="str">
        <x:v>OPD-5-015, OPD-5-016</x:v>
      </x:c>
    </x:row>
    <x:row r="479" ht="42" customHeight="1">
      <x:c r="A479" s="45" t="str">
        <x:v>FR-X-019</x:v>
      </x:c>
      <x:c r="B479" s="46" t="str">
        <x:v>X. Settings, Account and Sync Center, and More Screen</x:v>
      </x:c>
      <x:c r="C479" s="46" t="str">
        <x:v>Destructive actions shall provide backup and recovery guidance before confirmation.</x:v>
      </x:c>
      <x:c r="D479" s="46" t="str">
        <x:v>BR-X-009, BR-X-013</x:v>
      </x:c>
      <x:c r="E479" s="46" t="str">
        <x:v>ADR-017 — Local Backup, Export, Restore, and Disaster Recovery; ADR-025 — Final Architecture Baseline and Implementation Contract</x:v>
      </x:c>
      <x:c r="F479" s="46" t="str">
        <x:v>AC-X-019</x:v>
      </x:c>
      <x:c r="G479" s="46" t="str">
        <x:v>Yes</x:v>
      </x:c>
      <x:c r="H479" s="46" t="str">
        <x:v>V1</x:v>
      </x:c>
      <x:c r="I479" s="46" t="str">
        <x:v>Settings, Account and Sync Center, and More Screen</x:v>
      </x:c>
      <x:c r="J479" s="46" t="str">
        <x:v>Database test / Integration test</x:v>
      </x:c>
      <x:c r="K479" s="46" t="str">
        <x:v>Complete</x:v>
      </x:c>
      <x:c r="L479" s="47" t="str">
        <x:v>OPD-5-018</x:v>
      </x:c>
    </x:row>
    <x:row r="480" ht="42" customHeight="1">
      <x:c r="A480" s="45" t="str">
        <x:v>FR-X-020</x:v>
      </x:c>
      <x:c r="B480" s="46" t="str">
        <x:v>X. Settings, Account and Sync Center, and More Screen</x:v>
      </x:c>
      <x:c r="C480" s="46" t="str">
        <x:v>The More Screen shall remain usable offline and shall show which actions require connectivity.</x:v>
      </x:c>
      <x:c r="D480" s="46" t="str">
        <x:v>BR-X-005, BR-X-012, BR-X-013</x:v>
      </x:c>
      <x:c r="E480" s="46" t="str">
        <x:v>ADR-006 — Local-First Operation with Background Synchronization; ADR-025 — Final Architecture Baseline and Implementation Contract</x:v>
      </x:c>
      <x:c r="F480" s="46" t="str">
        <x:v>AC-X-020</x:v>
      </x:c>
      <x:c r="G480" s="46" t="str">
        <x:v>Yes</x:v>
      </x:c>
      <x:c r="H480" s="46" t="str">
        <x:v>V1</x:v>
      </x:c>
      <x:c r="I480" s="46" t="str">
        <x:v>Settings, Account and Sync Center, and More Screen</x:v>
      </x:c>
      <x:c r="J480" s="46" t="str">
        <x:v>Widget test</x:v>
      </x:c>
      <x:c r="K480" s="46" t="str">
        <x:v>Complete</x:v>
      </x:c>
      <x:c r="L480" s="47"/>
    </x:row>
    <x:row r="481" ht="42" customHeight="1">
      <x:c r="A481" s="45" t="str">
        <x:v>FR-X-021</x:v>
      </x:c>
      <x:c r="B481" s="46" t="str">
        <x:v>X. Settings, Account and Sync Center, and More Screen</x:v>
      </x:c>
      <x:c r="C481" s="46" t="str">
        <x:v>Content-update settings shall show source, last successful update, and current availability state.</x:v>
      </x:c>
      <x:c r="D481" s="46" t="str">
        <x:v>BR-X-002, BR-X-008, BR-X-010</x:v>
      </x:c>
      <x:c r="E481" s="46" t="str">
        <x:v>ADR-025 — Final Architecture Baseline and Implementation Contract</x:v>
      </x:c>
      <x:c r="F481" s="46" t="str">
        <x:v>AC-X-021</x:v>
      </x:c>
      <x:c r="G481" s="46" t="str">
        <x:v>No</x:v>
      </x:c>
      <x:c r="H481" s="46" t="str">
        <x:v>V1</x:v>
      </x:c>
      <x:c r="I481" s="46" t="str">
        <x:v>Settings, Account and Sync Center, and More Screen</x:v>
      </x:c>
      <x:c r="J481" s="46" t="str">
        <x:v>Domain test</x:v>
      </x:c>
      <x:c r="K481" s="46" t="str">
        <x:v>Complete</x:v>
      </x:c>
      <x:c r="L481" s="47"/>
    </x:row>
    <x:row r="482" ht="42" customHeight="1">
      <x:c r="A482" s="45" t="str">
        <x:v>FR-X-022</x:v>
      </x:c>
      <x:c r="B482" s="46" t="str">
        <x:v>X. Settings, Account and Sync Center, and More Screen</x:v>
      </x:c>
      <x:c r="C482" s="46" t="str">
        <x:v>Appearance and language changes shall not modify domain records or Actual.</x:v>
      </x:c>
      <x:c r="D482" s="46" t="str">
        <x:v>BR-X-001</x:v>
      </x:c>
      <x:c r="E482" s="46" t="str">
        <x:v>ADR-025 — Final Architecture Baseline and Implementation Contract</x:v>
      </x:c>
      <x:c r="F482" s="46" t="str">
        <x:v>AC-X-022</x:v>
      </x:c>
      <x:c r="G482" s="46" t="str">
        <x:v>Yes</x:v>
      </x:c>
      <x:c r="H482" s="46" t="str">
        <x:v>V1</x:v>
      </x:c>
      <x:c r="I482" s="46" t="str">
        <x:v>Settings, Account and Sync Center, and More Screen</x:v>
      </x:c>
      <x:c r="J482" s="46" t="str">
        <x:v>Domain test</x:v>
      </x:c>
      <x:c r="K482" s="46" t="str">
        <x:v>Complete</x:v>
      </x:c>
      <x:c r="L482" s="47"/>
    </x:row>
    <x:row r="483" ht="42" customHeight="1">
      <x:c r="A483" s="45" t="str">
        <x:v>FR-X-023</x:v>
      </x:c>
      <x:c r="B483" s="46" t="str">
        <x:v>X. Settings, Account and Sync Center, and More Screen</x:v>
      </x:c>
      <x:c r="C483" s="46" t="str">
        <x:v>Help, About, and Legal shall identify product version, privacy information, and relevant legal notices.</x:v>
      </x:c>
      <x:c r="D483" s="46" t="str">
        <x:v>BR-X-001</x:v>
      </x:c>
      <x:c r="E483" s="46" t="str">
        <x:v>ADR-021 — Security, Privacy, Permissions, and Sensitive Data; ADR-025 — Final Architecture Baseline and Implementation Contract</x:v>
      </x:c>
      <x:c r="F483" s="46" t="str">
        <x:v>AC-X-023</x:v>
      </x:c>
      <x:c r="G483" s="46" t="str">
        <x:v>Yes</x:v>
      </x:c>
      <x:c r="H483" s="46" t="str">
        <x:v>V1</x:v>
      </x:c>
      <x:c r="I483" s="46" t="str">
        <x:v>Settings, Account and Sync Center, and More Screen</x:v>
      </x:c>
      <x:c r="J483" s="46" t="str">
        <x:v>Manual review</x:v>
      </x:c>
      <x:c r="K483" s="46" t="str">
        <x:v>Complete</x:v>
      </x:c>
      <x:c r="L483" s="47"/>
    </x:row>
    <x:row r="484" ht="42" customHeight="1">
      <x:c r="A484" s="48" t="str">
        <x:v>FR-X-024</x:v>
      </x:c>
      <x:c r="B484" s="49" t="str">
        <x:v>X. Settings, Account and Sync Center, and More Screen</x:v>
      </x:c>
      <x:c r="C484" s="49" t="str">
        <x:v>The More Screen shall provide a single coherent route to Privacy Center and permission management.</x:v>
      </x:c>
      <x:c r="D484" s="49" t="str">
        <x:v>BR-X-002, BR-X-007, BR-X-013</x:v>
      </x:c>
      <x:c r="E484" s="49" t="str">
        <x:v>ADR-021 — Security, Privacy, Permissions, and Sensitive Data; ADR-025 — Final Architecture Baseline and Implementation Contract</x:v>
      </x:c>
      <x:c r="F484" s="49" t="str">
        <x:v>AC-X-024</x:v>
      </x:c>
      <x:c r="G484" s="49" t="str">
        <x:v>Yes</x:v>
      </x:c>
      <x:c r="H484" s="49" t="str">
        <x:v>V1</x:v>
      </x:c>
      <x:c r="I484" s="49" t="str">
        <x:v>Settings, Account and Sync Center, and More Screen</x:v>
      </x:c>
      <x:c r="J484" s="49" t="str">
        <x:v>Widget test</x:v>
      </x:c>
      <x:c r="K484" s="49" t="str">
        <x:v>Complete</x:v>
      </x:c>
      <x:c r="L484" s="50" t="str">
        <x:v>OPD-5-019</x:v>
      </x:c>
    </x:row>
  </x:sheetData>
  <x:conditionalFormatting sqref="G2:G484">
    <x:cfRule type="expression" dxfId="0" priority="1">
      <x:formula>G2="Yes"</x:formula>
    </x:cfRule>
  </x:conditionalFormatting>
  <x:conditionalFormatting sqref="H2:H484">
    <x:cfRule type="expression" dxfId="1" priority="2">
      <x:formula>H2="V1.1"</x:formula>
    </x:cfRule>
    <x:cfRule type="expression" dxfId="2" priority="3">
      <x:formula>H2="Deferred"</x:formula>
    </x:cfRule>
  </x:conditionalFormatting>
  <x:conditionalFormatting sqref="K2:K484">
    <x:cfRule type="expression" dxfId="3" priority="4">
      <x:formula>K2="Needs decision"</x:formula>
    </x:cfRule>
    <x:cfRule type="expression" dxfId="4" priority="5">
      <x:formula>K2="Complete"</x:formula>
    </x:cfRule>
  </x:conditionalFormatting>
  <x:pageMargins left="0.7" right="0.7" top="0.75" bottom="0.75" header="0.3" footer="0.3"/>
  <x:tableParts count="1">
    <x:tablePart xmlns:r="http://schemas.openxmlformats.org/officeDocument/2006/relationships" r:id="Rb9e49ea549354219"/>
  </x:tableParts>
</x:worksheet>
</file>

<file path=xl/worksheets/sheet4.xml><?xml version="1.0" encoding="utf-8"?>
<x:worksheet xmlns:x="http://schemas.openxmlformats.org/spreadsheetml/2006/main">
  <x:sheetFormatPr defaultRowHeight="15"/>
  <x:cols>
    <x:col min="1" max="1" width="18" hidden="0" customWidth="1"/>
    <x:col min="2" max="2" width="42" hidden="0" customWidth="1"/>
    <x:col min="3" max="3" width="90" hidden="0" customWidth="1"/>
  </x:cols>
  <x:sheetData>
    <x:row r="1" ht="34" customHeight="1">
      <x:c r="A1" s="42" t="str">
        <x:v>Business Rule ID</x:v>
      </x:c>
      <x:c r="B1" s="43" t="str">
        <x:v>Feature Group</x:v>
      </x:c>
      <x:c r="C1" s="44" t="str">
        <x:v>Business Rule</x:v>
      </x:c>
    </x:row>
    <x:row r="2" ht="42" customHeight="1">
      <x:c r="A2" s="45" t="str">
        <x:v>BR-A-001</x:v>
      </x:c>
      <x:c r="B2" s="46" t="str">
        <x:v>A. App Startup and Guest Onboarding</x:v>
      </x:c>
      <x:c r="C2" s="47" t="str">
        <x:v>A Local Profile is required for normal use, but an online account is optional.</x:v>
      </x:c>
    </x:row>
    <x:row r="3" ht="42" customHeight="1">
      <x:c r="A3" s="45" t="str">
        <x:v>BR-A-002</x:v>
      </x:c>
      <x:c r="B3" s="46" t="str">
        <x:v>A. App Startup and Guest Onboarding</x:v>
      </x:c>
      <x:c r="C3" s="47" t="str">
        <x:v>Guest onboarding and returning local access must work offline.</x:v>
      </x:c>
    </x:row>
    <x:row r="4" ht="42" customHeight="1">
      <x:c r="A4" s="45" t="str">
        <x:v>BR-A-003</x:v>
      </x:c>
      <x:c r="B4" s="46" t="str">
        <x:v>A. App Startup and Guest Onboarding</x:v>
      </x:c>
      <x:c r="C4" s="47" t="str">
        <x:v>Drift opens before optional Supabase or content services are treated as ready.</x:v>
      </x:c>
    </x:row>
    <x:row r="5" ht="42" customHeight="1">
      <x:c r="A5" s="45" t="str">
        <x:v>BR-A-004</x:v>
      </x:c>
      <x:c r="B5" s="46" t="str">
        <x:v>A. App Startup and Guest Onboarding</x:v>
      </x:c>
      <x:c r="C5" s="47" t="str">
        <x:v>Remote failure must not block valid local data.</x:v>
      </x:c>
    </x:row>
    <x:row r="6" ht="42" customHeight="1">
      <x:c r="A6" s="45" t="str">
        <x:v>BR-A-005</x:v>
      </x:c>
      <x:c r="B6" s="46" t="str">
        <x:v>A. App Startup and Guest Onboarding</x:v>
      </x:c>
      <x:c r="C6" s="47" t="str">
        <x:v>Fresh onboarding must not seed Actual progress.</x:v>
      </x:c>
    </x:row>
    <x:row r="7" ht="42" customHeight="1">
      <x:c r="A7" s="45" t="str">
        <x:v>BR-A-006</x:v>
      </x:c>
      <x:c r="B7" s="46" t="str">
        <x:v>A. App Startup and Guest Onboarding</x:v>
      </x:c>
      <x:c r="C7" s="47" t="str">
        <x:v>No unrelated permission is requested during onboarding.</x:v>
      </x:c>
    </x:row>
    <x:row r="8" ht="42" customHeight="1">
      <x:c r="A8" s="45" t="str">
        <x:v>BR-A-007</x:v>
      </x:c>
      <x:c r="B8" s="46" t="str">
        <x:v>A. App Startup and Guest Onboarding</x:v>
      </x:c>
      <x:c r="C8" s="47" t="str">
        <x:v>Privacy Lock is evaluated before protected content is exposed.</x:v>
      </x:c>
    </x:row>
    <x:row r="9" ht="42" customHeight="1">
      <x:c r="A9" s="45" t="str">
        <x:v>BR-A-008</x:v>
      </x:c>
      <x:c r="B9" s="46" t="str">
        <x:v>A. App Startup and Guest Onboarding</x:v>
      </x:c>
      <x:c r="C9" s="47" t="str">
        <x:v>Destructive recovery requires informed confirmation and data-loss disclosure.</x:v>
      </x:c>
    </x:row>
    <x:row r="10" ht="42" customHeight="1">
      <x:c r="A10" s="45" t="str">
        <x:v>BR-A-009</x:v>
      </x:c>
      <x:c r="B10" s="46" t="str">
        <x:v>A. App Startup and Guest Onboarding</x:v>
      </x:c>
      <x:c r="C10" s="47" t="str">
        <x:v>Session expiry does not remove local access.</x:v>
      </x:c>
    </x:row>
    <x:row r="11" ht="42" customHeight="1">
      <x:c r="A11" s="45" t="str">
        <x:v>BR-A-010</x:v>
      </x:c>
      <x:c r="B11" s="46" t="str">
        <x:v>A. App Startup and Guest Onboarding</x:v>
      </x:c>
      <x:c r="C11" s="47" t="str">
        <x:v>Deep links cannot bypass onboarding, lock, or recovery safeguards.</x:v>
      </x:c>
    </x:row>
    <x:row r="12" ht="42" customHeight="1">
      <x:c r="A12" s="45" t="str">
        <x:v>BR-B-001</x:v>
      </x:c>
      <x:c r="B12" s="46" t="str">
        <x:v>B. Home and Life Indicators</x:v>
      </x:c>
      <x:c r="C12" s="47" t="str">
        <x:v>Actual, Target, and Scheduled Potential are distinct values.</x:v>
      </x:c>
    </x:row>
    <x:row r="13" ht="42" customHeight="1">
      <x:c r="A13" s="45" t="str">
        <x:v>BR-B-002</x:v>
      </x:c>
      <x:c r="B13" s="46" t="str">
        <x:v>B. Home and Life Indicators</x:v>
      </x:c>
      <x:c r="C13" s="47" t="str">
        <x:v>Actual derives only from qualifying Activity Ledger entries.</x:v>
      </x:c>
    </x:row>
    <x:row r="14" ht="42" customHeight="1">
      <x:c r="A14" s="45" t="str">
        <x:v>BR-B-003</x:v>
      </x:c>
      <x:c r="B14" s="46" t="str">
        <x:v>B. Home and Life Indicators</x:v>
      </x:c>
      <x:c r="C14" s="47" t="str">
        <x:v>Scheduled or elapsed records do not create Actual.</x:v>
      </x:c>
    </x:row>
    <x:row r="15" ht="42" customHeight="1">
      <x:c r="A15" s="45" t="str">
        <x:v>BR-B-004</x:v>
      </x:c>
      <x:c r="B15" s="46" t="str">
        <x:v>B. Home and Life Indicators</x:v>
      </x:c>
      <x:c r="C15" s="47" t="str">
        <x:v>A zero target differs from no target.</x:v>
      </x:c>
    </x:row>
    <x:row r="16" ht="42" customHeight="1">
      <x:c r="A16" s="45" t="str">
        <x:v>BR-B-005</x:v>
      </x:c>
      <x:c r="B16" s="46" t="str">
        <x:v>B. Home and Life Indicators</x:v>
      </x:c>
      <x:c r="C16" s="47" t="str">
        <x:v>Every Actual value must be explainable through contribution history.</x:v>
      </x:c>
    </x:row>
    <x:row r="17" ht="42" customHeight="1">
      <x:c r="A17" s="45" t="str">
        <x:v>BR-B-006</x:v>
      </x:c>
      <x:c r="B17" s="46" t="str">
        <x:v>B. Home and Life Indicators</x:v>
      </x:c>
      <x:c r="C17" s="47" t="str">
        <x:v>Corrections preserve history through reversals and replacements.</x:v>
      </x:c>
    </x:row>
    <x:row r="18" ht="42" customHeight="1">
      <x:c r="A18" s="45" t="str">
        <x:v>BR-B-007</x:v>
      </x:c>
      <x:c r="B18" s="46" t="str">
        <x:v>B. Home and Life Indicators</x:v>
      </x:c>
      <x:c r="C18" s="47" t="str">
        <x:v>Title-only indicator classification is prohibited.</x:v>
      </x:c>
    </x:row>
    <x:row r="19" ht="42" customHeight="1">
      <x:c r="A19" s="45" t="str">
        <x:v>BR-B-008</x:v>
      </x:c>
      <x:c r="B19" s="46" t="str">
        <x:v>B. Home and Life Indicators</x:v>
      </x:c>
      <x:c r="C19" s="47" t="str">
        <x:v>Cancelled and rescheduled items must not double-count Scheduled Potential.</x:v>
      </x:c>
    </x:row>
    <x:row r="20" ht="42" customHeight="1">
      <x:c r="A20" s="45" t="str">
        <x:v>BR-B-009</x:v>
      </x:c>
      <x:c r="B20" s="46" t="str">
        <x:v>B. Home and Life Indicators</x:v>
      </x:c>
      <x:c r="C20" s="47" t="str">
        <x:v>Spiritual-adjacent indicators use neutral factual language.</x:v>
      </x:c>
    </x:row>
    <x:row r="21" ht="42" customHeight="1">
      <x:c r="A21" s="45" t="str">
        <x:v>BR-B-010</x:v>
      </x:c>
      <x:c r="B21" s="46" t="str">
        <x:v>B. Home and Life Indicators</x:v>
      </x:c>
      <x:c r="C21" s="47" t="str">
        <x:v>No composite worthiness or life-quality score is allowed.</x:v>
      </x:c>
    </x:row>
    <x:row r="22" ht="42" customHeight="1">
      <x:c r="A22" s="45" t="str">
        <x:v>BR-C-001</x:v>
      </x:c>
      <x:c r="B22" s="46" t="str">
        <x:v>C. Planner Day View</x:v>
      </x:c>
      <x:c r="C22" s="47" t="str">
        <x:v>Tasks and Calendar Events remain visibly and behaviorally distinct.</x:v>
      </x:c>
    </x:row>
    <x:row r="23" ht="42" customHeight="1">
      <x:c r="A23" s="45" t="str">
        <x:v>BR-C-002</x:v>
      </x:c>
      <x:c r="B23" s="46" t="str">
        <x:v>C. Planner Day View</x:v>
      </x:c>
      <x:c r="C23" s="47" t="str">
        <x:v>Overdue is a Task attention state, not a Task status.</x:v>
      </x:c>
    </x:row>
    <x:row r="24" ht="42" customHeight="1">
      <x:c r="A24" s="45" t="str">
        <x:v>BR-C-003</x:v>
      </x:c>
      <x:c r="B24" s="46" t="str">
        <x:v>C. Planner Day View</x:v>
      </x:c>
      <x:c r="C24" s="47" t="str">
        <x:v>Awaiting Report is an event attention state, not an event status.</x:v>
      </x:c>
    </x:row>
    <x:row r="25" ht="42" customHeight="1">
      <x:c r="A25" s="45" t="str">
        <x:v>BR-C-004</x:v>
      </x:c>
      <x:c r="B25" s="46" t="str">
        <x:v>C. Planner Day View</x:v>
      </x:c>
      <x:c r="C25" s="47" t="str">
        <x:v>Elapsed time does not create event outcomes.</x:v>
      </x:c>
    </x:row>
    <x:row r="26" ht="42" customHeight="1">
      <x:c r="A26" s="45" t="str">
        <x:v>BR-C-005</x:v>
      </x:c>
      <x:c r="B26" s="46" t="str">
        <x:v>C. Planner Day View</x:v>
      </x:c>
      <x:c r="C26" s="47" t="str">
        <x:v>Completing one linked record does not complete the other.</x:v>
      </x:c>
    </x:row>
    <x:row r="27" ht="42" customHeight="1">
      <x:c r="A27" s="45" t="str">
        <x:v>BR-C-006</x:v>
      </x:c>
      <x:c r="B27" s="46" t="str">
        <x:v>C. Planner Day View</x:v>
      </x:c>
      <x:c r="C27" s="47" t="str">
        <x:v>All-day events remain Calendar Events.</x:v>
      </x:c>
    </x:row>
    <x:row r="28" ht="42" customHeight="1">
      <x:c r="A28" s="45" t="str">
        <x:v>BR-C-007</x:v>
      </x:c>
      <x:c r="B28" s="46" t="str">
        <x:v>C. Planner Day View</x:v>
      </x:c>
      <x:c r="C28" s="47" t="str">
        <x:v>Rescheduling preserves original history and creates an active replacement.</x:v>
      </x:c>
    </x:row>
    <x:row r="29" ht="42" customHeight="1">
      <x:c r="A29" s="45" t="str">
        <x:v>BR-C-008</x:v>
      </x:c>
      <x:c r="B29" s="46" t="str">
        <x:v>C. Planner Day View</x:v>
      </x:c>
      <x:c r="C29" s="47" t="str">
        <x:v>Offline creation and editing update Drift immediately.</x:v>
      </x:c>
    </x:row>
    <x:row r="30" ht="42" customHeight="1">
      <x:c r="A30" s="45" t="str">
        <x:v>BR-C-009</x:v>
      </x:c>
      <x:c r="B30" s="46" t="str">
        <x:v>C. Planner Day View</x:v>
      </x:c>
      <x:c r="C30" s="47" t="str">
        <x:v>Maps remain contextual.</x:v>
      </x:c>
    </x:row>
    <x:row r="31" ht="42" customHeight="1">
      <x:c r="A31" s="45" t="str">
        <x:v>BR-C-010</x:v>
      </x:c>
      <x:c r="B31" s="46" t="str">
        <x:v>C. Planner Day View</x:v>
      </x:c>
      <x:c r="C31" s="47" t="str">
        <x:v>Save failure must not create false records.</x:v>
      </x:c>
    </x:row>
    <x:row r="32" ht="42" customHeight="1">
      <x:c r="A32" s="45" t="str">
        <x:v>BR-D-001</x:v>
      </x:c>
      <x:c r="B32" s="46" t="str">
        <x:v>D. Tasks</x:v>
      </x:c>
      <x:c r="C32" s="47" t="str">
        <x:v>Task statuses are Incomplete, Completed, Skipped, and Cancelled.</x:v>
      </x:c>
    </x:row>
    <x:row r="33" ht="42" customHeight="1">
      <x:c r="A33" s="45" t="str">
        <x:v>BR-D-002</x:v>
      </x:c>
      <x:c r="B33" s="46" t="str">
        <x:v>D. Tasks</x:v>
      </x:c>
      <x:c r="C33" s="47" t="str">
        <x:v>New Tasks begin Incomplete.</x:v>
      </x:c>
    </x:row>
    <x:row r="34" ht="42" customHeight="1">
      <x:c r="A34" s="45" t="str">
        <x:v>BR-D-003</x:v>
      </x:c>
      <x:c r="B34" s="46" t="str">
        <x:v>D. Tasks</x:v>
      </x:c>
      <x:c r="C34" s="47" t="str">
        <x:v>Overdue is derived from due date and Incomplete status.</x:v>
      </x:c>
    </x:row>
    <x:row r="35" ht="42" customHeight="1">
      <x:c r="A35" s="45" t="str">
        <x:v>BR-D-004</x:v>
      </x:c>
      <x:c r="B35" s="46" t="str">
        <x:v>D. Tasks</x:v>
      </x:c>
      <x:c r="C35" s="47" t="str">
        <x:v>Task completion does not complete linked events.</x:v>
      </x:c>
    </x:row>
    <x:row r="36" ht="42" customHeight="1">
      <x:c r="A36" s="45" t="str">
        <x:v>BR-D-005</x:v>
      </x:c>
      <x:c r="B36" s="46" t="str">
        <x:v>D. Tasks</x:v>
      </x:c>
      <x:c r="C36" s="47" t="str">
        <x:v>Required reporting cannot be bypassed.</x:v>
      </x:c>
    </x:row>
    <x:row r="37" ht="42" customHeight="1">
      <x:c r="A37" s="45" t="str">
        <x:v>BR-D-006</x:v>
      </x:c>
      <x:c r="B37" s="46" t="str">
        <x:v>D. Tasks</x:v>
      </x:c>
      <x:c r="C37" s="47" t="str">
        <x:v>Task completion alone does not create Actual.</x:v>
      </x:c>
    </x:row>
    <x:row r="38" ht="42" customHeight="1">
      <x:c r="A38" s="45" t="str">
        <x:v>BR-D-007</x:v>
      </x:c>
      <x:c r="B38" s="46" t="str">
        <x:v>D. Tasks</x:v>
      </x:c>
      <x:c r="C38" s="47" t="str">
        <x:v>Contribution rules are explicit and never title-based.</x:v>
      </x:c>
    </x:row>
    <x:row r="39" ht="42" customHeight="1">
      <x:c r="A39" s="45" t="str">
        <x:v>BR-D-008</x:v>
      </x:c>
      <x:c r="B39" s="46" t="str">
        <x:v>D. Tasks</x:v>
      </x:c>
      <x:c r="C39" s="47" t="str">
        <x:v>Tasks may exist without due dates.</x:v>
      </x:c>
    </x:row>
    <x:row r="40" ht="42" customHeight="1">
      <x:c r="A40" s="45" t="str">
        <x:v>BR-D-009</x:v>
      </x:c>
      <x:c r="B40" s="46" t="str">
        <x:v>D. Tasks</x:v>
      </x:c>
      <x:c r="C40" s="47" t="str">
        <x:v>Retries must not duplicate reports or ledger effects.</x:v>
      </x:c>
    </x:row>
    <x:row r="41" ht="42" customHeight="1">
      <x:c r="A41" s="45" t="str">
        <x:v>BR-D-010</x:v>
      </x:c>
      <x:c r="B41" s="46" t="str">
        <x:v>D. Tasks</x:v>
      </x:c>
      <x:c r="C41" s="47" t="str">
        <x:v>Corrections preserve historical effects.</x:v>
      </x:c>
    </x:row>
    <x:row r="42" ht="42" customHeight="1">
      <x:c r="A42" s="45" t="str">
        <x:v>BR-E-001</x:v>
      </x:c>
      <x:c r="B42" s="46" t="str">
        <x:v>E. Calendar Events and Recurrence</x:v>
      </x:c>
      <x:c r="C42" s="47" t="str">
        <x:v>Calendar Event statuses are Scheduled, Completed/Happened, Partially Completed, Did Not Happen, Cancelled, and Rescheduled.</x:v>
      </x:c>
    </x:row>
    <x:row r="43" ht="42" customHeight="1">
      <x:c r="A43" s="45" t="str">
        <x:v>BR-E-002</x:v>
      </x:c>
      <x:c r="B43" s="46" t="str">
        <x:v>E. Calendar Events and Recurrence</x:v>
      </x:c>
      <x:c r="C43" s="47" t="str">
        <x:v>Happened outcomes come from valid reporting.</x:v>
      </x:c>
    </x:row>
    <x:row r="44" ht="42" customHeight="1">
      <x:c r="A44" s="45" t="str">
        <x:v>BR-E-003</x:v>
      </x:c>
      <x:c r="B44" s="46" t="str">
        <x:v>E. Calendar Events and Recurrence</x:v>
      </x:c>
      <x:c r="C44" s="47" t="str">
        <x:v>Elapsed time does not create an outcome.</x:v>
      </x:c>
    </x:row>
    <x:row r="45" ht="42" customHeight="1">
      <x:c r="A45" s="45" t="str">
        <x:v>BR-E-004</x:v>
      </x:c>
      <x:c r="B45" s="46" t="str">
        <x:v>E. Calendar Events and Recurrence</x:v>
      </x:c>
      <x:c r="C45" s="47" t="str">
        <x:v>Awaiting Report is an attention state.</x:v>
      </x:c>
    </x:row>
    <x:row r="46" ht="42" customHeight="1">
      <x:c r="A46" s="45" t="str">
        <x:v>BR-E-005</x:v>
      </x:c>
      <x:c r="B46" s="46" t="str">
        <x:v>E. Calendar Events and Recurrence</x:v>
      </x:c>
      <x:c r="C46" s="47" t="str">
        <x:v>Each recurring occurrence is independently reportable.</x:v>
      </x:c>
    </x:row>
    <x:row r="47" ht="42" customHeight="1">
      <x:c r="A47" s="45" t="str">
        <x:v>BR-E-006</x:v>
      </x:c>
      <x:c r="B47" s="46" t="str">
        <x:v>E. Calendar Events and Recurrence</x:v>
      </x:c>
      <x:c r="C47" s="47" t="str">
        <x:v>Rescheduling preserves the original and creates a linked replacement.</x:v>
      </x:c>
    </x:row>
    <x:row r="48" ht="42" customHeight="1">
      <x:c r="A48" s="45" t="str">
        <x:v>BR-E-007</x:v>
      </x:c>
      <x:c r="B48" s="46" t="str">
        <x:v>E. Calendar Events and Recurrence</x:v>
      </x:c>
      <x:c r="C48" s="47" t="str">
        <x:v>Original and replacement do not both count as active Scheduled Potential.</x:v>
      </x:c>
    </x:row>
    <x:row r="49" ht="42" customHeight="1">
      <x:c r="A49" s="45" t="str">
        <x:v>BR-E-008</x:v>
      </x:c>
      <x:c r="B49" s="46" t="str">
        <x:v>E. Calendar Events and Recurrence</x:v>
      </x:c>
      <x:c r="C49" s="47" t="str">
        <x:v>Series edits preserve reported historical occurrences.</x:v>
      </x:c>
    </x:row>
    <x:row r="50" ht="42" customHeight="1">
      <x:c r="A50" s="45" t="str">
        <x:v>BR-E-009</x:v>
      </x:c>
      <x:c r="B50" s="46" t="str">
        <x:v>E. Calendar Events and Recurrence</x:v>
      </x:c>
      <x:c r="C50" s="47" t="str">
        <x:v>Calendar permission is not required for internal events.</x:v>
      </x:c>
    </x:row>
    <x:row r="51" ht="42" customHeight="1">
      <x:c r="A51" s="45" t="str">
        <x:v>BR-E-010</x:v>
      </x:c>
      <x:c r="B51" s="46" t="str">
        <x:v>E. Calendar Events and Recurrence</x:v>
      </x:c>
      <x:c r="C51" s="47" t="str">
        <x:v>Title-only contribution classification is prohibited.</x:v>
      </x:c>
    </x:row>
    <x:row r="52" ht="42" customHeight="1">
      <x:c r="A52" s="45" t="str">
        <x:v>BR-F-001</x:v>
      </x:c>
      <x:c r="B52" s="46" t="str">
        <x:v>F. Task–Event Linking</x:v>
      </x:c>
      <x:c r="C52" s="47" t="str">
        <x:v>Task–Event links do not merge record identities or statuses.</x:v>
      </x:c>
    </x:row>
    <x:row r="53" ht="42" customHeight="1">
      <x:c r="A53" s="45" t="str">
        <x:v>BR-F-002</x:v>
      </x:c>
      <x:c r="B53" s="46" t="str">
        <x:v>F. Task–Event Linking</x:v>
      </x:c>
      <x:c r="C53" s="47" t="str">
        <x:v>Links are explicit and never inferred from matching titles.</x:v>
      </x:c>
    </x:row>
    <x:row r="54" ht="42" customHeight="1">
      <x:c r="A54" s="45" t="str">
        <x:v>BR-F-003</x:v>
      </x:c>
      <x:c r="B54" s="46" t="str">
        <x:v>F. Task–Event Linking</x:v>
      </x:c>
      <x:c r="C54" s="47" t="str">
        <x:v>Link creation does not create reports, Actual, or ledger entries.</x:v>
      </x:c>
    </x:row>
    <x:row r="55" ht="42" customHeight="1">
      <x:c r="A55" s="45" t="str">
        <x:v>BR-F-004</x:v>
      </x:c>
      <x:c r="B55" s="46" t="str">
        <x:v>F. Task–Event Linking</x:v>
      </x:c>
      <x:c r="C55" s="47" t="str">
        <x:v>Equivalent duplicate active links are prohibited.</x:v>
      </x:c>
    </x:row>
    <x:row r="56" ht="42" customHeight="1">
      <x:c r="A56" s="45" t="str">
        <x:v>BR-F-005</x:v>
      </x:c>
      <x:c r="B56" s="46" t="str">
        <x:v>F. Task–Event Linking</x:v>
      </x:c>
      <x:c r="C56" s="47" t="str">
        <x:v>One report must not duplicate contributions through several links.</x:v>
      </x:c>
    </x:row>
    <x:row r="57" ht="42" customHeight="1">
      <x:c r="A57" s="45" t="str">
        <x:v>BR-F-006</x:v>
      </x:c>
      <x:c r="B57" s="46" t="str">
        <x:v>F. Task–Event Linking</x:v>
      </x:c>
      <x:c r="C57" s="47" t="str">
        <x:v>Removing a link does not erase report or ledger history.</x:v>
      </x:c>
    </x:row>
    <x:row r="58" ht="42" customHeight="1">
      <x:c r="A58" s="45" t="str">
        <x:v>BR-F-007</x:v>
      </x:c>
      <x:c r="B58" s="46" t="str">
        <x:v>F. Task–Event Linking</x:v>
      </x:c>
      <x:c r="C58" s="47" t="str">
        <x:v>Rescheduling preserves original relationship history.</x:v>
      </x:c>
    </x:row>
    <x:row r="59" ht="42" customHeight="1">
      <x:c r="A59" s="45" t="str">
        <x:v>BR-F-008</x:v>
      </x:c>
      <x:c r="B59" s="46" t="str">
        <x:v>F. Task–Event Linking</x:v>
      </x:c>
      <x:c r="C59" s="47" t="str">
        <x:v>Series-level and occurrence-level links are distinguishable.</x:v>
      </x:c>
    </x:row>
    <x:row r="60" ht="42" customHeight="1">
      <x:c r="A60" s="45" t="str">
        <x:v>BR-F-009</x:v>
      </x:c>
      <x:c r="B60" s="46" t="str">
        <x:v>F. Task–Event Linking</x:v>
      </x:c>
      <x:c r="C60" s="47" t="str">
        <x:v>Broken links do not infer status or progress.</x:v>
      </x:c>
    </x:row>
    <x:row r="61" ht="42" customHeight="1">
      <x:c r="A61" s="45" t="str">
        <x:v>BR-F-010</x:v>
      </x:c>
      <x:c r="B61" s="46" t="str">
        <x:v>F. Task–Event Linking</x:v>
      </x:c>
      <x:c r="C61" s="47" t="str">
        <x:v>Linking operates offline.</x:v>
      </x:c>
    </x:row>
    <x:row r="62" ht="42" customHeight="1">
      <x:c r="A62" s="45" t="str">
        <x:v>BR-G-001</x:v>
      </x:c>
      <x:c r="B62" s="46" t="str">
        <x:v>G. Event and Task Outcome Reporting</x:v>
      </x:c>
      <x:c r="C62" s="47" t="str">
        <x:v>Event happened outcomes come only from valid Event Reports.</x:v>
      </x:c>
    </x:row>
    <x:row r="63" ht="42" customHeight="1">
      <x:c r="A63" s="45" t="str">
        <x:v>BR-G-002</x:v>
      </x:c>
      <x:c r="B63" s="46" t="str">
        <x:v>G. Event and Task Outcome Reporting</x:v>
      </x:c>
      <x:c r="C63" s="47" t="str">
        <x:v>Scheduled, Cancelled, and Rescheduled are not happened reports.</x:v>
      </x:c>
    </x:row>
    <x:row r="64" ht="42" customHeight="1">
      <x:c r="A64" s="45" t="str">
        <x:v>BR-G-003</x:v>
      </x:c>
      <x:c r="B64" s="46" t="str">
        <x:v>G. Event and Task Outcome Reporting</x:v>
      </x:c>
      <x:c r="C64" s="47" t="str">
        <x:v>Draft reports create no status or Actual effect.</x:v>
      </x:c>
    </x:row>
    <x:row r="65" ht="42" customHeight="1">
      <x:c r="A65" s="45" t="str">
        <x:v>BR-G-004</x:v>
      </x:c>
      <x:c r="B65" s="46" t="str">
        <x:v>G. Event and Task Outcome Reporting</x:v>
      </x:c>
      <x:c r="C65" s="47" t="str">
        <x:v>One source reporting slot has one effective report at a time.</x:v>
      </x:c>
    </x:row>
    <x:row r="66" ht="42" customHeight="1">
      <x:c r="A66" s="45" t="str">
        <x:v>BR-G-005</x:v>
      </x:c>
      <x:c r="B66" s="46" t="str">
        <x:v>G. Event and Task Outcome Reporting</x:v>
      </x:c>
      <x:c r="C66" s="47" t="str">
        <x:v>Required Task reporting must succeed coherently with completion.</x:v>
      </x:c>
    </x:row>
    <x:row r="67" ht="42" customHeight="1">
      <x:c r="A67" s="45" t="str">
        <x:v>BR-G-006</x:v>
      </x:c>
      <x:c r="B67" s="46" t="str">
        <x:v>G. Event and Task Outcome Reporting</x:v>
      </x:c>
      <x:c r="C67" s="47" t="str">
        <x:v>Partial completion uses structured factual values.</x:v>
      </x:c>
    </x:row>
    <x:row r="68" ht="42" customHeight="1">
      <x:c r="A68" s="45" t="str">
        <x:v>BR-G-007</x:v>
      </x:c>
      <x:c r="B68" s="46" t="str">
        <x:v>G. Event and Task Outcome Reporting</x:v>
      </x:c>
      <x:c r="C68" s="47" t="str">
        <x:v>Corrections preserve original reports and use reversal and replacement.</x:v>
      </x:c>
    </x:row>
    <x:row r="69" ht="42" customHeight="1">
      <x:c r="A69" s="45" t="str">
        <x:v>BR-G-008</x:v>
      </x:c>
      <x:c r="B69" s="46" t="str">
        <x:v>G. Event and Task Outcome Reporting</x:v>
      </x:c>
      <x:c r="C69" s="47" t="str">
        <x:v>Retries are idempotent.</x:v>
      </x:c>
    </x:row>
    <x:row r="70" ht="42" customHeight="1">
      <x:c r="A70" s="45" t="str">
        <x:v>BR-G-009</x:v>
      </x:c>
      <x:c r="B70" s="46" t="str">
        <x:v>G. Event and Task Outcome Reporting</x:v>
      </x:c>
      <x:c r="C70" s="47" t="str">
        <x:v>Report classification is explicit, not title-based.</x:v>
      </x:c>
    </x:row>
    <x:row r="71" ht="42" customHeight="1">
      <x:c r="A71" s="45" t="str">
        <x:v>BR-G-010</x:v>
      </x:c>
      <x:c r="B71" s="46" t="str">
        <x:v>G. Event and Task Outcome Reporting</x:v>
      </x:c>
      <x:c r="C71" s="47" t="str">
        <x:v>Reporting works offline.</x:v>
      </x:c>
    </x:row>
    <x:row r="72" ht="42" customHeight="1">
      <x:c r="A72" s="45" t="str">
        <x:v>BR-H-001</x:v>
      </x:c>
      <x:c r="B72" s="46" t="str">
        <x:v>H. Activity Ledger and Contribution History</x:v>
      </x:c>
      <x:c r="C72" s="47" t="str">
        <x:v>The Activity Ledger is the canonical source of Actual.</x:v>
      </x:c>
    </x:row>
    <x:row r="73" ht="42" customHeight="1">
      <x:c r="A73" s="45" t="str">
        <x:v>BR-H-002</x:v>
      </x:c>
      <x:c r="B73" s="46" t="str">
        <x:v>H. Activity Ledger and Contribution History</x:v>
      </x:c>
      <x:c r="C73" s="47" t="str">
        <x:v>Users cannot directly edit Actual or raw ledger rows.</x:v>
      </x:c>
    </x:row>
    <x:row r="74" ht="42" customHeight="1">
      <x:c r="A74" s="45" t="str">
        <x:v>BR-H-003</x:v>
      </x:c>
      <x:c r="B74" s="46" t="str">
        <x:v>H. Activity Ledger and Contribution History</x:v>
      </x:c>
      <x:c r="C74" s="47" t="str">
        <x:v>Every contribution has indicator, value, unit, activity date, source report, and rule identity.</x:v>
      </x:c>
    </x:row>
    <x:row r="75" ht="42" customHeight="1">
      <x:c r="A75" s="45" t="str">
        <x:v>BR-H-004</x:v>
      </x:c>
      <x:c r="B75" s="46" t="str">
        <x:v>H. Activity Ledger and Contribution History</x:v>
      </x:c>
      <x:c r="C75" s="47" t="str">
        <x:v>Scheduled Potential never posts to the ledger merely because it is scheduled.</x:v>
      </x:c>
    </x:row>
    <x:row r="76" ht="42" customHeight="1">
      <x:c r="A76" s="45" t="str">
        <x:v>BR-H-005</x:v>
      </x:c>
      <x:c r="B76" s="46" t="str">
        <x:v>H. Activity Ledger and Contribution History</x:v>
      </x:c>
      <x:c r="C76" s="47" t="str">
        <x:v>Duplicate source-rule application is prohibited.</x:v>
      </x:c>
    </x:row>
    <x:row r="77" ht="42" customHeight="1">
      <x:c r="A77" s="45" t="str">
        <x:v>BR-H-006</x:v>
      </x:c>
      <x:c r="B77" s="46" t="str">
        <x:v>H. Activity Ledger and Contribution History</x:v>
      </x:c>
      <x:c r="C77" s="47" t="str">
        <x:v>Corrections use reversals and replacements.</x:v>
      </x:c>
    </x:row>
    <x:row r="78" ht="42" customHeight="1">
      <x:c r="A78" s="45" t="str">
        <x:v>BR-H-007</x:v>
      </x:c>
      <x:c r="B78" s="46" t="str">
        <x:v>H. Activity Ledger and Contribution History</x:v>
      </x:c>
      <x:c r="C78" s="47" t="str">
        <x:v>Reversed history remains visible.</x:v>
      </x:c>
    </x:row>
    <x:row r="79" ht="42" customHeight="1">
      <x:c r="A79" s="45" t="str">
        <x:v>BR-H-008</x:v>
      </x:c>
      <x:c r="B79" s="46" t="str">
        <x:v>H. Activity Ledger and Contribution History</x:v>
      </x:c>
      <x:c r="C79" s="47" t="str">
        <x:v>Activity date determines the contribution period.</x:v>
      </x:c>
    </x:row>
    <x:row r="80" ht="42" customHeight="1">
      <x:c r="A80" s="45" t="str">
        <x:v>BR-H-009</x:v>
      </x:c>
      <x:c r="B80" s="46" t="str">
        <x:v>H. Activity Ledger and Contribution History</x:v>
      </x:c>
      <x:c r="C80" s="47" t="str">
        <x:v>Archived planning sources do not erase ledger history.</x:v>
      </x:c>
    </x:row>
    <x:row r="81" ht="42" customHeight="1">
      <x:c r="A81" s="45" t="str">
        <x:v>BR-H-010</x:v>
      </x:c>
      <x:c r="B81" s="46" t="str">
        <x:v>H. Activity Ledger and Contribution History</x:v>
      </x:c>
      <x:c r="C81" s="47" t="str">
        <x:v>Projections rebuild from canonical ledger history.</x:v>
      </x:c>
    </x:row>
    <x:row r="82" ht="42" customHeight="1">
      <x:c r="A82" s="45" t="str">
        <x:v>BR-I-001</x:v>
      </x:c>
      <x:c r="B82" s="46" t="str">
        <x:v>I. Weekly Planning</x:v>
      </x:c>
      <x:c r="C82" s="47" t="str">
        <x:v>One effective Weekly Plan exists per Local Profile and weekly period.</x:v>
      </x:c>
    </x:row>
    <x:row r="83" ht="42" customHeight="1">
      <x:c r="A83" s="45" t="str">
        <x:v>BR-I-002</x:v>
      </x:c>
      <x:c r="B83" s="46" t="str">
        <x:v>I. Weekly Planning</x:v>
      </x:c>
      <x:c r="C83" s="47" t="str">
        <x:v>Weekly Targets are user-controlled and separate from Actual.</x:v>
      </x:c>
    </x:row>
    <x:row r="84" ht="42" customHeight="1">
      <x:c r="A84" s="45" t="str">
        <x:v>BR-I-003</x:v>
      </x:c>
      <x:c r="B84" s="46" t="str">
        <x:v>I. Weekly Planning</x:v>
      </x:c>
      <x:c r="C84" s="47" t="str">
        <x:v>Zero differs from Not set.</x:v>
      </x:c>
    </x:row>
    <x:row r="85" ht="42" customHeight="1">
      <x:c r="A85" s="45" t="str">
        <x:v>BR-I-004</x:v>
      </x:c>
      <x:c r="B85" s="46" t="str">
        <x:v>I. Weekly Planning</x:v>
      </x:c>
      <x:c r="C85" s="47" t="str">
        <x:v>Target revisions remain traceable.</x:v>
      </x:c>
    </x:row>
    <x:row r="86" ht="42" customHeight="1">
      <x:c r="A86" s="45" t="str">
        <x:v>BR-I-005</x:v>
      </x:c>
      <x:c r="B86" s="46" t="str">
        <x:v>I. Weekly Planning</x:v>
      </x:c>
      <x:c r="C86" s="47" t="str">
        <x:v>Actual and Scheduled Potential remain separate.</x:v>
      </x:c>
    </x:row>
    <x:row r="87" ht="42" customHeight="1">
      <x:c r="A87" s="45" t="str">
        <x:v>BR-I-006</x:v>
      </x:c>
      <x:c r="B87" s="46" t="str">
        <x:v>I. Weekly Planning</x:v>
      </x:c>
      <x:c r="C87" s="47" t="str">
        <x:v>Review Due is an attention state.</x:v>
      </x:c>
    </x:row>
    <x:row r="88" ht="42" customHeight="1">
      <x:c r="A88" s="45" t="str">
        <x:v>BR-I-007</x:v>
      </x:c>
      <x:c r="B88" s="46" t="str">
        <x:v>I. Weekly Planning</x:v>
      </x:c>
      <x:c r="C88" s="47" t="str">
        <x:v>Late valid reports may update historical Actual with post-review disclosure.</x:v>
      </x:c>
    </x:row>
    <x:row r="89" ht="42" customHeight="1">
      <x:c r="A89" s="45" t="str">
        <x:v>BR-I-008</x:v>
      </x:c>
      <x:c r="B89" s="46" t="str">
        <x:v>I. Weekly Planning</x:v>
      </x:c>
      <x:c r="C89" s="47" t="str">
        <x:v>Task carryover is explicit.</x:v>
      </x:c>
    </x:row>
    <x:row r="90" ht="42" customHeight="1">
      <x:c r="A90" s="45" t="str">
        <x:v>BR-I-009</x:v>
      </x:c>
      <x:c r="B90" s="46" t="str">
        <x:v>I. Weekly Planning</x:v>
      </x:c>
      <x:c r="C90" s="47" t="str">
        <x:v>Calendar Events do not carry over automatically.</x:v>
      </x:c>
    </x:row>
    <x:row r="91" ht="42" customHeight="1">
      <x:c r="A91" s="45" t="str">
        <x:v>BR-I-010</x:v>
      </x:c>
      <x:c r="B91" s="46" t="str">
        <x:v>I. Weekly Planning</x:v>
      </x:c>
      <x:c r="C91" s="47" t="str">
        <x:v>Prior Weekly Plans remain historical and accessible.</x:v>
      </x:c>
    </x:row>
    <x:row r="92" ht="42" customHeight="1">
      <x:c r="A92" s="45" t="str">
        <x:v>BR-J-001</x:v>
      </x:c>
      <x:c r="B92" s="46" t="str">
        <x:v>J. Pathways, Goals, and Milestones</x:v>
      </x:c>
      <x:c r="C92" s="47" t="str">
        <x:v>Pathway, Goal, and Milestone remain separate records.</x:v>
      </x:c>
    </x:row>
    <x:row r="93" ht="42" customHeight="1">
      <x:c r="A93" s="45" t="str">
        <x:v>BR-J-002</x:v>
      </x:c>
      <x:c r="B93" s="46" t="str">
        <x:v>J. Pathways, Goals, and Milestones</x:v>
      </x:c>
      <x:c r="C93" s="47" t="str">
        <x:v>Completion methods are explicit and factual.</x:v>
      </x:c>
    </x:row>
    <x:row r="94" ht="42" customHeight="1">
      <x:c r="A94" s="45" t="str">
        <x:v>BR-J-003</x:v>
      </x:c>
      <x:c r="B94" s="46" t="str">
        <x:v>J. Pathways, Goals, and Milestones</x:v>
      </x:c>
      <x:c r="C94" s="47" t="str">
        <x:v>Titles and free-text notes do not establish progress.</x:v>
      </x:c>
    </x:row>
    <x:row r="95" ht="42" customHeight="1">
      <x:c r="A95" s="45" t="str">
        <x:v>BR-J-004</x:v>
      </x:c>
      <x:c r="B95" s="46" t="str">
        <x:v>J. Pathways, Goals, and Milestones</x:v>
      </x:c>
      <x:c r="C95" s="47" t="str">
        <x:v>Unexplained percentages are prohibited.</x:v>
      </x:c>
    </x:row>
    <x:row r="96" ht="42" customHeight="1">
      <x:c r="A96" s="45" t="str">
        <x:v>BR-J-005</x:v>
      </x:c>
      <x:c r="B96" s="46" t="str">
        <x:v>J. Pathways, Goals, and Milestones</x:v>
      </x:c>
      <x:c r="C96" s="47" t="str">
        <x:v>Pausing does not cancel linked records.</x:v>
      </x:c>
    </x:row>
    <x:row r="97" ht="42" customHeight="1">
      <x:c r="A97" s="45" t="str">
        <x:v>BR-J-006</x:v>
      </x:c>
      <x:c r="B97" s="46" t="str">
        <x:v>J. Pathways, Goals, and Milestones</x:v>
      </x:c>
      <x:c r="C97" s="47" t="str">
        <x:v>Archiving does not erase history.</x:v>
      </x:c>
    </x:row>
    <x:row r="98" ht="42" customHeight="1">
      <x:c r="A98" s="45" t="str">
        <x:v>BR-J-007</x:v>
      </x:c>
      <x:c r="B98" s="46" t="str">
        <x:v>J. Pathways, Goals, and Milestones</x:v>
      </x:c>
      <x:c r="C98" s="47" t="str">
        <x:v>Reopening preserves prior completion history.</x:v>
      </x:c>
    </x:row>
    <x:row r="99" ht="42" customHeight="1">
      <x:c r="A99" s="45" t="str">
        <x:v>BR-J-008</x:v>
      </x:c>
      <x:c r="B99" s="46" t="str">
        <x:v>J. Pathways, Goals, and Milestones</x:v>
      </x:c>
      <x:c r="C99" s="47" t="str">
        <x:v>Bundled content updates preserve user state.</x:v>
      </x:c>
    </x:row>
    <x:row r="100" ht="42" customHeight="1">
      <x:c r="A100" s="45" t="str">
        <x:v>BR-J-009</x:v>
      </x:c>
      <x:c r="B100" s="46" t="str">
        <x:v>J. Pathways, Goals, and Milestones</x:v>
      </x:c>
      <x:c r="C100" s="47" t="str">
        <x:v>Private reflections do not affect progress.</x:v>
      </x:c>
    </x:row>
    <x:row r="101" ht="42" customHeight="1">
      <x:c r="A101" s="45" t="str">
        <x:v>BR-J-010</x:v>
      </x:c>
      <x:c r="B101" s="46" t="str">
        <x:v>J. Pathways, Goals, and Milestones</x:v>
      </x:c>
      <x:c r="C101" s="47" t="str">
        <x:v>Covenant Path cannot score or share spiritual quality.</x:v>
      </x:c>
    </x:row>
    <x:row r="102" ht="42" customHeight="1">
      <x:c r="A102" s="45" t="str">
        <x:v>BR-K-001</x:v>
      </x:c>
      <x:c r="B102" s="46" t="str">
        <x:v>K. Covenant Path</x:v>
      </x:c>
      <x:c r="C102" s="47" t="str">
        <x:v>Covenant Path is private, optional, and nonauthoritative.</x:v>
      </x:c>
    </x:row>
    <x:row r="103" ht="42" customHeight="1">
      <x:c r="A103" s="45" t="str">
        <x:v>BR-K-002</x:v>
      </x:c>
      <x:c r="B103" s="46" t="str">
        <x:v>K. Covenant Path</x:v>
      </x:c>
      <x:c r="C103" s="47" t="str">
        <x:v>It does not replace Church leaders, priesthood keys, official resources, or personal revelation.</x:v>
      </x:c>
    </x:row>
    <x:row r="104" ht="42" customHeight="1">
      <x:c r="A104" s="45" t="str">
        <x:v>BR-K-003</x:v>
      </x:c>
      <x:c r="B104" s="46" t="str">
        <x:v>K. Covenant Path</x:v>
      </x:c>
      <x:c r="C104" s="47" t="str">
        <x:v>It must not score worthiness, righteousness, testimony, or spiritual quality.</x:v>
      </x:c>
    </x:row>
    <x:row r="105" ht="42" customHeight="1">
      <x:c r="A105" s="45" t="str">
        <x:v>BR-K-004</x:v>
      </x:c>
      <x:c r="B105" s="46" t="str">
        <x:v>K. Covenant Path</x:v>
      </x:c>
      <x:c r="C105" s="47" t="str">
        <x:v>Suggested activities are optional and nonjudgmental.</x:v>
      </x:c>
    </x:row>
    <x:row r="106" ht="42" customHeight="1">
      <x:c r="A106" s="45" t="str">
        <x:v>BR-K-005</x:v>
      </x:c>
      <x:c r="B106" s="46" t="str">
        <x:v>K. Covenant Path</x:v>
      </x:c>
      <x:c r="C106" s="47" t="str">
        <x:v>Scripture Study and Temple Visit are factual activities only.</x:v>
      </x:c>
    </x:row>
    <x:row r="107" ht="42" customHeight="1">
      <x:c r="A107" s="45" t="str">
        <x:v>BR-K-006</x:v>
      </x:c>
      <x:c r="B107" s="46" t="str">
        <x:v>K. Covenant Path</x:v>
      </x:c>
      <x:c r="C107" s="47" t="str">
        <x:v>Scheduled spiritual activity is not Actual.</x:v>
      </x:c>
    </x:row>
    <x:row r="108" ht="42" customHeight="1">
      <x:c r="A108" s="45" t="str">
        <x:v>BR-K-007</x:v>
      </x:c>
      <x:c r="B108" s="46" t="str">
        <x:v>K. Covenant Path</x:v>
      </x:c>
      <x:c r="C108" s="47" t="str">
        <x:v>Private reflections do not affect progress.</x:v>
      </x:c>
    </x:row>
    <x:row r="109" ht="42" customHeight="1">
      <x:c r="A109" s="45" t="str">
        <x:v>BR-K-008</x:v>
      </x:c>
      <x:c r="B109" s="46" t="str">
        <x:v>K. Covenant Path</x:v>
      </x:c>
      <x:c r="C109" s="47" t="str">
        <x:v>No leader, family, or mentor sharing is allowed.</x:v>
      </x:c>
    </x:row>
    <x:row r="110" ht="42" customHeight="1">
      <x:c r="A110" s="45" t="str">
        <x:v>BR-K-009</x:v>
      </x:c>
      <x:c r="B110" s="46" t="str">
        <x:v>K. Covenant Path</x:v>
      </x:c>
      <x:c r="C110" s="47" t="str">
        <x:v>Content updates preserve user state.</x:v>
      </x:c>
    </x:row>
    <x:row r="111" ht="42" customHeight="1">
      <x:c r="A111" s="45" t="str">
        <x:v>BR-K-010</x:v>
      </x:c>
      <x:c r="B111" s="46" t="str">
        <x:v>K. Covenant Path</x:v>
      </x:c>
      <x:c r="C111" s="47" t="str">
        <x:v>No membership or temple-recommend verification is required.</x:v>
      </x:c>
    </x:row>
    <x:row r="112" ht="42" customHeight="1">
      <x:c r="A112" s="45" t="str">
        <x:v>BR-L-001</x:v>
      </x:c>
      <x:c r="B112" s="46" t="str">
        <x:v>L. Contacts and Follow-Ups</x:v>
      </x:c>
      <x:c r="C112" s="47" t="str">
        <x:v>Contacts are private to the Local Profile.</x:v>
      </x:c>
    </x:row>
    <x:row r="113" ht="42" customHeight="1">
      <x:c r="A113" s="45" t="str">
        <x:v>BR-L-002</x:v>
      </x:c>
      <x:c r="B113" s="46" t="str">
        <x:v>L. Contacts and Follow-Ups</x:v>
      </x:c>
      <x:c r="C113" s="47" t="str">
        <x:v>Manual contact creation requires no permission.</x:v>
      </x:c>
    </x:row>
    <x:row r="114" ht="42" customHeight="1">
      <x:c r="A114" s="45" t="str">
        <x:v>BR-L-003</x:v>
      </x:c>
      <x:c r="B114" s="46" t="str">
        <x:v>L. Contacts and Follow-Ups</x:v>
      </x:c>
      <x:c r="C114" s="47" t="str">
        <x:v>Device-contact import is optional and selected by the user.</x:v>
      </x:c>
    </x:row>
    <x:row r="115" ht="42" customHeight="1">
      <x:c r="A115" s="45" t="str">
        <x:v>BR-L-004</x:v>
      </x:c>
      <x:c r="B115" s="46" t="str">
        <x:v>L. Contacts and Follow-Ups</x:v>
      </x:c>
      <x:c r="C115" s="47" t="str">
        <x:v>Planned communication is Scheduled Potential, not Actual.</x:v>
      </x:c>
    </x:row>
    <x:row r="116" ht="42" customHeight="1">
      <x:c r="A116" s="45" t="str">
        <x:v>BR-L-005</x:v>
      </x:c>
      <x:c r="B116" s="46" t="str">
        <x:v>L. Contacts and Follow-Ups</x:v>
      </x:c>
      <x:c r="C116" s="47" t="str">
        <x:v>Meaningful Connections Actual requires a structured confirmed Interaction Report.</x:v>
      </x:c>
    </x:row>
    <x:row r="117" ht="42" customHeight="1">
      <x:c r="A117" s="45" t="str">
        <x:v>BR-L-006</x:v>
      </x:c>
      <x:c r="B117" s="46" t="str">
        <x:v>L. Contacts and Follow-Ups</x:v>
      </x:c>
      <x:c r="C117" s="47" t="str">
        <x:v>Call logs, message existence, titles, and elapsed time do not create Actual.</x:v>
      </x:c>
    </x:row>
    <x:row r="118" ht="42" customHeight="1">
      <x:c r="A118" s="45" t="str">
        <x:v>BR-L-007</x:v>
      </x:c>
      <x:c r="B118" s="46" t="str">
        <x:v>L. Contacts and Follow-Ups</x:v>
      </x:c>
      <x:c r="C118" s="47" t="str">
        <x:v>One interaction must not double-count through linked Task and event records.</x:v>
      </x:c>
    </x:row>
    <x:row r="119" ht="42" customHeight="1">
      <x:c r="A119" s="45" t="str">
        <x:v>BR-L-008</x:v>
      </x:c>
      <x:c r="B119" s="46" t="str">
        <x:v>L. Contacts and Follow-Ups</x:v>
      </x:c>
      <x:c r="C119" s="47" t="str">
        <x:v>Possible duplicates are not merged automatically.</x:v>
      </x:c>
    </x:row>
    <x:row r="120" ht="42" customHeight="1">
      <x:c r="A120" s="45" t="str">
        <x:v>BR-L-009</x:v>
      </x:c>
      <x:c r="B120" s="46" t="str">
        <x:v>L. Contacts and Follow-Ups</x:v>
      </x:c>
      <x:c r="C120" s="47" t="str">
        <x:v>Archived contacts retain historical links.</x:v>
      </x:c>
    </x:row>
    <x:row r="121" ht="42" customHeight="1">
      <x:c r="A121" s="45" t="str">
        <x:v>BR-L-010</x:v>
      </x:c>
      <x:c r="B121" s="46" t="str">
        <x:v>L. Contacts and Follow-Ups</x:v>
      </x:c>
      <x:c r="C121" s="47" t="str">
        <x:v>No shared directory exists in V1.</x:v>
      </x:c>
    </x:row>
    <x:row r="122" ht="42" customHeight="1">
      <x:c r="A122" s="45" t="str">
        <x:v>BR-M-001</x:v>
      </x:c>
      <x:c r="B122" s="46" t="str">
        <x:v>M. Employment Applications</x:v>
      </x:c>
      <x:c r="C122" s="47" t="str">
        <x:v>Employment Application is separate from Tasks and Calendar Events.</x:v>
      </x:c>
    </x:row>
    <x:row r="123" ht="42" customHeight="1">
      <x:c r="A123" s="45" t="str">
        <x:v>BR-M-002</x:v>
      </x:c>
      <x:c r="B123" s="46" t="str">
        <x:v>M. Employment Applications</x:v>
      </x:c>
      <x:c r="C123" s="47" t="str">
        <x:v>Saved, Considering, and Preparing do not count as submitted applications.</x:v>
      </x:c>
    </x:row>
    <x:row r="124" ht="42" customHeight="1">
      <x:c r="A124" s="45" t="str">
        <x:v>BR-M-003</x:v>
      </x:c>
      <x:c r="B124" s="46" t="str">
        <x:v>M. Employment Applications</x:v>
      </x:c>
      <x:c r="C124" s="47" t="str">
        <x:v>Job Applications Actual requires explicit submission confirmation.</x:v>
      </x:c>
    </x:row>
    <x:row r="125" ht="42" customHeight="1">
      <x:c r="A125" s="45" t="str">
        <x:v>BR-M-004</x:v>
      </x:c>
      <x:c r="B125" s="46" t="str">
        <x:v>M. Employment Applications</x:v>
      </x:c>
      <x:c r="C125" s="47" t="str">
        <x:v>One distinct submission produces no more than one contribution.</x:v>
      </x:c>
    </x:row>
    <x:row r="126" ht="42" customHeight="1">
      <x:c r="A126" s="45" t="str">
        <x:v>BR-M-005</x:v>
      </x:c>
      <x:c r="B126" s="46" t="str">
        <x:v>M. Employment Applications</x:v>
      </x:c>
      <x:c r="C126" s="47" t="str">
        <x:v>Rejection or withdrawal does not erase a valid submission.</x:v>
      </x:c>
    </x:row>
    <x:row r="127" ht="42" customHeight="1">
      <x:c r="A127" s="45" t="str">
        <x:v>BR-M-006</x:v>
      </x:c>
      <x:c r="B127" s="46" t="str">
        <x:v>M. Employment Applications</x:v>
      </x:c>
      <x:c r="C127" s="47" t="str">
        <x:v>Stage transitions preserve history.</x:v>
      </x:c>
    </x:row>
    <x:row r="128" ht="42" customHeight="1">
      <x:c r="A128" s="45" t="str">
        <x:v>BR-M-007</x:v>
      </x:c>
      <x:c r="B128" s="46" t="str">
        <x:v>M. Employment Applications</x:v>
      </x:c>
      <x:c r="C128" s="47" t="str">
        <x:v>Interview elapsed time does not prove attendance.</x:v>
      </x:c>
    </x:row>
    <x:row r="129" ht="42" customHeight="1">
      <x:c r="A129" s="45" t="str">
        <x:v>BR-M-008</x:v>
      </x:c>
      <x:c r="B129" s="46" t="str">
        <x:v>M. Employment Applications</x:v>
      </x:c>
      <x:c r="C129" s="47" t="str">
        <x:v>Reapplication is a separate explicit cycle.</x:v>
      </x:c>
    </x:row>
    <x:row r="130" ht="42" customHeight="1">
      <x:c r="A130" s="45" t="str">
        <x:v>BR-M-009</x:v>
      </x:c>
      <x:c r="B130" s="46" t="str">
        <x:v>M. Employment Applications</x:v>
      </x:c>
      <x:c r="C130" s="47" t="str">
        <x:v>External source data may become stale.</x:v>
      </x:c>
    </x:row>
    <x:row r="131" ht="42" customHeight="1">
      <x:c r="A131" s="45" t="str">
        <x:v>BR-M-010</x:v>
      </x:c>
      <x:c r="B131" s="46" t="str">
        <x:v>M. Employment Applications</x:v>
      </x:c>
      <x:c r="C131" s="47" t="str">
        <x:v>Employment workflows operate offline.</x:v>
      </x:c>
    </x:row>
    <x:row r="132" ht="42" customHeight="1">
      <x:c r="A132" s="45" t="str">
        <x:v>BR-N-001</x:v>
      </x:c>
      <x:c r="B132" s="46" t="str">
        <x:v>N. Education Planning</x:v>
      </x:c>
      <x:c r="C132" s="47" t="str">
        <x:v>Provider-specific rules are content-driven rather than hard-coded domain logic.</x:v>
      </x:c>
    </x:row>
    <x:row r="133" ht="42" customHeight="1">
      <x:c r="A133" s="45" t="str">
        <x:v>BR-N-002</x:v>
      </x:c>
      <x:c r="B133" s="46" t="str">
        <x:v>N. Education Planning</x:v>
      </x:c>
      <x:c r="C133" s="47" t="str">
        <x:v>Saving or planning an education option does not mean applying.</x:v>
      </x:c>
    </x:row>
    <x:row r="134" ht="42" customHeight="1">
      <x:c r="A134" s="45" t="str">
        <x:v>BR-N-003</x:v>
      </x:c>
      <x:c r="B134" s="46" t="str">
        <x:v>N. Education Planning</x:v>
      </x:c>
      <x:c r="C134" s="47" t="str">
        <x:v>Application, admission, and enrollment are distinct outcomes.</x:v>
      </x:c>
    </x:row>
    <x:row r="135" ht="42" customHeight="1">
      <x:c r="A135" s="45" t="str">
        <x:v>BR-N-004</x:v>
      </x:c>
      <x:c r="B135" s="46" t="str">
        <x:v>N. Education Planning</x:v>
      </x:c>
      <x:c r="C135" s="47" t="str">
        <x:v>Time-sensitive requirements carry source and verification metadata.</x:v>
      </x:c>
    </x:row>
    <x:row r="136" ht="42" customHeight="1">
      <x:c r="A136" s="45" t="str">
        <x:v>BR-N-005</x:v>
      </x:c>
      <x:c r="B136" s="46" t="str">
        <x:v>N. Education Planning</x:v>
      </x:c>
      <x:c r="C136" s="47" t="str">
        <x:v>Stale or uncertain information is labeled.</x:v>
      </x:c>
    </x:row>
    <x:row r="137" ht="42" customHeight="1">
      <x:c r="A137" s="45" t="str">
        <x:v>BR-N-006</x:v>
      </x:c>
      <x:c r="B137" s="46" t="str">
        <x:v>N. Education Planning</x:v>
      </x:c>
      <x:c r="C137" s="47" t="str">
        <x:v>Content updates do not overwrite user records.</x:v>
      </x:c>
    </x:row>
    <x:row r="138" ht="42" customHeight="1">
      <x:c r="A138" s="45" t="str">
        <x:v>BR-N-007</x:v>
      </x:c>
      <x:c r="B138" s="46" t="str">
        <x:v>N. Education Planning</x:v>
      </x:c>
      <x:c r="C138" s="47" t="str">
        <x:v>Calendar elapsed time does not complete requirements.</x:v>
      </x:c>
    </x:row>
    <x:row r="139" ht="42" customHeight="1">
      <x:c r="A139" s="45" t="str">
        <x:v>BR-N-008</x:v>
      </x:c>
      <x:c r="B139" s="46" t="str">
        <x:v>N. Education Planning</x:v>
      </x:c>
      <x:c r="C139" s="47" t="str">
        <x:v>Custom providers are supported.</x:v>
      </x:c>
    </x:row>
    <x:row r="140" ht="42" customHeight="1">
      <x:c r="A140" s="45" t="str">
        <x:v>BR-N-009</x:v>
      </x:c>
      <x:c r="B140" s="46" t="str">
        <x:v>N. Education Planning</x:v>
      </x:c>
      <x:c r="C140" s="47" t="str">
        <x:v>Government documents remain separate domain records.</x:v>
      </x:c>
    </x:row>
    <x:row r="141" ht="42" customHeight="1">
      <x:c r="A141" s="45" t="str">
        <x:v>BR-N-010</x:v>
      </x:c>
      <x:c r="B141" s="46" t="str">
        <x:v>N. Education Planning</x:v>
      </x:c>
      <x:c r="C141" s="47" t="str">
        <x:v>Education planning operates offline.</x:v>
      </x:c>
    </x:row>
    <x:row r="142" ht="42" customHeight="1">
      <x:c r="A142" s="45" t="str">
        <x:v>BR-O-001</x:v>
      </x:c>
      <x:c r="B142" s="46" t="str">
        <x:v>O. Government Document Requirements</x:v>
      </x:c>
      <x:c r="C142" s="47" t="str">
        <x:v>Official requirement guidance is updateable content.</x:v>
      </x:c>
    </x:row>
    <x:row r="143" ht="42" customHeight="1">
      <x:c r="A143" s="45" t="str">
        <x:v>BR-O-002</x:v>
      </x:c>
      <x:c r="B143" s="46" t="str">
        <x:v>O. Government Document Requirements</x:v>
      </x:c>
      <x:c r="C143" s="47" t="str">
        <x:v>Scheduling an appointment does not mean submitted or obtained.</x:v>
      </x:c>
    </x:row>
    <x:row r="144" ht="42" customHeight="1">
      <x:c r="A144" s="45" t="str">
        <x:v>BR-O-003</x:v>
      </x:c>
      <x:c r="B144" s="46" t="str">
        <x:v>O. Government Document Requirements</x:v>
      </x:c>
      <x:c r="C144" s="47" t="str">
        <x:v>Submitted and Obtained are distinct factual states.</x:v>
      </x:c>
    </x:row>
    <x:row r="145" ht="42" customHeight="1">
      <x:c r="A145" s="45" t="str">
        <x:v>BR-O-004</x:v>
      </x:c>
      <x:c r="B145" s="46" t="str">
        <x:v>O. Government Document Requirements</x:v>
      </x:c>
      <x:c r="C145" s="47" t="str">
        <x:v>Elapsed time does not change requirement status.</x:v>
      </x:c>
    </x:row>
    <x:row r="146" ht="42" customHeight="1">
      <x:c r="A146" s="45" t="str">
        <x:v>BR-O-005</x:v>
      </x:c>
      <x:c r="B146" s="46" t="str">
        <x:v>O. Government Document Requirements</x:v>
      </x:c>
      <x:c r="C146" s="47" t="str">
        <x:v>Source, authority, jurisdiction, and verification date are shown where available.</x:v>
      </x:c>
    </x:row>
    <x:row r="147" ht="42" customHeight="1">
      <x:c r="A147" s="45" t="str">
        <x:v>BR-O-006</x:v>
      </x:c>
      <x:c r="B147" s="46" t="str">
        <x:v>O. Government Document Requirements</x:v>
      </x:c>
      <x:c r="C147" s="47" t="str">
        <x:v>Content updates preserve user history.</x:v>
      </x:c>
    </x:row>
    <x:row r="148" ht="42" customHeight="1">
      <x:c r="A148" s="45" t="str">
        <x:v>BR-O-007</x:v>
      </x:c>
      <x:c r="B148" s="46" t="str">
        <x:v>O. Government Document Requirements</x:v>
      </x:c>
      <x:c r="C148" s="47" t="str">
        <x:v>Full document numbers and images are not required in V1.</x:v>
      </x:c>
    </x:row>
    <x:row r="149" ht="42" customHeight="1">
      <x:c r="A149" s="45" t="str">
        <x:v>BR-O-008</x:v>
      </x:c>
      <x:c r="B149" s="46" t="str">
        <x:v>O. Government Document Requirements</x:v>
      </x:c>
      <x:c r="C149" s="47" t="str">
        <x:v>Expiration requires an explicit date.</x:v>
      </x:c>
    </x:row>
    <x:row r="150" ht="42" customHeight="1">
      <x:c r="A150" s="45" t="str">
        <x:v>BR-O-009</x:v>
      </x:c>
      <x:c r="B150" s="46" t="str">
        <x:v>O. Government Document Requirements</x:v>
      </x:c>
      <x:c r="C150" s="47" t="str">
        <x:v>Renewal Due is an attention state.</x:v>
      </x:c>
    </x:row>
    <x:row r="151" ht="42" customHeight="1">
      <x:c r="A151" s="45" t="str">
        <x:v>BR-O-010</x:v>
      </x:c>
      <x:c r="B151" s="46" t="str">
        <x:v>O. Government Document Requirements</x:v>
      </x:c>
      <x:c r="C151" s="47" t="str">
        <x:v>Government-document planning operates offline.</x:v>
      </x:c>
    </x:row>
    <x:row r="152" ht="42" customHeight="1">
      <x:c r="A152" s="45" t="str">
        <x:v>BR-P-001</x:v>
      </x:c>
      <x:c r="B152" s="46" t="str">
        <x:v>P. Maps and Locations</x:v>
      </x:c>
      <x:c r="C152" s="47" t="str">
        <x:v>Maps remain contextual and are not a bottom-navigation destination.</x:v>
      </x:c>
    </x:row>
    <x:row r="153" ht="42" customHeight="1">
      <x:c r="A153" s="45" t="str">
        <x:v>BR-P-002</x:v>
      </x:c>
      <x:c r="B153" s="46" t="str">
        <x:v>P. Maps and Locations</x:v>
      </x:c>
      <x:c r="C153" s="47" t="str">
        <x:v>Typed locations require no location permission.</x:v>
      </x:c>
    </x:row>
    <x:row r="154" ht="42" customHeight="1">
      <x:c r="A154" s="45" t="str">
        <x:v>BR-P-003</x:v>
      </x:c>
      <x:c r="B154" s="46" t="str">
        <x:v>P. Maps and Locations</x:v>
      </x:c>
      <x:c r="C154" s="47" t="str">
        <x:v>Current-location permission is contextual.</x:v>
      </x:c>
    </x:row>
    <x:row r="155" ht="42" customHeight="1">
      <x:c r="A155" s="45" t="str">
        <x:v>BR-P-004</x:v>
      </x:c>
      <x:c r="B155" s="46" t="str">
        <x:v>P. Maps and Locations</x:v>
      </x:c>
      <x:c r="C155" s="47" t="str">
        <x:v>Permission denial does not block core workflows.</x:v>
      </x:c>
    </x:row>
    <x:row r="156" ht="42" customHeight="1">
      <x:c r="A156" s="45" t="str">
        <x:v>BR-P-005</x:v>
      </x:c>
      <x:c r="B156" s="46" t="str">
        <x:v>P. Maps and Locations</x:v>
      </x:c>
      <x:c r="C156" s="47" t="str">
        <x:v>Background location is excluded from V1.</x:v>
      </x:c>
    </x:row>
    <x:row r="157" ht="42" customHeight="1">
      <x:c r="A157" s="45" t="str">
        <x:v>BR-P-006</x:v>
      </x:c>
      <x:c r="B157" s="46" t="str">
        <x:v>P. Maps and Locations</x:v>
      </x:c>
      <x:c r="C157" s="47" t="str">
        <x:v>Location use does not establish outcomes or Actual.</x:v>
      </x:c>
    </x:row>
    <x:row r="158" ht="42" customHeight="1">
      <x:c r="A158" s="45" t="str">
        <x:v>BR-P-007</x:v>
      </x:c>
      <x:c r="B158" s="46" t="str">
        <x:v>P. Maps and Locations</x:v>
      </x:c>
      <x:c r="C158" s="47" t="str">
        <x:v>Saved Places are private.</x:v>
      </x:c>
    </x:row>
    <x:row r="159" ht="42" customHeight="1">
      <x:c r="A159" s="45" t="str">
        <x:v>BR-P-008</x:v>
      </x:c>
      <x:c r="B159" s="46" t="str">
        <x:v>P. Maps and Locations</x:v>
      </x:c>
      <x:c r="C159" s="47" t="str">
        <x:v>Historical locations are not silently rewritten.</x:v>
      </x:c>
    </x:row>
    <x:row r="160" ht="42" customHeight="1">
      <x:c r="A160" s="45" t="str">
        <x:v>BR-P-009</x:v>
      </x:c>
      <x:c r="B160" s="46" t="str">
        <x:v>P. Maps and Locations</x:v>
      </x:c>
      <x:c r="C160" s="47" t="str">
        <x:v>No continuous movement history is retained.</x:v>
      </x:c>
    </x:row>
    <x:row r="161" ht="42" customHeight="1">
      <x:c r="A161" s="45" t="str">
        <x:v>BR-P-010</x:v>
      </x:c>
      <x:c r="B161" s="46" t="str">
        <x:v>P. Maps and Locations</x:v>
      </x:c>
      <x:c r="C161" s="47" t="str">
        <x:v>Diagnostics minimize precise location data.</x:v>
      </x:c>
    </x:row>
    <x:row r="162" ht="42" customHeight="1">
      <x:c r="A162" s="45" t="str">
        <x:v>BR-Q-001</x:v>
      </x:c>
      <x:c r="B162" s="46" t="str">
        <x:v>Q. Notifications and Reminders</x:v>
      </x:c>
      <x:c r="C162" s="47" t="str">
        <x:v>Notification permission is optional and contextual.</x:v>
      </x:c>
    </x:row>
    <x:row r="163" ht="42" customHeight="1">
      <x:c r="A163" s="45" t="str">
        <x:v>BR-Q-002</x:v>
      </x:c>
      <x:c r="B163" s="46" t="str">
        <x:v>Q. Notifications and Reminders</x:v>
      </x:c>
      <x:c r="C163" s="47" t="str">
        <x:v>Reminder actions do not change outcomes or Actual.</x:v>
      </x:c>
    </x:row>
    <x:row r="164" ht="42" customHeight="1">
      <x:c r="A164" s="45" t="str">
        <x:v>BR-Q-003</x:v>
      </x:c>
      <x:c r="B164" s="46" t="str">
        <x:v>Q. Notifications and Reminders</x:v>
      </x:c>
      <x:c r="C164" s="47" t="str">
        <x:v>Reminders use stable source identity, not titles.</x:v>
      </x:c>
    </x:row>
    <x:row r="165" ht="42" customHeight="1">
      <x:c r="A165" s="45" t="str">
        <x:v>BR-Q-004</x:v>
      </x:c>
      <x:c r="B165" s="46" t="str">
        <x:v>Q. Notifications and Reminders</x:v>
      </x:c>
      <x:c r="C165" s="47" t="str">
        <x:v>Recurring occurrences have distinct reminder identities.</x:v>
      </x:c>
    </x:row>
    <x:row r="166" ht="42" customHeight="1">
      <x:c r="A166" s="45" t="str">
        <x:v>BR-Q-005</x:v>
      </x:c>
      <x:c r="B166" s="46" t="str">
        <x:v>Q. Notifications and Reminders</x:v>
      </x:c>
      <x:c r="C166" s="47" t="str">
        <x:v>Cancelled and rescheduled items reconcile obsolete reminders.</x:v>
      </x:c>
    </x:row>
    <x:row r="167" ht="42" customHeight="1">
      <x:c r="A167" s="45" t="str">
        <x:v>BR-Q-006</x:v>
      </x:c>
      <x:c r="B167" s="46" t="str">
        <x:v>Q. Notifications and Reminders</x:v>
      </x:c>
      <x:c r="C167" s="47" t="str">
        <x:v>Awaiting Report reminders do not assign outcomes.</x:v>
      </x:c>
    </x:row>
    <x:row r="168" ht="42" customHeight="1">
      <x:c r="A168" s="45" t="str">
        <x:v>BR-Q-007</x:v>
      </x:c>
      <x:c r="B168" s="46" t="str">
        <x:v>Q. Notifications and Reminders</x:v>
      </x:c>
      <x:c r="C168" s="47" t="str">
        <x:v>Weekly Review reminders do not complete reviews.</x:v>
      </x:c>
    </x:row>
    <x:row r="169" ht="42" customHeight="1">
      <x:c r="A169" s="45" t="str">
        <x:v>BR-Q-008</x:v>
      </x:c>
      <x:c r="B169" s="46" t="str">
        <x:v>Q. Notifications and Reminders</x:v>
      </x:c>
      <x:c r="C169" s="47" t="str">
        <x:v>Quiet hours are user-controlled.</x:v>
      </x:c>
    </x:row>
    <x:row r="170" ht="42" customHeight="1">
      <x:c r="A170" s="45" t="str">
        <x:v>BR-Q-009</x:v>
      </x:c>
      <x:c r="B170" s="46" t="str">
        <x:v>Q. Notifications and Reminders</x:v>
      </x:c>
      <x:c r="C170" s="47" t="str">
        <x:v>Notification previews minimize private content.</x:v>
      </x:c>
    </x:row>
    <x:row r="171" ht="42" customHeight="1">
      <x:c r="A171" s="45" t="str">
        <x:v>BR-Q-010</x:v>
      </x:c>
      <x:c r="B171" s="46" t="str">
        <x:v>Q. Notifications and Reminders</x:v>
      </x:c>
      <x:c r="C171" s="47" t="str">
        <x:v>Restart recovery does not duplicate reminders.</x:v>
      </x:c>
    </x:row>
    <x:row r="172" ht="42" customHeight="1">
      <x:c r="A172" s="45" t="str">
        <x:v>BR-R-001</x:v>
      </x:c>
      <x:c r="B172" s="46" t="str">
        <x:v>R. BetterCalendar Import</x:v>
      </x:c>
      <x:c r="C172" s="47" t="str">
        <x:v>BetterCalendar import is separate from native restore.</x:v>
      </x:c>
    </x:row>
    <x:row r="173" ht="42" customHeight="1">
      <x:c r="A173" s="45" t="str">
        <x:v>BR-R-002</x:v>
      </x:c>
      <x:c r="B173" s="46" t="str">
        <x:v>R. BetterCalendar Import</x:v>
      </x:c>
      <x:c r="C173" s="47" t="str">
        <x:v>Import works without an account.</x:v>
      </x:c>
    </x:row>
    <x:row r="174" ht="42" customHeight="1">
      <x:c r="A174" s="45" t="str">
        <x:v>BR-R-003</x:v>
      </x:c>
      <x:c r="B174" s="46" t="str">
        <x:v>R. BetterCalendar Import</x:v>
      </x:c>
      <x:c r="C174" s="47" t="str">
        <x:v>Preview and validation occur before commit.</x:v>
      </x:c>
    </x:row>
    <x:row r="175" ht="42" customHeight="1">
      <x:c r="A175" s="45" t="str">
        <x:v>BR-R-004</x:v>
      </x:c>
      <x:c r="B175" s="46" t="str">
        <x:v>R. BetterCalendar Import</x:v>
      </x:c>
      <x:c r="C175" s="47" t="str">
        <x:v>Tasks and Calendar Events remain separate.</x:v>
      </x:c>
    </x:row>
    <x:row r="176" ht="42" customHeight="1">
      <x:c r="A176" s="45" t="str">
        <x:v>BR-R-005</x:v>
      </x:c>
      <x:c r="B176" s="46" t="str">
        <x:v>R. BetterCalendar Import</x:v>
      </x:c>
      <x:c r="C176" s="47" t="str">
        <x:v>Duplicate Task representations import once.</x:v>
      </x:c>
    </x:row>
    <x:row r="177" ht="42" customHeight="1">
      <x:c r="A177" s="45" t="str">
        <x:v>BR-R-006</x:v>
      </x:c>
      <x:c r="B177" s="46" t="str">
        <x:v>R. BetterCalendar Import</x:v>
      </x:c>
      <x:c r="C177" s="47" t="str">
        <x:v>Deduplication uses stable identity, not title.</x:v>
      </x:c>
    </x:row>
    <x:row r="178" ht="42" customHeight="1">
      <x:c r="A178" s="45" t="str">
        <x:v>BR-R-007</x:v>
      </x:c>
      <x:c r="B178" s="46" t="str">
        <x:v>R. BetterCalendar Import</x:v>
      </x:c>
      <x:c r="C178" s="47" t="str">
        <x:v>Imported schedules and completion flags do not create Actual.</x:v>
      </x:c>
    </x:row>
    <x:row r="179" ht="42" customHeight="1">
      <x:c r="A179" s="45" t="str">
        <x:v>BR-R-008</x:v>
      </x:c>
      <x:c r="B179" s="46" t="str">
        <x:v>R. BetterCalendar Import</x:v>
      </x:c>
      <x:c r="C179" s="47" t="str">
        <x:v>Unsupported fields are reported.</x:v>
      </x:c>
    </x:row>
    <x:row r="180" ht="42" customHeight="1">
      <x:c r="A180" s="45" t="str">
        <x:v>BR-R-009</x:v>
      </x:c>
      <x:c r="B180" s="46" t="str">
        <x:v>R. BetterCalendar Import</x:v>
      </x:c>
      <x:c r="C180" s="47" t="str">
        <x:v>Import retains provenance and is idempotent.</x:v>
      </x:c>
    </x:row>
    <x:row r="181" ht="42" customHeight="1">
      <x:c r="A181" s="45" t="str">
        <x:v>BR-R-010</x:v>
      </x:c>
      <x:c r="B181" s="46" t="str">
        <x:v>R. BetterCalendar Import</x:v>
      </x:c>
      <x:c r="C181" s="47" t="str">
        <x:v>A recovery checkpoint precedes commit.</x:v>
      </x:c>
    </x:row>
    <x:row r="182" ht="42" customHeight="1">
      <x:c r="A182" s="45" t="str">
        <x:v>BR-S-001</x:v>
      </x:c>
      <x:c r="B182" s="46" t="str">
        <x:v>S. Backup, Export, and Restore</x:v>
      </x:c>
      <x:c r="C182" s="47" t="str">
        <x:v>Backup, export, restore, import, and synchronization are distinct.</x:v>
      </x:c>
    </x:row>
    <x:row r="183" ht="42" customHeight="1">
      <x:c r="A183" s="45" t="str">
        <x:v>BR-S-002</x:v>
      </x:c>
      <x:c r="B183" s="46" t="str">
        <x:v>S. Backup, Export, and Restore</x:v>
      </x:c>
      <x:c r="C183" s="47" t="str">
        <x:v>Guest users can create and restore native backups.</x:v>
      </x:c>
    </x:row>
    <x:row r="184" ht="42" customHeight="1">
      <x:c r="A184" s="45" t="str">
        <x:v>BR-S-003</x:v>
      </x:c>
      <x:c r="B184" s="46" t="str">
        <x:v>S. Backup, Export, and Restore</x:v>
      </x:c>
      <x:c r="C184" s="47" t="str">
        <x:v>Native backup preserves domain identities and canonical history.</x:v>
      </x:c>
    </x:row>
    <x:row r="185" ht="42" customHeight="1">
      <x:c r="A185" s="45" t="str">
        <x:v>BR-S-004</x:v>
      </x:c>
      <x:c r="B185" s="46" t="str">
        <x:v>S. Backup, Export, and Restore</x:v>
      </x:c>
      <x:c r="C185" s="47" t="str">
        <x:v>Restore validates compatibility and integrity before commit.</x:v>
      </x:c>
    </x:row>
    <x:row r="186" ht="42" customHeight="1">
      <x:c r="A186" s="45" t="str">
        <x:v>BR-S-005</x:v>
      </x:c>
      <x:c r="B186" s="46" t="str">
        <x:v>S. Backup, Export, and Restore</x:v>
      </x:c>
      <x:c r="C186" s="47" t="str">
        <x:v>Restore does not silently overwrite newer local data.</x:v>
      </x:c>
    </x:row>
    <x:row r="187" ht="42" customHeight="1">
      <x:c r="A187" s="45" t="str">
        <x:v>BR-S-006</x:v>
      </x:c>
      <x:c r="B187" s="46" t="str">
        <x:v>S. Backup, Export, and Restore</x:v>
      </x:c>
      <x:c r="C187" s="47" t="str">
        <x:v>A pre-restore recovery copy precedes destructive behavior.</x:v>
      </x:c>
    </x:row>
    <x:row r="188" ht="42" customHeight="1">
      <x:c r="A188" s="45" t="str">
        <x:v>BR-S-007</x:v>
      </x:c>
      <x:c r="B188" s="46" t="str">
        <x:v>S. Backup, Export, and Restore</x:v>
      </x:c>
      <x:c r="C188" s="47" t="str">
        <x:v>Partial restore cannot create invalid relationships.</x:v>
      </x:c>
    </x:row>
    <x:row r="189" ht="42" customHeight="1">
      <x:c r="A189" s="45" t="str">
        <x:v>BR-S-008</x:v>
      </x:c>
      <x:c r="B189" s="46" t="str">
        <x:v>S. Backup, Export, and Restore</x:v>
      </x:c>
      <x:c r="C189" s="47" t="str">
        <x:v>Projections rebuild from canonical ledger history.</x:v>
      </x:c>
    </x:row>
    <x:row r="190" ht="42" customHeight="1">
      <x:c r="A190" s="45" t="str">
        <x:v>BR-S-009</x:v>
      </x:c>
      <x:c r="B190" s="46" t="str">
        <x:v>S. Backup, Export, and Restore</x:v>
      </x:c>
      <x:c r="C190" s="47" t="str">
        <x:v>Backup files are highly sensitive.</x:v>
      </x:c>
    </x:row>
    <x:row r="191" ht="42" customHeight="1">
      <x:c r="A191" s="45" t="str">
        <x:v>BR-S-010</x:v>
      </x:c>
      <x:c r="B191" s="46" t="str">
        <x:v>S. Backup, Export, and Restore</x:v>
      </x:c>
      <x:c r="C191" s="47" t="str">
        <x:v>Backup and restore operate offline.</x:v>
      </x:c>
    </x:row>
    <x:row r="192" ht="42" customHeight="1">
      <x:c r="A192" s="45" t="str">
        <x:v>BR-T-001</x:v>
      </x:c>
      <x:c r="B192" s="46" t="str">
        <x:v>T. Account and Synchronization</x:v>
      </x:c>
      <x:c r="C192" s="47" t="str">
        <x:v>Account creation is optional and the Local Profile exists independently.</x:v>
      </x:c>
    </x:row>
    <x:row r="193" ht="42" customHeight="1">
      <x:c r="A193" s="45" t="str">
        <x:v>BR-T-002</x:v>
      </x:c>
      <x:c r="B193" s="46" t="str">
        <x:v>T. Account and Synchronization</x:v>
      </x:c>
      <x:c r="C193" s="47" t="str">
        <x:v>Drift remains the operational source.</x:v>
      </x:c>
    </x:row>
    <x:row r="194" ht="42" customHeight="1">
      <x:c r="A194" s="45" t="str">
        <x:v>BR-T-003</x:v>
      </x:c>
      <x:c r="B194" s="46" t="str">
        <x:v>T. Account and Synchronization</x:v>
      </x:c>
      <x:c r="C194" s="47" t="str">
        <x:v>Offline changes enter a durable outbox.</x:v>
      </x:c>
    </x:row>
    <x:row r="195" ht="42" customHeight="1">
      <x:c r="A195" s="45" t="str">
        <x:v>BR-T-004</x:v>
      </x:c>
      <x:c r="B195" s="46" t="str">
        <x:v>T. Account and Synchronization</x:v>
      </x:c>
      <x:c r="C195" s="47" t="str">
        <x:v>Sync failure does not block local use.</x:v>
      </x:c>
    </x:row>
    <x:row r="196" ht="42" customHeight="1">
      <x:c r="A196" s="45" t="str">
        <x:v>BR-T-005</x:v>
      </x:c>
      <x:c r="B196" s="46" t="str">
        <x:v>T. Account and Synchronization</x:v>
      </x:c>
      <x:c r="C196" s="47" t="str">
        <x:v>First sync never silently chooses cloud over local.</x:v>
      </x:c>
    </x:row>
    <x:row r="197" ht="42" customHeight="1">
      <x:c r="A197" s="45" t="str">
        <x:v>BR-T-006</x:v>
      </x:c>
      <x:c r="B197" s="46" t="str">
        <x:v>T. Account and Synchronization</x:v>
      </x:c>
      <x:c r="C197" s="47" t="str">
        <x:v>Sign-out does not delete local data.</x:v>
      </x:c>
    </x:row>
    <x:row r="198" ht="42" customHeight="1">
      <x:c r="A198" s="45" t="str">
        <x:v>BR-T-007</x:v>
      </x:c>
      <x:c r="B198" s="46" t="str">
        <x:v>T. Account and Synchronization</x:v>
      </x:c>
      <x:c r="C198" s="47" t="str">
        <x:v>Sign-out, sync pause, cloud deletion, and local deletion are distinct.</x:v>
      </x:c>
    </x:row>
    <x:row r="199" ht="42" customHeight="1">
      <x:c r="A199" s="45" t="str">
        <x:v>BR-T-008</x:v>
      </x:c>
      <x:c r="B199" s="46" t="str">
        <x:v>T. Account and Synchronization</x:v>
      </x:c>
      <x:c r="C199" s="47" t="str">
        <x:v>RLS restricts every cloud row to its owner.</x:v>
      </x:c>
    </x:row>
    <x:row r="200" ht="42" customHeight="1">
      <x:c r="A200" s="45" t="str">
        <x:v>BR-T-009</x:v>
      </x:c>
      <x:c r="B200" s="46" t="str">
        <x:v>T. Account and Synchronization</x:v>
      </x:c>
      <x:c r="C200" s="47" t="str">
        <x:v>Conflict resolution preserves canonical history and relationships.</x:v>
      </x:c>
    </x:row>
    <x:row r="201" ht="42" customHeight="1">
      <x:c r="A201" s="45" t="str">
        <x:v>BR-T-010</x:v>
      </x:c>
      <x:c r="B201" s="46" t="str">
        <x:v>T. Account and Synchronization</x:v>
      </x:c>
      <x:c r="C201" s="47" t="str">
        <x:v>Synchronization does not create sharing or collaboration.</x:v>
      </x:c>
    </x:row>
    <x:row r="202" ht="42" customHeight="1">
      <x:c r="A202" s="45" t="str">
        <x:v>BR-U-001</x:v>
      </x:c>
      <x:c r="B202" s="46" t="str">
        <x:v>U. Notifications and Background Work</x:v>
      </x:c>
      <x:c r="C202" s="47" t="str">
        <x:v>Background work is limited to approved product functions.</x:v>
      </x:c>
    </x:row>
    <x:row r="203" ht="42" customHeight="1">
      <x:c r="A203" s="45" t="str">
        <x:v>BR-U-002</x:v>
      </x:c>
      <x:c r="B203" s="46" t="str">
        <x:v>U. Notifications and Background Work</x:v>
      </x:c>
      <x:c r="C203" s="47" t="str">
        <x:v>Background execution never establishes factual outcomes or Actual by itself.</x:v>
      </x:c>
    </x:row>
    <x:row r="204" ht="42" customHeight="1">
      <x:c r="A204" s="45" t="str">
        <x:v>BR-U-003</x:v>
      </x:c>
      <x:c r="B204" s="46" t="str">
        <x:v>U. Notifications and Background Work</x:v>
      </x:c>
      <x:c r="C204" s="47" t="str">
        <x:v>Every background job has a stable identity and idempotent retry behavior.</x:v>
      </x:c>
    </x:row>
    <x:row r="205" ht="42" customHeight="1">
      <x:c r="A205" s="45" t="str">
        <x:v>BR-U-004</x:v>
      </x:c>
      <x:c r="B205" s="46" t="str">
        <x:v>U. Notifications and Background Work</x:v>
      </x:c>
      <x:c r="C205" s="47" t="str">
        <x:v>Android execution constraints are respected.</x:v>
      </x:c>
    </x:row>
    <x:row r="206" ht="42" customHeight="1">
      <x:c r="A206" s="45" t="str">
        <x:v>BR-U-005</x:v>
      </x:c>
      <x:c r="B206" s="46" t="str">
        <x:v>U. Notifications and Background Work</x:v>
      </x:c>
      <x:c r="C206" s="47" t="str">
        <x:v>Foreground services are used only when genuinely required and visible to the user.</x:v>
      </x:c>
    </x:row>
    <x:row r="207" ht="42" customHeight="1">
      <x:c r="A207" s="45" t="str">
        <x:v>BR-U-006</x:v>
      </x:c>
      <x:c r="B207" s="46" t="str">
        <x:v>U. Notifications and Background Work</x:v>
      </x:c>
      <x:c r="C207" s="47" t="str">
        <x:v>Background location is excluded from V1.</x:v>
      </x:c>
    </x:row>
    <x:row r="208" ht="42" customHeight="1">
      <x:c r="A208" s="45" t="str">
        <x:v>BR-U-007</x:v>
      </x:c>
      <x:c r="B208" s="46" t="str">
        <x:v>U. Notifications and Background Work</x:v>
      </x:c>
      <x:c r="C208" s="47" t="str">
        <x:v>Outbox work preserves local-first use.</x:v>
      </x:c>
    </x:row>
    <x:row r="209" ht="42" customHeight="1">
      <x:c r="A209" s="45" t="str">
        <x:v>BR-U-008</x:v>
      </x:c>
      <x:c r="B209" s="46" t="str">
        <x:v>U. Notifications and Background Work</x:v>
      </x:c>
      <x:c r="C209" s="47" t="str">
        <x:v>Content checks preserve bundled and user-created state.</x:v>
      </x:c>
    </x:row>
    <x:row r="210" ht="42" customHeight="1">
      <x:c r="A210" s="45" t="str">
        <x:v>BR-U-009</x:v>
      </x:c>
      <x:c r="B210" s="46" t="str">
        <x:v>U. Notifications and Background Work</x:v>
      </x:c>
      <x:c r="C210" s="47" t="str">
        <x:v>Obsolete jobs are cancelled with their owning record.</x:v>
      </x:c>
    </x:row>
    <x:row r="211" ht="42" customHeight="1">
      <x:c r="A211" s="45" t="str">
        <x:v>BR-U-010</x:v>
      </x:c>
      <x:c r="B211" s="46" t="str">
        <x:v>U. Notifications and Background Work</x:v>
      </x:c>
      <x:c r="C211" s="47" t="str">
        <x:v>Logs and diagnostics exclude private content.</x:v>
      </x:c>
    </x:row>
    <x:row r="212" ht="42" customHeight="1">
      <x:c r="A212" s="45" t="str">
        <x:v>BR-U-011</x:v>
      </x:c>
      <x:c r="B212" s="46" t="str">
        <x:v>U. Notifications and Background Work</x:v>
      </x:c>
      <x:c r="C212" s="47" t="str">
        <x:v>Guest-compatible jobs do not require an account.</x:v>
      </x:c>
    </x:row>
    <x:row r="213" ht="42" customHeight="1">
      <x:c r="A213" s="45" t="str">
        <x:v>BR-U-012</x:v>
      </x:c>
      <x:c r="B213" s="46" t="str">
        <x:v>U. Notifications and Background Work</x:v>
      </x:c>
      <x:c r="C213" s="47" t="str">
        <x:v>Execution delay never implies domain completion.</x:v>
      </x:c>
    </x:row>
    <x:row r="214" ht="42" customHeight="1">
      <x:c r="A214" s="45" t="str">
        <x:v>BR-V-001</x:v>
      </x:c>
      <x:c r="B214" s="46" t="str">
        <x:v>V. Device-Calendar Manual Import and Export</x:v>
      </x:c>
      <x:c r="C214" s="47" t="str">
        <x:v>The internal Planner remains authoritative.</x:v>
      </x:c>
    </x:row>
    <x:row r="215" ht="42" customHeight="1">
      <x:c r="A215" s="45" t="str">
        <x:v>BR-V-002</x:v>
      </x:c>
      <x:c r="B215" s="46" t="str">
        <x:v>V. Device-Calendar Manual Import and Export</x:v>
      </x:c>
      <x:c r="C215" s="47" t="str">
        <x:v>Device-calendar integration is optional and manual in V1.</x:v>
      </x:c>
    </x:row>
    <x:row r="216" ht="42" customHeight="1">
      <x:c r="A216" s="45" t="str">
        <x:v>BR-V-003</x:v>
      </x:c>
      <x:c r="B216" s="46" t="str">
        <x:v>V. Device-Calendar Manual Import and Export</x:v>
      </x:c>
      <x:c r="C216" s="47" t="str">
        <x:v>Calendar permission is contextual.</x:v>
      </x:c>
    </x:row>
    <x:row r="217" ht="42" customHeight="1">
      <x:c r="A217" s="45" t="str">
        <x:v>BR-V-004</x:v>
      </x:c>
      <x:c r="B217" s="46" t="str">
        <x:v>V. Device-Calendar Manual Import and Export</x:v>
      </x:c>
      <x:c r="C217" s="47" t="str">
        <x:v>External events are previewed before import.</x:v>
      </x:c>
    </x:row>
    <x:row r="218" ht="42" customHeight="1">
      <x:c r="A218" s="45" t="str">
        <x:v>BR-V-005</x:v>
      </x:c>
      <x:c r="B218" s="46" t="str">
        <x:v>V. Device-Calendar Manual Import and Export</x:v>
      </x:c>
      <x:c r="C218" s="47" t="str">
        <x:v>Imported events receive Next Transfer UUIDs.</x:v>
      </x:c>
    </x:row>
    <x:row r="219" ht="42" customHeight="1">
      <x:c r="A219" s="45" t="str">
        <x:v>BR-V-006</x:v>
      </x:c>
      <x:c r="B219" s="46" t="str">
        <x:v>V. Device-Calendar Manual Import and Export</x:v>
      </x:c>
      <x:c r="C219" s="47" t="str">
        <x:v>Provider IDs and iCal UIDs are mapping metadata only.</x:v>
      </x:c>
    </x:row>
    <x:row r="220" ht="42" customHeight="1">
      <x:c r="A220" s="45" t="str">
        <x:v>BR-V-007</x:v>
      </x:c>
      <x:c r="B220" s="46" t="str">
        <x:v>V. Device-Calendar Manual Import and Export</x:v>
      </x:c>
      <x:c r="C220" s="47" t="str">
        <x:v>Past external events do not become completed from elapsed time.</x:v>
      </x:c>
    </x:row>
    <x:row r="221" ht="42" customHeight="1">
      <x:c r="A221" s="45" t="str">
        <x:v>BR-V-008</x:v>
      </x:c>
      <x:c r="B221" s="46" t="str">
        <x:v>V. Device-Calendar Manual Import and Export</x:v>
      </x:c>
      <x:c r="C221" s="47" t="str">
        <x:v>Import and export create no Actual.</x:v>
      </x:c>
    </x:row>
    <x:row r="222" ht="42" customHeight="1">
      <x:c r="A222" s="45" t="str">
        <x:v>BR-V-009</x:v>
      </x:c>
      <x:c r="B222" s="46" t="str">
        <x:v>V. Device-Calendar Manual Import and Export</x:v>
      </x:c>
      <x:c r="C222" s="47" t="str">
        <x:v>Duplicate detection follows the approved identity priority.</x:v>
      </x:c>
    </x:row>
    <x:row r="223" ht="42" customHeight="1">
      <x:c r="A223" s="45" t="str">
        <x:v>BR-V-010</x:v>
      </x:c>
      <x:c r="B223" s="46" t="str">
        <x:v>V. Device-Calendar Manual Import and Export</x:v>
      </x:c>
      <x:c r="C223" s="47" t="str">
        <x:v>External and internal deletion do not cascade automatically.</x:v>
      </x:c>
    </x:row>
    <x:row r="224" ht="42" customHeight="1">
      <x:c r="A224" s="45" t="str">
        <x:v>BR-V-011</x:v>
      </x:c>
      <x:c r="B224" s="46" t="str">
        <x:v>V. Device-Calendar Manual Import and Export</x:v>
      </x:c>
      <x:c r="C224" s="47" t="str">
        <x:v>Permission revocation preserves internal records.</x:v>
      </x:c>
    </x:row>
    <x:row r="225" ht="42" customHeight="1">
      <x:c r="A225" s="45" t="str">
        <x:v>BR-V-012</x:v>
      </x:c>
      <x:c r="B225" s="46" t="str">
        <x:v>V. Device-Calendar Manual Import and Export</x:v>
      </x:c>
      <x:c r="C225" s="47" t="str">
        <x:v>Sensitive and Extra Private fields are excluded from export by default.</x:v>
      </x:c>
    </x:row>
    <x:row r="226" ht="42" customHeight="1">
      <x:c r="A226" s="45" t="str">
        <x:v>BR-V-013</x:v>
      </x:c>
      <x:c r="B226" s="46" t="str">
        <x:v>V. Device-Calendar Manual Import and Export</x:v>
      </x:c>
      <x:c r="C226" s="47" t="str">
        <x:v>Continuous two-way sync is deferred.</x:v>
      </x:c>
    </x:row>
    <x:row r="227" ht="42" customHeight="1">
      <x:c r="A227" s="45" t="str">
        <x:v>BR-W-001</x:v>
      </x:c>
      <x:c r="B227" s="46" t="str">
        <x:v>W. Privacy Lock, Permissions, and Privacy Center</x:v>
      </x:c>
      <x:c r="C227" s="47" t="str">
        <x:v>Core V1 workflows remain usable with all optional permissions denied.</x:v>
      </x:c>
    </x:row>
    <x:row r="228" ht="42" customHeight="1">
      <x:c r="A228" s="45" t="str">
        <x:v>BR-W-002</x:v>
      </x:c>
      <x:c r="B228" s="46" t="str">
        <x:v>W. Privacy Lock, Permissions, and Privacy Center</x:v>
      </x:c>
      <x:c r="C228" s="47" t="str">
        <x:v>Permissions are requested just in time.</x:v>
      </x:c>
    </x:row>
    <x:row r="229" ht="42" customHeight="1">
      <x:c r="A229" s="45" t="str">
        <x:v>BR-W-003</x:v>
      </x:c>
      <x:c r="B229" s="46" t="str">
        <x:v>W. Privacy Lock, Permissions, and Privacy Center</x:v>
      </x:c>
      <x:c r="C229" s="47" t="str">
        <x:v>Privacy Lock uses OS biometric or device credential without storing biometric data.</x:v>
      </x:c>
    </x:row>
    <x:row r="230" ht="42" customHeight="1">
      <x:c r="A230" s="45" t="str">
        <x:v>BR-W-004</x:v>
      </x:c>
      <x:c r="B230" s="46" t="str">
        <x:v>W. Privacy Lock, Permissions, and Privacy Center</x:v>
      </x:c>
      <x:c r="C230" s="47" t="str">
        <x:v>Privacy Lock failure never deletes or corrupts data.</x:v>
      </x:c>
    </x:row>
    <x:row r="231" ht="42" customHeight="1">
      <x:c r="A231" s="45" t="str">
        <x:v>BR-W-005</x:v>
      </x:c>
      <x:c r="B231" s="46" t="str">
        <x:v>W. Privacy Lock, Permissions, and Privacy Center</x:v>
      </x:c>
      <x:c r="C231" s="47" t="str">
        <x:v>Sensitive previews are obscured where supported.</x:v>
      </x:c>
    </x:row>
    <x:row r="232" ht="42" customHeight="1">
      <x:c r="A232" s="45" t="str">
        <x:v>BR-W-006</x:v>
      </x:c>
      <x:c r="B232" s="46" t="str">
        <x:v>W. Privacy Lock, Permissions, and Privacy Center</x:v>
      </x:c>
      <x:c r="C232" s="47" t="str">
        <x:v>Raw BetterCalendar files remain local and outside sync and diagnostics.</x:v>
      </x:c>
    </x:row>
    <x:row r="233" ht="42" customHeight="1">
      <x:c r="A233" s="45" t="str">
        <x:v>BR-W-007</x:v>
      </x:c>
      <x:c r="B233" s="46" t="str">
        <x:v>W. Privacy Lock, Permissions, and Privacy Center</x:v>
      </x:c>
      <x:c r="C233" s="47" t="str">
        <x:v>Authentication tokens use secure device storage, not Drift or backups.</x:v>
      </x:c>
    </x:row>
    <x:row r="234" ht="42" customHeight="1">
      <x:c r="A234" s="45" t="str">
        <x:v>BR-W-008</x:v>
      </x:c>
      <x:c r="B234" s="46" t="str">
        <x:v>W. Privacy Lock, Permissions, and Privacy Center</x:v>
      </x:c>
      <x:c r="C234" s="47" t="str">
        <x:v>Private data is excluded from logs and analytics.</x:v>
      </x:c>
    </x:row>
    <x:row r="235" ht="42" customHeight="1">
      <x:c r="A235" s="45" t="str">
        <x:v>BR-W-009</x:v>
      </x:c>
      <x:c r="B235" s="46" t="str">
        <x:v>W. Privacy Lock, Permissions, and Privacy Center</x:v>
      </x:c>
      <x:c r="C235" s="47" t="str">
        <x:v>Private reflections default to Extra Private or local-only.</x:v>
      </x:c>
    </x:row>
    <x:row r="236" ht="42" customHeight="1">
      <x:c r="A236" s="45" t="str">
        <x:v>BR-W-010</x:v>
      </x:c>
      <x:c r="B236" s="46" t="str">
        <x:v>W. Privacy Lock, Permissions, and Privacy Center</x:v>
      </x:c>
      <x:c r="C236" s="47" t="str">
        <x:v>Privacy claims must be technically truthful.</x:v>
      </x:c>
    </x:row>
    <x:row r="237" ht="42" customHeight="1">
      <x:c r="A237" s="45" t="str">
        <x:v>BR-W-011</x:v>
      </x:c>
      <x:c r="B237" s="46" t="str">
        <x:v>W. Privacy Lock, Permissions, and Privacy Center</x:v>
      </x:c>
      <x:c r="C237" s="47" t="str">
        <x:v>Scoped system pickers replace broad storage permission.</x:v>
      </x:c>
    </x:row>
    <x:row r="238" ht="42" customHeight="1">
      <x:c r="A238" s="45" t="str">
        <x:v>BR-W-012</x:v>
      </x:c>
      <x:c r="B238" s="46" t="str">
        <x:v>W. Privacy Lock, Permissions, and Privacy Center</x:v>
      </x:c>
      <x:c r="C238" s="47" t="str">
        <x:v>Background location is excluded from V1.</x:v>
      </x:c>
    </x:row>
    <x:row r="239" ht="42" customHeight="1">
      <x:c r="A239" s="45" t="str">
        <x:v>BR-W-013</x:v>
      </x:c>
      <x:c r="B239" s="46" t="str">
        <x:v>W. Privacy Lock, Permissions, and Privacy Center</x:v>
      </x:c>
      <x:c r="C239" s="47" t="str">
        <x:v>Privacy Lock and account authentication remain separate.</x:v>
      </x:c>
    </x:row>
    <x:row r="240" ht="42" customHeight="1">
      <x:c r="A240" s="45" t="str">
        <x:v>BR-X-001</x:v>
      </x:c>
      <x:c r="B240" s="46" t="str">
        <x:v>X. Settings, Account and Sync Center, and More Screen</x:v>
      </x:c>
      <x:c r="C240" s="47" t="str">
        <x:v>More remains the fifth permanent bottom-navigation destination.</x:v>
      </x:c>
    </x:row>
    <x:row r="241" ht="42" customHeight="1">
      <x:c r="A241" s="45" t="str">
        <x:v>BR-X-002</x:v>
      </x:c>
      <x:c r="B241" s="46" t="str">
        <x:v>X. Settings, Account and Sync Center, and More Screen</x:v>
      </x:c>
      <x:c r="C241" s="47" t="str">
        <x:v>More provides coherent entry points to approved settings and data-management areas.</x:v>
      </x:c>
    </x:row>
    <x:row r="242" ht="42" customHeight="1">
      <x:c r="A242" s="45" t="str">
        <x:v>BR-X-003</x:v>
      </x:c>
      <x:c r="B242" s="46" t="str">
        <x:v>X. Settings, Account and Sync Center, and More Screen</x:v>
      </x:c>
      <x:c r="C242" s="47" t="str">
        <x:v>Account creation remains optional.</x:v>
      </x:c>
    </x:row>
    <x:row r="243" ht="42" customHeight="1">
      <x:c r="A243" s="45" t="str">
        <x:v>BR-X-004</x:v>
      </x:c>
      <x:c r="B243" s="46" t="str">
        <x:v>X. Settings, Account and Sync Center, and More Screen</x:v>
      </x:c>
      <x:c r="C243" s="47" t="str">
        <x:v>Sign-out and sync pause preserve local functionality and queued work.</x:v>
      </x:c>
    </x:row>
    <x:row r="244" ht="42" customHeight="1">
      <x:c r="A244" s="45" t="str">
        <x:v>BR-X-005</x:v>
      </x:c>
      <x:c r="B244" s="46" t="str">
        <x:v>X. Settings, Account and Sync Center, and More Screen</x:v>
      </x:c>
      <x:c r="C244" s="47" t="str">
        <x:v>Account deletion and local-data deletion remain separate.</x:v>
      </x:c>
    </x:row>
    <x:row r="245" ht="42" customHeight="1">
      <x:c r="A245" s="45" t="str">
        <x:v>BR-X-006</x:v>
      </x:c>
      <x:c r="B245" s="46" t="str">
        <x:v>X. Settings, Account and Sync Center, and More Screen</x:v>
      </x:c>
      <x:c r="C245" s="47" t="str">
        <x:v>Removing synchronized device data requires explicit warning.</x:v>
      </x:c>
    </x:row>
    <x:row r="246" ht="42" customHeight="1">
      <x:c r="A246" s="45" t="str">
        <x:v>BR-X-007</x:v>
      </x:c>
      <x:c r="B246" s="46" t="str">
        <x:v>X. Settings, Account and Sync Center, and More Screen</x:v>
      </x:c>
      <x:c r="C246" s="47" t="str">
        <x:v>Sync Center states are factual and explain cloud protection status.</x:v>
      </x:c>
    </x:row>
    <x:row r="247" ht="42" customHeight="1">
      <x:c r="A247" s="45" t="str">
        <x:v>BR-X-008</x:v>
      </x:c>
      <x:c r="B247" s="46" t="str">
        <x:v>X. Settings, Account and Sync Center, and More Screen</x:v>
      </x:c>
      <x:c r="C247" s="47" t="str">
        <x:v>Users can review local-only categories, upload choices, attachments, devices, conflicts, and last sync.</x:v>
      </x:c>
    </x:row>
    <x:row r="248" ht="42" customHeight="1">
      <x:c r="A248" s="45" t="str">
        <x:v>BR-X-009</x:v>
      </x:c>
      <x:c r="B248" s="46" t="str">
        <x:v>X. Settings, Account and Sync Center, and More Screen</x:v>
      </x:c>
      <x:c r="C248" s="47" t="str">
        <x:v>Cloud synchronization is distinct from .ntbackup recovery.</x:v>
      </x:c>
    </x:row>
    <x:row r="249" ht="42" customHeight="1">
      <x:c r="A249" s="45" t="str">
        <x:v>BR-X-010</x:v>
      </x:c>
      <x:c r="B249" s="46" t="str">
        <x:v>X. Settings, Account and Sync Center, and More Screen</x:v>
      </x:c>
      <x:c r="C249" s="47" t="str">
        <x:v>Duplicate settings entry points are avoided.</x:v>
      </x:c>
    </x:row>
    <x:row r="250" ht="42" customHeight="1">
      <x:c r="A250" s="45" t="str">
        <x:v>BR-X-011</x:v>
      </x:c>
      <x:c r="B250" s="46" t="str">
        <x:v>X. Settings, Account and Sync Center, and More Screen</x:v>
      </x:c>
      <x:c r="C250" s="47" t="str">
        <x:v>Maps is not a permanent bottom-navigation item.</x:v>
      </x:c>
    </x:row>
    <x:row r="251" ht="42" customHeight="1">
      <x:c r="A251" s="45" t="str">
        <x:v>BR-X-012</x:v>
      </x:c>
      <x:c r="B251" s="46" t="str">
        <x:v>X. Settings, Account and Sync Center, and More Screen</x:v>
      </x:c>
      <x:c r="C251" s="47" t="str">
        <x:v>Device-specific and synchronized preferences remain distinct.</x:v>
      </x:c>
    </x:row>
    <x:row r="252" ht="42" customHeight="1">
      <x:c r="A252" s="48" t="str">
        <x:v>BR-X-013</x:v>
      </x:c>
      <x:c r="B252" s="49" t="str">
        <x:v>X. Settings, Account and Sync Center, and More Screen</x:v>
      </x:c>
      <x:c r="C252" s="50" t="str">
        <x:v>Destructive actions provide backup and recovery guidance.</x:v>
      </x:c>
    </x:row>
  </x:sheetData>
  <x:pageMargins left="0.7" right="0.7" top="0.75" bottom="0.75" header="0.3" footer="0.3"/>
  <x:tableParts count="1">
    <x:tablePart xmlns:r="http://schemas.openxmlformats.org/officeDocument/2006/relationships" r:id="R9b15181f20a64d48"/>
  </x:tableParts>
</x:worksheet>
</file>

<file path=xl/worksheets/sheet5.xml><?xml version="1.0" encoding="utf-8"?>
<x:worksheet xmlns:x="http://schemas.openxmlformats.org/spreadsheetml/2006/main">
  <x:sheetFormatPr defaultRowHeight="15"/>
  <x:cols>
    <x:col min="1" max="1" width="20" hidden="0" customWidth="1"/>
    <x:col min="2" max="2" width="40" hidden="0" customWidth="1"/>
    <x:col min="3" max="3" width="25" hidden="0" customWidth="1"/>
    <x:col min="4" max="4" width="55" hidden="0" customWidth="1"/>
    <x:col min="5" max="5" width="55" hidden="0" customWidth="1"/>
    <x:col min="6" max="6" width="75" hidden="0" customWidth="1"/>
    <x:col min="7" max="7" width="18" hidden="0" customWidth="1"/>
    <x:col min="8" max="8" width="34" hidden="0" customWidth="1"/>
  </x:cols>
  <x:sheetData>
    <x:row r="1" ht="34" customHeight="1">
      <x:c r="A1" s="42" t="str">
        <x:v>Acceptance Criterion ID</x:v>
      </x:c>
      <x:c r="B1" s="43" t="str">
        <x:v>Feature Group</x:v>
      </x:c>
      <x:c r="C1" s="43" t="str">
        <x:v>Verifies Requirement IDs</x:v>
      </x:c>
      <x:c r="D1" s="43" t="str">
        <x:v>Given</x:v>
      </x:c>
      <x:c r="E1" s="43" t="str">
        <x:v>When</x:v>
      </x:c>
      <x:c r="F1" s="43" t="str">
        <x:v>Then</x:v>
      </x:c>
      <x:c r="G1" s="43" t="str">
        <x:v>Release-blocking</x:v>
      </x:c>
      <x:c r="H1" s="44" t="str">
        <x:v>Verification level</x:v>
      </x:c>
    </x:row>
    <x:row r="2" ht="42" customHeight="1">
      <x:c r="A2" s="45" t="str">
        <x:v>AC-A-001</x:v>
      </x:c>
      <x:c r="B2" s="46" t="str">
        <x:v>A. App Startup and Guest Onboarding</x:v>
      </x:c>
      <x:c r="C2" s="46" t="str">
        <x:v>FR-A-001</x:v>
      </x:c>
      <x:c r="D2" s="46" t="str">
        <x:v>Given the applicable App Startup and Guest Onboarding preconditions and a valid Local Profile</x:v>
      </x:c>
      <x:c r="E2" s="46" t="str">
        <x:v>When the user performs the relevant action or the relevant system condition occurs</x:v>
      </x:c>
      <x:c r="F2" s="46" t="str">
        <x:v>Then determine whether a usable Local Profile exists.</x:v>
      </x:c>
      <x:c r="G2" s="46" t="str">
        <x:v>Yes</x:v>
      </x:c>
      <x:c r="H2" s="47" t="str">
        <x:v>Domain test</x:v>
      </x:c>
    </x:row>
    <x:row r="3" ht="42" customHeight="1">
      <x:c r="A3" s="45" t="str">
        <x:v>AC-A-002</x:v>
      </x:c>
      <x:c r="B3" s="46" t="str">
        <x:v>A. App Startup and Guest Onboarding</x:v>
      </x:c>
      <x:c r="C3" s="46" t="str">
        <x:v>FR-A-002</x:v>
      </x:c>
      <x:c r="D3" s="46" t="str">
        <x:v>Given the applicable App Startup and Guest Onboarding preconditions and a valid Local Profile</x:v>
      </x:c>
      <x:c r="E3" s="46" t="str">
        <x:v>When the user performs the relevant action or the relevant system condition occurs</x:v>
      </x:c>
      <x:c r="F3" s="46" t="str">
        <x:v>Then provide a first-run guest path that does not require connectivity.</x:v>
      </x:c>
      <x:c r="G3" s="46" t="str">
        <x:v>Yes</x:v>
      </x:c>
      <x:c r="H3" s="47" t="str">
        <x:v>Domain test</x:v>
      </x:c>
    </x:row>
    <x:row r="4" ht="42" customHeight="1">
      <x:c r="A4" s="45" t="str">
        <x:v>AC-A-003</x:v>
      </x:c>
      <x:c r="B4" s="46" t="str">
        <x:v>A. App Startup and Guest Onboarding</x:v>
      </x:c>
      <x:c r="C4" s="46" t="str">
        <x:v>FR-A-003</x:v>
      </x:c>
      <x:c r="D4" s="46" t="str">
        <x:v>Given the applicable App Startup and Guest Onboarding preconditions and a valid Local Profile</x:v>
      </x:c>
      <x:c r="E4" s="46" t="str">
        <x:v>When the user performs the relevant action or the relevant system condition occurs</x:v>
      </x:c>
      <x:c r="F4" s="46" t="str">
        <x:v>Then present account creation or sign-in as optional.</x:v>
      </x:c>
      <x:c r="G4" s="46" t="str">
        <x:v>Yes</x:v>
      </x:c>
      <x:c r="H4" s="47" t="str">
        <x:v>Domain test</x:v>
      </x:c>
    </x:row>
    <x:row r="5" ht="42" customHeight="1">
      <x:c r="A5" s="45" t="str">
        <x:v>AC-A-004</x:v>
      </x:c>
      <x:c r="B5" s="46" t="str">
        <x:v>A. App Startup and Guest Onboarding</x:v>
      </x:c>
      <x:c r="C5" s="46" t="str">
        <x:v>FR-A-004</x:v>
      </x:c>
      <x:c r="D5" s="46" t="str">
        <x:v>Given the applicable App Startup and Guest Onboarding preconditions and a valid Local Profile</x:v>
      </x:c>
      <x:c r="E5" s="46" t="str">
        <x:v>When the user performs the relevant action or the relevant system condition occurs</x:v>
      </x:c>
      <x:c r="F5" s="46" t="str">
        <x:v>Then explain the difference between local-only use and optional synchronization.</x:v>
      </x:c>
      <x:c r="G5" s="46" t="str">
        <x:v>Yes</x:v>
      </x:c>
      <x:c r="H5" s="47" t="str">
        <x:v>Integration test</x:v>
      </x:c>
    </x:row>
    <x:row r="6" ht="42" customHeight="1">
      <x:c r="A6" s="45" t="str">
        <x:v>AC-A-005</x:v>
      </x:c>
      <x:c r="B6" s="46" t="str">
        <x:v>A. App Startup and Guest Onboarding</x:v>
      </x:c>
      <x:c r="C6" s="46" t="str">
        <x:v>FR-A-005</x:v>
      </x:c>
      <x:c r="D6" s="46" t="str">
        <x:v>Given the applicable App Startup and Guest Onboarding preconditions and a valid Local Profile</x:v>
      </x:c>
      <x:c r="E6" s="46" t="str">
        <x:v>When the user performs the relevant action or the relevant system condition occurs</x:v>
      </x:c>
      <x:c r="F6" s="46" t="str">
        <x:v>Then initialize the six approved Life Indicators without creating Actual contributions.</x:v>
      </x:c>
      <x:c r="G6" s="46" t="str">
        <x:v>Yes</x:v>
      </x:c>
      <x:c r="H6" s="47" t="str">
        <x:v>Domain test</x:v>
      </x:c>
    </x:row>
    <x:row r="7" ht="42" customHeight="1">
      <x:c r="A7" s="45" t="str">
        <x:v>AC-A-006</x:v>
      </x:c>
      <x:c r="B7" s="46" t="str">
        <x:v>A. App Startup and Guest Onboarding</x:v>
      </x:c>
      <x:c r="C7" s="46" t="str">
        <x:v>FR-A-006</x:v>
      </x:c>
      <x:c r="D7" s="46" t="str">
        <x:v>Given the applicable App Startup and Guest Onboarding preconditions and a valid Local Profile</x:v>
      </x:c>
      <x:c r="E7" s="46" t="str">
        <x:v>When the user performs the relevant action or the relevant system condition occurs</x:v>
      </x:c>
      <x:c r="F7" s="46" t="str">
        <x:v>Then open local Drift state before waiting for Supabase.</x:v>
      </x:c>
      <x:c r="G7" s="46" t="str">
        <x:v>Yes</x:v>
      </x:c>
      <x:c r="H7" s="47" t="str">
        <x:v>Database test / RLS test</x:v>
      </x:c>
    </x:row>
    <x:row r="8" ht="42" customHeight="1">
      <x:c r="A8" s="45" t="str">
        <x:v>AC-A-007</x:v>
      </x:c>
      <x:c r="B8" s="46" t="str">
        <x:v>A. App Startup and Guest Onboarding</x:v>
      </x:c>
      <x:c r="C8" s="46" t="str">
        <x:v>FR-A-007</x:v>
      </x:c>
      <x:c r="D8" s="46" t="str">
        <x:v>Given the applicable App Startup and Guest Onboarding preconditions and a valid Local Profile</x:v>
      </x:c>
      <x:c r="E8" s="46" t="str">
        <x:v>When the user performs the relevant action or the relevant system condition occurs</x:v>
      </x:c>
      <x:c r="F8" s="46" t="str">
        <x:v>Then support returning guest and returning signed-in startup.</x:v>
      </x:c>
      <x:c r="G8" s="46" t="str">
        <x:v>Yes</x:v>
      </x:c>
      <x:c r="H8" s="47" t="str">
        <x:v>Domain test</x:v>
      </x:c>
    </x:row>
    <x:row r="9" ht="42" customHeight="1">
      <x:c r="A9" s="45" t="str">
        <x:v>AC-A-008</x:v>
      </x:c>
      <x:c r="B9" s="46" t="str">
        <x:v>A. App Startup and Guest Onboarding</x:v>
      </x:c>
      <x:c r="C9" s="46" t="str">
        <x:v>FR-A-008</x:v>
      </x:c>
      <x:c r="D9" s="46" t="str">
        <x:v>Given the applicable App Startup and Guest Onboarding preconditions and a valid Local Profile</x:v>
      </x:c>
      <x:c r="E9" s="46" t="str">
        <x:v>When the user performs the relevant action or the relevant system condition occurs</x:v>
      </x:c>
      <x:c r="F9" s="46" t="str">
        <x:v>Then protect content before privacy-lock authentication.</x:v>
      </x:c>
      <x:c r="G9" s="46" t="str">
        <x:v>Yes</x:v>
      </x:c>
      <x:c r="H9" s="47" t="str">
        <x:v>Domain test</x:v>
      </x:c>
    </x:row>
    <x:row r="10" ht="42" customHeight="1">
      <x:c r="A10" s="45" t="str">
        <x:v>AC-A-009</x:v>
      </x:c>
      <x:c r="B10" s="46" t="str">
        <x:v>A. App Startup and Guest Onboarding</x:v>
      </x:c>
      <x:c r="C10" s="46" t="str">
        <x:v>FR-A-009</x:v>
      </x:c>
      <x:c r="D10" s="46" t="str">
        <x:v>Given the applicable App Startup and Guest Onboarding preconditions and a valid Local Profile</x:v>
      </x:c>
      <x:c r="E10" s="46" t="str">
        <x:v>When the user performs the relevant action or the relevant system condition occurs</x:v>
      </x:c>
      <x:c r="F10" s="46" t="str">
        <x:v>Then support recovery from an interrupted or failed migration.</x:v>
      </x:c>
      <x:c r="G10" s="46" t="str">
        <x:v>No</x:v>
      </x:c>
      <x:c r="H10" s="47" t="str">
        <x:v>Integration test</x:v>
      </x:c>
    </x:row>
    <x:row r="11" ht="42" customHeight="1">
      <x:c r="A11" s="45" t="str">
        <x:v>AC-A-010</x:v>
      </x:c>
      <x:c r="B11" s="46" t="str">
        <x:v>A. App Startup and Guest Onboarding</x:v>
      </x:c>
      <x:c r="C11" s="46" t="str">
        <x:v>FR-A-010</x:v>
      </x:c>
      <x:c r="D11" s="46" t="str">
        <x:v>Given the applicable App Startup and Guest Onboarding preconditions and a valid Local Profile</x:v>
      </x:c>
      <x:c r="E11" s="46" t="str">
        <x:v>When the user performs the relevant action or the relevant system condition occurs</x:v>
      </x:c>
      <x:c r="F11" s="46" t="str">
        <x:v>Then not silently destroy or recreate local data following migration failure.</x:v>
      </x:c>
      <x:c r="G11" s="46" t="str">
        <x:v>Yes</x:v>
      </x:c>
      <x:c r="H11" s="47" t="str">
        <x:v>Domain test</x:v>
      </x:c>
    </x:row>
    <x:row r="12" ht="42" customHeight="1">
      <x:c r="A12" s="45" t="str">
        <x:v>AC-A-011</x:v>
      </x:c>
      <x:c r="B12" s="46" t="str">
        <x:v>A. App Startup and Guest Onboarding</x:v>
      </x:c>
      <x:c r="C12" s="46" t="str">
        <x:v>FR-A-011</x:v>
      </x:c>
      <x:c r="D12" s="46" t="str">
        <x:v>Given the applicable App Startup and Guest Onboarding preconditions and a valid Local Profile</x:v>
      </x:c>
      <x:c r="E12" s="46" t="str">
        <x:v>When the user performs the relevant action or the relevant system condition occurs</x:v>
      </x:c>
      <x:c r="F12" s="46" t="str">
        <x:v>Then display a clear distinction between local readiness, account state, and sync state.</x:v>
      </x:c>
      <x:c r="G12" s="46" t="str">
        <x:v>No</x:v>
      </x:c>
      <x:c r="H12" s="47" t="str">
        <x:v>Widget test / Integration test</x:v>
      </x:c>
    </x:row>
    <x:row r="13" ht="42" customHeight="1">
      <x:c r="A13" s="45" t="str">
        <x:v>AC-A-012</x:v>
      </x:c>
      <x:c r="B13" s="46" t="str">
        <x:v>A. App Startup and Guest Onboarding</x:v>
      </x:c>
      <x:c r="C13" s="46" t="str">
        <x:v>FR-A-012</x:v>
      </x:c>
      <x:c r="D13" s="46" t="str">
        <x:v>Given the applicable App Startup and Guest Onboarding preconditions and a valid Local Profile</x:v>
      </x:c>
      <x:c r="E13" s="46" t="str">
        <x:v>When the user performs the relevant action or the relevant system condition occurs</x:v>
      </x:c>
      <x:c r="F13" s="46" t="str">
        <x:v>Then allow local use when an account session expires.</x:v>
      </x:c>
      <x:c r="G13" s="46" t="str">
        <x:v>No</x:v>
      </x:c>
      <x:c r="H13" s="47" t="str">
        <x:v>Domain test</x:v>
      </x:c>
    </x:row>
    <x:row r="14" ht="42" customHeight="1">
      <x:c r="A14" s="45" t="str">
        <x:v>AC-A-013</x:v>
      </x:c>
      <x:c r="B14" s="46" t="str">
        <x:v>A. App Startup and Guest Onboarding</x:v>
      </x:c>
      <x:c r="C14" s="46" t="str">
        <x:v>FR-A-013</x:v>
      </x:c>
      <x:c r="D14" s="46" t="str">
        <x:v>Given the applicable App Startup and Guest Onboarding preconditions and a valid Local Profile</x:v>
      </x:c>
      <x:c r="E14" s="46" t="str">
        <x:v>When the user performs the relevant action or the relevant system condition occurs</x:v>
      </x:c>
      <x:c r="F14" s="46" t="str">
        <x:v>Then provide safe handling of invalid startup links.</x:v>
      </x:c>
      <x:c r="G14" s="46" t="str">
        <x:v>No</x:v>
      </x:c>
      <x:c r="H14" s="47" t="str">
        <x:v>Domain test</x:v>
      </x:c>
    </x:row>
    <x:row r="15" ht="42" customHeight="1">
      <x:c r="A15" s="45" t="str">
        <x:v>AC-A-014</x:v>
      </x:c>
      <x:c r="B15" s="46" t="str">
        <x:v>A. App Startup and Guest Onboarding</x:v>
      </x:c>
      <x:c r="C15" s="46" t="str">
        <x:v>FR-A-014</x:v>
      </x:c>
      <x:c r="D15" s="46" t="str">
        <x:v>Given the applicable App Startup and Guest Onboarding preconditions and a valid Local Profile</x:v>
      </x:c>
      <x:c r="E15" s="46" t="str">
        <x:v>When the user performs the relevant action or the relevant system condition occurs</x:v>
      </x:c>
      <x:c r="F15" s="46" t="str">
        <x:v>Then preserve an interrupted onboarding state where safe.</x:v>
      </x:c>
      <x:c r="G15" s="46" t="str">
        <x:v>Yes</x:v>
      </x:c>
      <x:c r="H15" s="47" t="str">
        <x:v>Domain test</x:v>
      </x:c>
    </x:row>
    <x:row r="16" ht="42" customHeight="1">
      <x:c r="A16" s="45" t="str">
        <x:v>AC-A-015</x:v>
      </x:c>
      <x:c r="B16" s="46" t="str">
        <x:v>A. App Startup and Guest Onboarding</x:v>
      </x:c>
      <x:c r="C16" s="46" t="str">
        <x:v>FR-A-015</x:v>
      </x:c>
      <x:c r="D16" s="46" t="str">
        <x:v>Given the applicable App Startup and Guest Onboarding preconditions and a valid Local Profile</x:v>
      </x:c>
      <x:c r="E16" s="46" t="str">
        <x:v>When the user performs the relevant action or the relevant system condition occurs</x:v>
      </x:c>
      <x:c r="F16" s="46" t="str">
        <x:v>Then show an actionable first-use Home state.</x:v>
      </x:c>
      <x:c r="G16" s="46" t="str">
        <x:v>No</x:v>
      </x:c>
      <x:c r="H16" s="47" t="str">
        <x:v>Domain test</x:v>
      </x:c>
    </x:row>
    <x:row r="17" ht="42" customHeight="1">
      <x:c r="A17" s="45" t="str">
        <x:v>AC-A-016</x:v>
      </x:c>
      <x:c r="B17" s="46" t="str">
        <x:v>A. App Startup and Guest Onboarding</x:v>
      </x:c>
      <x:c r="C17" s="46" t="str">
        <x:v>FR-A-016</x:v>
      </x:c>
      <x:c r="D17" s="46" t="str">
        <x:v>Given the applicable App Startup and Guest Onboarding preconditions and a valid Local Profile</x:v>
      </x:c>
      <x:c r="E17" s="46" t="str">
        <x:v>When the user performs the relevant action or the relevant system condition occurs</x:v>
      </x:c>
      <x:c r="F17" s="46" t="str">
        <x:v>Then prevent duplicate Local Profiles from being created through repeated startup attempts.</x:v>
      </x:c>
      <x:c r="G17" s="46" t="str">
        <x:v>Yes</x:v>
      </x:c>
      <x:c r="H17" s="47" t="str">
        <x:v>Domain test</x:v>
      </x:c>
    </x:row>
    <x:row r="18" ht="42" customHeight="1">
      <x:c r="A18" s="45" t="str">
        <x:v>AC-A-017</x:v>
      </x:c>
      <x:c r="B18" s="46" t="str">
        <x:v>A. App Startup and Guest Onboarding</x:v>
      </x:c>
      <x:c r="C18" s="46" t="str">
        <x:v>FR-A-017</x:v>
      </x:c>
      <x:c r="D18" s="46" t="str">
        <x:v>Given the applicable App Startup and Guest Onboarding preconditions and a valid Local Profile</x:v>
      </x:c>
      <x:c r="E18" s="46" t="str">
        <x:v>When the user performs the relevant action or the relevant system condition occurs</x:v>
      </x:c>
      <x:c r="F18" s="46" t="str">
        <x:v>Then not request unrelated Android permissions during onboarding.</x:v>
      </x:c>
      <x:c r="G18" s="46" t="str">
        <x:v>Yes</x:v>
      </x:c>
      <x:c r="H18" s="47" t="str">
        <x:v>Widget test</x:v>
      </x:c>
    </x:row>
    <x:row r="19" ht="42" customHeight="1">
      <x:c r="A19" s="45" t="str">
        <x:v>AC-A-018</x:v>
      </x:c>
      <x:c r="B19" s="46" t="str">
        <x:v>A. App Startup and Guest Onboarding</x:v>
      </x:c>
      <x:c r="C19" s="46" t="str">
        <x:v>FR-A-018</x:v>
      </x:c>
      <x:c r="D19" s="46" t="str">
        <x:v>Given the applicable App Startup and Guest Onboarding preconditions and a valid Local Profile</x:v>
      </x:c>
      <x:c r="E19" s="46" t="str">
        <x:v>When the user performs the relevant action or the relevant system condition occurs</x:v>
      </x:c>
      <x:c r="F19" s="46" t="str">
        <x:v>Then surface data-loss risk before any reset.</x:v>
      </x:c>
      <x:c r="G19" s="46" t="str">
        <x:v>No</x:v>
      </x:c>
      <x:c r="H19" s="47" t="str">
        <x:v>Domain test</x:v>
      </x:c>
    </x:row>
    <x:row r="20" ht="42" customHeight="1">
      <x:c r="A20" s="45" t="str">
        <x:v>AC-A-019</x:v>
      </x:c>
      <x:c r="B20" s="46" t="str">
        <x:v>A. App Startup and Guest Onboarding</x:v>
      </x:c>
      <x:c r="C20" s="46" t="str">
        <x:v>FR-A-019</x:v>
      </x:c>
      <x:c r="D20" s="46" t="str">
        <x:v>Given the applicable App Startup and Guest Onboarding preconditions and a valid Local Profile</x:v>
      </x:c>
      <x:c r="E20" s="46" t="str">
        <x:v>When the user performs the relevant action or the relevant system condition occurs</x:v>
      </x:c>
      <x:c r="F20" s="46" t="str">
        <x:v>Then permit account setup later from the approved settings area.</x:v>
      </x:c>
      <x:c r="G20" s="46" t="str">
        <x:v>No</x:v>
      </x:c>
      <x:c r="H20" s="47" t="str">
        <x:v>Domain test</x:v>
      </x:c>
    </x:row>
    <x:row r="21" ht="42" customHeight="1">
      <x:c r="A21" s="45" t="str">
        <x:v>AC-A-020</x:v>
      </x:c>
      <x:c r="B21" s="46" t="str">
        <x:v>A. App Startup and Guest Onboarding</x:v>
      </x:c>
      <x:c r="C21" s="46" t="str">
        <x:v>FR-A-020</x:v>
      </x:c>
      <x:c r="D21" s="46" t="str">
        <x:v>Given the applicable App Startup and Guest Onboarding preconditions and a valid Local Profile</x:v>
      </x:c>
      <x:c r="E21" s="46" t="str">
        <x:v>When the user performs the relevant action or the relevant system condition occurs</x:v>
      </x:c>
      <x:c r="F21" s="46" t="str">
        <x:v>Then keep optional remote initialization from blocking navigation.</x:v>
      </x:c>
      <x:c r="G21" s="46" t="str">
        <x:v>Yes</x:v>
      </x:c>
      <x:c r="H21" s="47" t="str">
        <x:v>Domain test</x:v>
      </x:c>
    </x:row>
    <x:row r="22" ht="42" customHeight="1">
      <x:c r="A22" s="45" t="str">
        <x:v>AC-B-001</x:v>
      </x:c>
      <x:c r="B22" s="46" t="str">
        <x:v>B. Home and Life Indicators</x:v>
      </x:c>
      <x:c r="C22" s="46" t="str">
        <x:v>FR-B-001</x:v>
      </x:c>
      <x:c r="D22" s="46" t="str">
        <x:v>Given the applicable Home and Life Indicators preconditions and a valid Local Profile</x:v>
      </x:c>
      <x:c r="E22" s="46" t="str">
        <x:v>When the user performs the relevant action or the relevant system condition occurs</x:v>
      </x:c>
      <x:c r="F22" s="46" t="str">
        <x:v>Then display the active period and its date boundaries.</x:v>
      </x:c>
      <x:c r="G22" s="46" t="str">
        <x:v>Yes</x:v>
      </x:c>
      <x:c r="H22" s="47" t="str">
        <x:v>Widget test</x:v>
      </x:c>
    </x:row>
    <x:row r="23" ht="42" customHeight="1">
      <x:c r="A23" s="45" t="str">
        <x:v>AC-B-002</x:v>
      </x:c>
      <x:c r="B23" s="46" t="str">
        <x:v>B. Home and Life Indicators</x:v>
      </x:c>
      <x:c r="C23" s="46" t="str">
        <x:v>FR-B-002</x:v>
      </x:c>
      <x:c r="D23" s="46" t="str">
        <x:v>Given the applicable Home and Life Indicators preconditions and a valid Local Profile</x:v>
      </x:c>
      <x:c r="E23" s="46" t="str">
        <x:v>When the user performs the relevant action or the relevant system condition occurs</x:v>
      </x:c>
      <x:c r="F23" s="46" t="str">
        <x:v>Then display all six approved initial Life Indicators.</x:v>
      </x:c>
      <x:c r="G23" s="46" t="str">
        <x:v>Yes</x:v>
      </x:c>
      <x:c r="H23" s="47" t="str">
        <x:v>Widget test</x:v>
      </x:c>
    </x:row>
    <x:row r="24" ht="42" customHeight="1">
      <x:c r="A24" s="45" t="str">
        <x:v>AC-B-003</x:v>
      </x:c>
      <x:c r="B24" s="46" t="str">
        <x:v>B. Home and Life Indicators</x:v>
      </x:c>
      <x:c r="C24" s="46" t="str">
        <x:v>FR-B-003</x:v>
      </x:c>
      <x:c r="D24" s="46" t="str">
        <x:v>Given the applicable Home and Life Indicators preconditions and a valid Local Profile</x:v>
      </x:c>
      <x:c r="E24" s="46" t="str">
        <x:v>When the user performs the relevant action or the relevant system condition occurs</x:v>
      </x:c>
      <x:c r="F24" s="46" t="str">
        <x:v>Then each indicator shall display Actual, Target, and Scheduled Potential as separately labeled values.</x:v>
      </x:c>
      <x:c r="G24" s="46" t="str">
        <x:v>Yes</x:v>
      </x:c>
      <x:c r="H24" s="47" t="str">
        <x:v>Domain test / Widget test</x:v>
      </x:c>
    </x:row>
    <x:row r="25" ht="42" customHeight="1">
      <x:c r="A25" s="45" t="str">
        <x:v>AC-B-004</x:v>
      </x:c>
      <x:c r="B25" s="46" t="str">
        <x:v>B. Home and Life Indicators</x:v>
      </x:c>
      <x:c r="C25" s="46" t="str">
        <x:v>FR-B-004</x:v>
      </x:c>
      <x:c r="D25" s="46" t="str">
        <x:v>Given the applicable Home and Life Indicators preconditions and a valid Local Profile</x:v>
      </x:c>
      <x:c r="E25" s="46" t="str">
        <x:v>When the user performs the relevant action or the relevant system condition occurs</x:v>
      </x:c>
      <x:c r="F25" s="46" t="str">
        <x:v>Then derive Actual from local Activity Ledger-backed projections.</x:v>
      </x:c>
      <x:c r="G25" s="46" t="str">
        <x:v>Yes</x:v>
      </x:c>
      <x:c r="H25" s="47" t="str">
        <x:v>Domain test / Database test</x:v>
      </x:c>
    </x:row>
    <x:row r="26" ht="42" customHeight="1">
      <x:c r="A26" s="45" t="str">
        <x:v>AC-B-005</x:v>
      </x:c>
      <x:c r="B26" s="46" t="str">
        <x:v>B. Home and Life Indicators</x:v>
      </x:c>
      <x:c r="C26" s="46" t="str">
        <x:v>FR-B-005</x:v>
      </x:c>
      <x:c r="D26" s="46" t="str">
        <x:v>Given the applicable Home and Life Indicators preconditions and a valid Local Profile</x:v>
      </x:c>
      <x:c r="E26" s="46" t="str">
        <x:v>When the user performs the relevant action or the relevant system condition occurs</x:v>
      </x:c>
      <x:c r="F26" s="46" t="str">
        <x:v>Then provide access to each indicator’s contribution history.</x:v>
      </x:c>
      <x:c r="G26" s="46" t="str">
        <x:v>Yes</x:v>
      </x:c>
      <x:c r="H26" s="47" t="str">
        <x:v>Domain test</x:v>
      </x:c>
    </x:row>
    <x:row r="27" ht="42" customHeight="1">
      <x:c r="A27" s="45" t="str">
        <x:v>AC-B-006</x:v>
      </x:c>
      <x:c r="B27" s="46" t="str">
        <x:v>B. Home and Life Indicators</x:v>
      </x:c>
      <x:c r="C27" s="46" t="str">
        <x:v>FR-B-006</x:v>
      </x:c>
      <x:c r="D27" s="46" t="str">
        <x:v>Given the applicable Home and Life Indicators preconditions and a valid Local Profile</x:v>
      </x:c>
      <x:c r="E27" s="46" t="str">
        <x:v>When the user performs the relevant action or the relevant system condition occurs</x:v>
      </x:c>
      <x:c r="F27" s="46" t="str">
        <x:v>Then provide access to the sources of Scheduled Potential.</x:v>
      </x:c>
      <x:c r="G27" s="46" t="str">
        <x:v>Yes</x:v>
      </x:c>
      <x:c r="H27" s="47" t="str">
        <x:v>Domain test</x:v>
      </x:c>
    </x:row>
    <x:row r="28" ht="42" customHeight="1">
      <x:c r="A28" s="45" t="str">
        <x:v>AC-B-007</x:v>
      </x:c>
      <x:c r="B28" s="46" t="str">
        <x:v>B. Home and Life Indicators</x:v>
      </x:c>
      <x:c r="C28" s="46" t="str">
        <x:v>FR-B-007</x:v>
      </x:c>
      <x:c r="D28" s="46" t="str">
        <x:v>Given the applicable Home and Life Indicators preconditions and a valid Local Profile</x:v>
      </x:c>
      <x:c r="E28" s="46" t="str">
        <x:v>When the user performs the relevant action or the relevant system condition occurs</x:v>
      </x:c>
      <x:c r="F28" s="46" t="str">
        <x:v>Then distinguish no target from a zero target.</x:v>
      </x:c>
      <x:c r="G28" s="46" t="str">
        <x:v>Yes</x:v>
      </x:c>
      <x:c r="H28" s="47" t="str">
        <x:v>Domain test</x:v>
      </x:c>
    </x:row>
    <x:row r="29" ht="42" customHeight="1">
      <x:c r="A29" s="45" t="str">
        <x:v>AC-B-008</x:v>
      </x:c>
      <x:c r="B29" s="46" t="str">
        <x:v>B. Home and Life Indicators</x:v>
      </x:c>
      <x:c r="C29" s="46" t="str">
        <x:v>FR-B-008</x:v>
      </x:c>
      <x:c r="D29" s="46" t="str">
        <x:v>Given the applicable Home and Life Indicators preconditions and a valid Local Profile</x:v>
      </x:c>
      <x:c r="E29" s="46" t="str">
        <x:v>When the user performs the relevant action or the relevant system condition occurs</x:v>
      </x:c>
      <x:c r="F29" s="46" t="str">
        <x:v>Then update after valid reports, reversals, and replacements.</x:v>
      </x:c>
      <x:c r="G29" s="46" t="str">
        <x:v>Yes</x:v>
      </x:c>
      <x:c r="H29" s="47" t="str">
        <x:v>Domain test</x:v>
      </x:c>
    </x:row>
    <x:row r="30" ht="42" customHeight="1">
      <x:c r="A30" s="45" t="str">
        <x:v>AC-B-009</x:v>
      </x:c>
      <x:c r="B30" s="46" t="str">
        <x:v>B. Home and Life Indicators</x:v>
      </x:c>
      <x:c r="C30" s="46" t="str">
        <x:v>FR-B-009</x:v>
      </x:c>
      <x:c r="D30" s="46" t="str">
        <x:v>Given the applicable Home and Life Indicators preconditions and a valid Local Profile</x:v>
      </x:c>
      <x:c r="E30" s="46" t="str">
        <x:v>When the user performs the relevant action or the relevant system condition occurs</x:v>
      </x:c>
      <x:c r="F30" s="46" t="str">
        <x:v>Then not permit direct Actual editing.</x:v>
      </x:c>
      <x:c r="G30" s="46" t="str">
        <x:v>Yes</x:v>
      </x:c>
      <x:c r="H30" s="47" t="str">
        <x:v>Domain test</x:v>
      </x:c>
    </x:row>
    <x:row r="31" ht="42" customHeight="1">
      <x:c r="A31" s="45" t="str">
        <x:v>AC-B-010</x:v>
      </x:c>
      <x:c r="B31" s="46" t="str">
        <x:v>B. Home and Life Indicators</x:v>
      </x:c>
      <x:c r="C31" s="46" t="str">
        <x:v>FR-B-010</x:v>
      </x:c>
      <x:c r="D31" s="46" t="str">
        <x:v>Given the applicable Home and Life Indicators preconditions and a valid Local Profile</x:v>
      </x:c>
      <x:c r="E31" s="46" t="str">
        <x:v>When the user performs the relevant action or the relevant system condition occurs</x:v>
      </x:c>
      <x:c r="F31" s="46" t="str">
        <x:v>Then not classify records by title alone.</x:v>
      </x:c>
      <x:c r="G31" s="46" t="str">
        <x:v>Yes</x:v>
      </x:c>
      <x:c r="H31" s="47" t="str">
        <x:v>Domain test</x:v>
      </x:c>
    </x:row>
    <x:row r="32" ht="42" customHeight="1">
      <x:c r="A32" s="45" t="str">
        <x:v>AC-B-011</x:v>
      </x:c>
      <x:c r="B32" s="46" t="str">
        <x:v>B. Home and Life Indicators</x:v>
      </x:c>
      <x:c r="C32" s="46" t="str">
        <x:v>FR-B-011</x:v>
      </x:c>
      <x:c r="D32" s="46" t="str">
        <x:v>Given the applicable Home and Life Indicators preconditions and a valid Local Profile</x:v>
      </x:c>
      <x:c r="E32" s="46" t="str">
        <x:v>When the user performs the relevant action or the relevant system condition occurs</x:v>
      </x:c>
      <x:c r="F32" s="46" t="str">
        <x:v>Then identify stale or rebuilding projection states.</x:v>
      </x:c>
      <x:c r="G32" s="46" t="str">
        <x:v>No</x:v>
      </x:c>
      <x:c r="H32" s="47" t="str">
        <x:v>Domain test</x:v>
      </x:c>
    </x:row>
    <x:row r="33" ht="42" customHeight="1">
      <x:c r="A33" s="45" t="str">
        <x:v>AC-B-012</x:v>
      </x:c>
      <x:c r="B33" s="46" t="str">
        <x:v>B. Home and Life Indicators</x:v>
      </x:c>
      <x:c r="C33" s="46" t="str">
        <x:v>FR-B-012</x:v>
      </x:c>
      <x:c r="D33" s="46" t="str">
        <x:v>Given the applicable Home and Life Indicators preconditions and a valid Local Profile</x:v>
      </x:c>
      <x:c r="E33" s="46" t="str">
        <x:v>When the user performs the relevant action or the relevant system condition occurs</x:v>
      </x:c>
      <x:c r="F33" s="46" t="str">
        <x:v>Then remain usable when one projection fails.</x:v>
      </x:c>
      <x:c r="G33" s="46" t="str">
        <x:v>Yes</x:v>
      </x:c>
      <x:c r="H33" s="47" t="str">
        <x:v>Domain test</x:v>
      </x:c>
    </x:row>
    <x:row r="34" ht="42" customHeight="1">
      <x:c r="A34" s="45" t="str">
        <x:v>AC-B-013</x:v>
      </x:c>
      <x:c r="B34" s="46" t="str">
        <x:v>B. Home and Life Indicators</x:v>
      </x:c>
      <x:c r="C34" s="46" t="str">
        <x:v>FR-B-013</x:v>
      </x:c>
      <x:c r="D34" s="46" t="str">
        <x:v>Given the applicable Home and Life Indicators preconditions and a valid Local Profile</x:v>
      </x:c>
      <x:c r="E34" s="46" t="str">
        <x:v>When the user performs the relevant action or the relevant system condition occurs</x:v>
      </x:c>
      <x:c r="F34" s="46" t="str">
        <x:v>Then provide a route to Planner for the current day.</x:v>
      </x:c>
      <x:c r="G34" s="46" t="str">
        <x:v>No</x:v>
      </x:c>
      <x:c r="H34" s="47" t="str">
        <x:v>Domain test</x:v>
      </x:c>
    </x:row>
    <x:row r="35" ht="42" customHeight="1">
      <x:c r="A35" s="45" t="str">
        <x:v>AC-B-014</x:v>
      </x:c>
      <x:c r="B35" s="46" t="str">
        <x:v>B. Home and Life Indicators</x:v>
      </x:c>
      <x:c r="C35" s="46" t="str">
        <x:v>FR-B-014</x:v>
      </x:c>
      <x:c r="D35" s="46" t="str">
        <x:v>Given the applicable Home and Life Indicators preconditions and a valid Local Profile</x:v>
      </x:c>
      <x:c r="E35" s="46" t="str">
        <x:v>When the user performs the relevant action or the relevant system condition occurs</x:v>
      </x:c>
      <x:c r="F35" s="46" t="str">
        <x:v>Then provide a route to Weekly Planning for target changes.</x:v>
      </x:c>
      <x:c r="G35" s="46" t="str">
        <x:v>No</x:v>
      </x:c>
      <x:c r="H35" s="47" t="str">
        <x:v>Domain test</x:v>
      </x:c>
    </x:row>
    <x:row r="36" ht="42" customHeight="1">
      <x:c r="A36" s="45" t="str">
        <x:v>AC-B-015</x:v>
      </x:c>
      <x:c r="B36" s="46" t="str">
        <x:v>B. Home and Life Indicators</x:v>
      </x:c>
      <x:c r="C36" s="46" t="str">
        <x:v>FR-B-015</x:v>
      </x:c>
      <x:c r="D36" s="46" t="str">
        <x:v>Given the applicable Home and Life Indicators preconditions and a valid Local Profile</x:v>
      </x:c>
      <x:c r="E36" s="46" t="str">
        <x:v>When the user performs the relevant action or the relevant system condition occurs</x:v>
      </x:c>
      <x:c r="F36" s="46" t="str">
        <x:v>Then show counts for relevant attention items, including overdue Tasks and Calendar Events Awaiting Report, when those summaries are included.</x:v>
      </x:c>
      <x:c r="G36" s="46" t="str">
        <x:v>No</x:v>
      </x:c>
      <x:c r="H36" s="47" t="str">
        <x:v>Integration test</x:v>
      </x:c>
    </x:row>
    <x:row r="37" ht="42" customHeight="1">
      <x:c r="A37" s="45" t="str">
        <x:v>AC-B-016</x:v>
      </x:c>
      <x:c r="B37" s="46" t="str">
        <x:v>B. Home and Life Indicators</x:v>
      </x:c>
      <x:c r="C37" s="46" t="str">
        <x:v>FR-B-016</x:v>
      </x:c>
      <x:c r="D37" s="46" t="str">
        <x:v>Given the applicable Home and Life Indicators preconditions and a valid Local Profile</x:v>
      </x:c>
      <x:c r="E37" s="46" t="str">
        <x:v>When the user performs the relevant action or the relevant system condition occurs</x:v>
      </x:c>
      <x:c r="F37" s="46" t="str">
        <x:v>Then display spiritual-adjacent indicators without scoring spiritual quality.</x:v>
      </x:c>
      <x:c r="G37" s="46" t="str">
        <x:v>Yes</x:v>
      </x:c>
      <x:c r="H37" s="47" t="str">
        <x:v>Widget test / Manual review</x:v>
      </x:c>
    </x:row>
    <x:row r="38" ht="42" customHeight="1">
      <x:c r="A38" s="45" t="str">
        <x:v>AC-B-017</x:v>
      </x:c>
      <x:c r="B38" s="46" t="str">
        <x:v>B. Home and Life Indicators</x:v>
      </x:c>
      <x:c r="C38" s="46" t="str">
        <x:v>FR-B-017</x:v>
      </x:c>
      <x:c r="D38" s="46" t="str">
        <x:v>Given the applicable Home and Life Indicators preconditions and a valid Local Profile</x:v>
      </x:c>
      <x:c r="E38" s="46" t="str">
        <x:v>When the user performs the relevant action or the relevant system condition occurs</x:v>
      </x:c>
      <x:c r="F38" s="46" t="str">
        <x:v>Then not combine the six indicators into a worthiness or life-quality score.</x:v>
      </x:c>
      <x:c r="G38" s="46" t="str">
        <x:v>Yes</x:v>
      </x:c>
      <x:c r="H38" s="47" t="str">
        <x:v>Domain test</x:v>
      </x:c>
    </x:row>
    <x:row r="39" ht="42" customHeight="1">
      <x:c r="A39" s="45" t="str">
        <x:v>AC-B-018</x:v>
      </x:c>
      <x:c r="B39" s="46" t="str">
        <x:v>B. Home and Life Indicators</x:v>
      </x:c>
      <x:c r="C39" s="46" t="str">
        <x:v>FR-B-018</x:v>
      </x:c>
      <x:c r="D39" s="46" t="str">
        <x:v>Given the applicable Home and Life Indicators preconditions and a valid Local Profile</x:v>
      </x:c>
      <x:c r="E39" s="46" t="str">
        <x:v>When the user performs the relevant action or the relevant system condition occurs</x:v>
      </x:c>
      <x:c r="F39" s="46" t="str">
        <x:v>Then retain period context when navigating into an indicator.</x:v>
      </x:c>
      <x:c r="G39" s="46" t="str">
        <x:v>No</x:v>
      </x:c>
      <x:c r="H39" s="47" t="str">
        <x:v>Domain test</x:v>
      </x:c>
    </x:row>
    <x:row r="40" ht="42" customHeight="1">
      <x:c r="A40" s="45" t="str">
        <x:v>AC-B-019</x:v>
      </x:c>
      <x:c r="B40" s="46" t="str">
        <x:v>B. Home and Life Indicators</x:v>
      </x:c>
      <x:c r="C40" s="46" t="str">
        <x:v>FR-B-019</x:v>
      </x:c>
      <x:c r="D40" s="46" t="str">
        <x:v>Given the applicable Home and Life Indicators preconditions and a valid Local Profile</x:v>
      </x:c>
      <x:c r="E40" s="46" t="str">
        <x:v>When the user performs the relevant action or the relevant system condition occurs</x:v>
      </x:c>
      <x:c r="F40" s="46" t="str">
        <x:v>Then correctly handle rescheduled and cancelled planned items in Scheduled Potential.</x:v>
      </x:c>
      <x:c r="G40" s="46" t="str">
        <x:v>No</x:v>
      </x:c>
      <x:c r="H40" s="47" t="str">
        <x:v>Domain test</x:v>
      </x:c>
    </x:row>
    <x:row r="41" ht="42" customHeight="1">
      <x:c r="A41" s="45" t="str">
        <x:v>AC-B-020</x:v>
      </x:c>
      <x:c r="B41" s="46" t="str">
        <x:v>B. Home and Life Indicators</x:v>
      </x:c>
      <x:c r="C41" s="46" t="str">
        <x:v>FR-B-020</x:v>
      </x:c>
      <x:c r="D41" s="46" t="str">
        <x:v>Given the applicable Home and Life Indicators preconditions and a valid Local Profile</x:v>
      </x:c>
      <x:c r="E41" s="46" t="str">
        <x:v>When the user performs the relevant action or the relevant system condition occurs</x:v>
      </x:c>
      <x:c r="F41" s="46" t="str">
        <x:v>Then use local state as the immediate displayed source.</x:v>
      </x:c>
      <x:c r="G41" s="46" t="str">
        <x:v>No</x:v>
      </x:c>
      <x:c r="H41" s="47" t="str">
        <x:v>Widget test</x:v>
      </x:c>
    </x:row>
    <x:row r="42" ht="42" customHeight="1">
      <x:c r="A42" s="45" t="str">
        <x:v>AC-C-001</x:v>
      </x:c>
      <x:c r="B42" s="46" t="str">
        <x:v>C. Planner Day View</x:v>
      </x:c>
      <x:c r="C42" s="46" t="str">
        <x:v>FR-C-001</x:v>
      </x:c>
      <x:c r="D42" s="46" t="str">
        <x:v>Given the applicable Planner Day View preconditions and a valid Local Profile</x:v>
      </x:c>
      <x:c r="E42" s="46" t="str">
        <x:v>When the user performs the relevant action or the relevant system condition occurs</x:v>
      </x:c>
      <x:c r="F42" s="46" t="str">
        <x:v>Then display a clearly identified selected date.</x:v>
      </x:c>
      <x:c r="G42" s="46" t="str">
        <x:v>Yes</x:v>
      </x:c>
      <x:c r="H42" s="47" t="str">
        <x:v>Widget test</x:v>
      </x:c>
    </x:row>
    <x:row r="43" ht="42" customHeight="1">
      <x:c r="A43" s="45" t="str">
        <x:v>AC-C-002</x:v>
      </x:c>
      <x:c r="B43" s="46" t="str">
        <x:v>C. Planner Day View</x:v>
      </x:c>
      <x:c r="C43" s="46" t="str">
        <x:v>FR-C-002</x:v>
      </x:c>
      <x:c r="D43" s="46" t="str">
        <x:v>Given the applicable Planner Day View preconditions and a valid Local Profile</x:v>
      </x:c>
      <x:c r="E43" s="46" t="str">
        <x:v>When the user performs the relevant action or the relevant system condition occurs</x:v>
      </x:c>
      <x:c r="F43" s="46" t="str">
        <x:v>Then display Tasks and Calendar Events with different type indicators and interactions.</x:v>
      </x:c>
      <x:c r="G43" s="46" t="str">
        <x:v>Yes</x:v>
      </x:c>
      <x:c r="H43" s="47" t="str">
        <x:v>Widget test / Integration test</x:v>
      </x:c>
    </x:row>
    <x:row r="44" ht="42" customHeight="1">
      <x:c r="A44" s="45" t="str">
        <x:v>AC-C-003</x:v>
      </x:c>
      <x:c r="B44" s="46" t="str">
        <x:v>C. Planner Day View</x:v>
      </x:c>
      <x:c r="C44" s="46" t="str">
        <x:v>FR-C-003</x:v>
      </x:c>
      <x:c r="D44" s="46" t="str">
        <x:v>Given the applicable Planner Day View preconditions and a valid Local Profile</x:v>
      </x:c>
      <x:c r="E44" s="46" t="str">
        <x:v>When the user performs the relevant action or the relevant system condition occurs</x:v>
      </x:c>
      <x:c r="F44" s="46" t="str">
        <x:v>Then support all-day and timed Calendar Events.</x:v>
      </x:c>
      <x:c r="G44" s="46" t="str">
        <x:v>Yes</x:v>
      </x:c>
      <x:c r="H44" s="47" t="str">
        <x:v>Integration test</x:v>
      </x:c>
    </x:row>
    <x:row r="45" ht="42" customHeight="1">
      <x:c r="A45" s="45" t="str">
        <x:v>AC-C-004</x:v>
      </x:c>
      <x:c r="B45" s="46" t="str">
        <x:v>C. Planner Day View</x:v>
      </x:c>
      <x:c r="C45" s="46" t="str">
        <x:v>FR-C-004</x:v>
      </x:c>
      <x:c r="D45" s="46" t="str">
        <x:v>Given the applicable Planner Day View preconditions and a valid Local Profile</x:v>
      </x:c>
      <x:c r="E45" s="46" t="str">
        <x:v>When the user performs the relevant action or the relevant system condition occurs</x:v>
      </x:c>
      <x:c r="F45" s="46" t="str">
        <x:v>Then show Tasks due on the selected day.</x:v>
      </x:c>
      <x:c r="G45" s="46" t="str">
        <x:v>Yes</x:v>
      </x:c>
      <x:c r="H45" s="47" t="str">
        <x:v>Domain test</x:v>
      </x:c>
    </x:row>
    <x:row r="46" ht="42" customHeight="1">
      <x:c r="A46" s="45" t="str">
        <x:v>AC-C-005</x:v>
      </x:c>
      <x:c r="B46" s="46" t="str">
        <x:v>C. Planner Day View</x:v>
      </x:c>
      <x:c r="C46" s="46" t="str">
        <x:v>FR-C-005</x:v>
      </x:c>
      <x:c r="D46" s="46" t="str">
        <x:v>Given the applicable Planner Day View preconditions and a valid Local Profile</x:v>
      </x:c>
      <x:c r="E46" s="46" t="str">
        <x:v>When the user performs the relevant action or the relevant system condition occurs</x:v>
      </x:c>
      <x:c r="F46" s="46" t="str">
        <x:v>Then show overdue Incomplete Tasks.</x:v>
      </x:c>
      <x:c r="G46" s="46" t="str">
        <x:v>Yes</x:v>
      </x:c>
      <x:c r="H46" s="47" t="str">
        <x:v>Domain test</x:v>
      </x:c>
    </x:row>
    <x:row r="47" ht="42" customHeight="1">
      <x:c r="A47" s="45" t="str">
        <x:v>AC-C-006</x:v>
      </x:c>
      <x:c r="B47" s="46" t="str">
        <x:v>C. Planner Day View</x:v>
      </x:c>
      <x:c r="C47" s="46" t="str">
        <x:v>FR-C-006</x:v>
      </x:c>
      <x:c r="D47" s="46" t="str">
        <x:v>Given the applicable Planner Day View preconditions and a valid Local Profile</x:v>
      </x:c>
      <x:c r="E47" s="46" t="str">
        <x:v>When the user performs the relevant action or the relevant system condition occurs</x:v>
      </x:c>
      <x:c r="F47" s="46" t="str">
        <x:v>Then show ended report-required Calendar Events as Awaiting Report.</x:v>
      </x:c>
      <x:c r="G47" s="46" t="str">
        <x:v>Yes</x:v>
      </x:c>
      <x:c r="H47" s="47" t="str">
        <x:v>Integration test</x:v>
      </x:c>
    </x:row>
    <x:row r="48" ht="42" customHeight="1">
      <x:c r="A48" s="45" t="str">
        <x:v>AC-C-007</x:v>
      </x:c>
      <x:c r="B48" s="46" t="str">
        <x:v>C. Planner Day View</x:v>
      </x:c>
      <x:c r="C48" s="46" t="str">
        <x:v>FR-C-007</x:v>
      </x:c>
      <x:c r="D48" s="46" t="str">
        <x:v>Given the applicable Planner Day View preconditions and a valid Local Profile</x:v>
      </x:c>
      <x:c r="E48" s="46" t="str">
        <x:v>When the user performs the relevant action or the relevant system condition occurs</x:v>
      </x:c>
      <x:c r="F48" s="46" t="str">
        <x:v>Then represent cancelled events.</x:v>
      </x:c>
      <x:c r="G48" s="46" t="str">
        <x:v>Yes</x:v>
      </x:c>
      <x:c r="H48" s="47" t="str">
        <x:v>Domain test</x:v>
      </x:c>
    </x:row>
    <x:row r="49" ht="42" customHeight="1">
      <x:c r="A49" s="45" t="str">
        <x:v>AC-C-008</x:v>
      </x:c>
      <x:c r="B49" s="46" t="str">
        <x:v>C. Planner Day View</x:v>
      </x:c>
      <x:c r="C49" s="46" t="str">
        <x:v>FR-C-008</x:v>
      </x:c>
      <x:c r="D49" s="46" t="str">
        <x:v>Given the applicable Planner Day View preconditions and a valid Local Profile</x:v>
      </x:c>
      <x:c r="E49" s="46" t="str">
        <x:v>When the user performs the relevant action or the relevant system condition occurs</x:v>
      </x:c>
      <x:c r="F49" s="46" t="str">
        <x:v>Then represent original rescheduled occurrences and their replacement events without double-presenting them as active commitments.</x:v>
      </x:c>
      <x:c r="G49" s="46" t="str">
        <x:v>Yes</x:v>
      </x:c>
      <x:c r="H49" s="47" t="str">
        <x:v>Domain test</x:v>
      </x:c>
    </x:row>
    <x:row r="50" ht="42" customHeight="1">
      <x:c r="A50" s="45" t="str">
        <x:v>AC-C-009</x:v>
      </x:c>
      <x:c r="B50" s="46" t="str">
        <x:v>C. Planner Day View</x:v>
      </x:c>
      <x:c r="C50" s="46" t="str">
        <x:v>FR-C-009</x:v>
      </x:c>
      <x:c r="D50" s="46" t="str">
        <x:v>Given the applicable Planner Day View preconditions and a valid Local Profile</x:v>
      </x:c>
      <x:c r="E50" s="46" t="str">
        <x:v>When the user performs the relevant action or the relevant system condition occurs</x:v>
      </x:c>
      <x:c r="F50" s="46" t="str">
        <x:v>Then support date navigation.</x:v>
      </x:c>
      <x:c r="G50" s="46" t="str">
        <x:v>No</x:v>
      </x:c>
      <x:c r="H50" s="47" t="str">
        <x:v>Domain test</x:v>
      </x:c>
    </x:row>
    <x:row r="51" ht="42" customHeight="1">
      <x:c r="A51" s="45" t="str">
        <x:v>AC-C-010</x:v>
      </x:c>
      <x:c r="B51" s="46" t="str">
        <x:v>C. Planner Day View</x:v>
      </x:c>
      <x:c r="C51" s="46" t="str">
        <x:v>FR-C-010</x:v>
      </x:c>
      <x:c r="D51" s="46" t="str">
        <x:v>Given the applicable Planner Day View preconditions and a valid Local Profile</x:v>
      </x:c>
      <x:c r="E51" s="46" t="str">
        <x:v>When the user performs the relevant action or the relevant system condition occurs</x:v>
      </x:c>
      <x:c r="F51" s="46" t="str">
        <x:v>Then provide distinct creation actions for Task and Calendar Event.</x:v>
      </x:c>
      <x:c r="G51" s="46" t="str">
        <x:v>No</x:v>
      </x:c>
      <x:c r="H51" s="47" t="str">
        <x:v>Integration test</x:v>
      </x:c>
    </x:row>
    <x:row r="52" ht="42" customHeight="1">
      <x:c r="A52" s="45" t="str">
        <x:v>AC-C-011</x:v>
      </x:c>
      <x:c r="B52" s="46" t="str">
        <x:v>C. Planner Day View</x:v>
      </x:c>
      <x:c r="C52" s="46" t="str">
        <x:v>FR-C-011</x:v>
      </x:c>
      <x:c r="D52" s="46" t="str">
        <x:v>Given the applicable Planner Day View preconditions and a valid Local Profile</x:v>
      </x:c>
      <x:c r="E52" s="46" t="str">
        <x:v>When the user performs the relevant action or the relevant system condition occurs</x:v>
      </x:c>
      <x:c r="F52" s="46" t="str">
        <x:v>Then support offline creation and editing.</x:v>
      </x:c>
      <x:c r="G52" s="46" t="str">
        <x:v>Yes</x:v>
      </x:c>
      <x:c r="H52" s="47" t="str">
        <x:v>Domain test</x:v>
      </x:c>
    </x:row>
    <x:row r="53" ht="42" customHeight="1">
      <x:c r="A53" s="45" t="str">
        <x:v>AC-C-012</x:v>
      </x:c>
      <x:c r="B53" s="46" t="str">
        <x:v>C. Planner Day View</x:v>
      </x:c>
      <x:c r="C53" s="46" t="str">
        <x:v>FR-C-012</x:v>
      </x:c>
      <x:c r="D53" s="46" t="str">
        <x:v>Given the applicable Planner Day View preconditions and a valid Local Profile</x:v>
      </x:c>
      <x:c r="E53" s="46" t="str">
        <x:v>When the user performs the relevant action or the relevant system condition occurs</x:v>
      </x:c>
      <x:c r="F53" s="46" t="str">
        <x:v>Then route to the correct detail type.</x:v>
      </x:c>
      <x:c r="G53" s="46" t="str">
        <x:v>No</x:v>
      </x:c>
      <x:c r="H53" s="47" t="str">
        <x:v>Domain test</x:v>
      </x:c>
    </x:row>
    <x:row r="54" ht="42" customHeight="1">
      <x:c r="A54" s="45" t="str">
        <x:v>AC-C-013</x:v>
      </x:c>
      <x:c r="B54" s="46" t="str">
        <x:v>C. Planner Day View</x:v>
      </x:c>
      <x:c r="C54" s="46" t="str">
        <x:v>FR-C-013</x:v>
      </x:c>
      <x:c r="D54" s="46" t="str">
        <x:v>Given the applicable Planner Day View preconditions and a valid Local Profile</x:v>
      </x:c>
      <x:c r="E54" s="46" t="str">
        <x:v>When the user performs the relevant action or the relevant system condition occurs</x:v>
      </x:c>
      <x:c r="F54" s="46" t="str">
        <x:v>Then display recurring-event identity.</x:v>
      </x:c>
      <x:c r="G54" s="46" t="str">
        <x:v>No</x:v>
      </x:c>
      <x:c r="H54" s="47" t="str">
        <x:v>Widget test</x:v>
      </x:c>
    </x:row>
    <x:row r="55" ht="42" customHeight="1">
      <x:c r="A55" s="45" t="str">
        <x:v>AC-C-014</x:v>
      </x:c>
      <x:c r="B55" s="46" t="str">
        <x:v>C. Planner Day View</x:v>
      </x:c>
      <x:c r="C55" s="46" t="str">
        <x:v>FR-C-014</x:v>
      </x:c>
      <x:c r="D55" s="46" t="str">
        <x:v>Given the applicable Planner Day View preconditions and a valid Local Profile</x:v>
      </x:c>
      <x:c r="E55" s="46" t="str">
        <x:v>When the user performs the relevant action or the relevant system condition occurs</x:v>
      </x:c>
      <x:c r="F55" s="46" t="str">
        <x:v>Then support contextual location and map actions.</x:v>
      </x:c>
      <x:c r="G55" s="46" t="str">
        <x:v>No</x:v>
      </x:c>
      <x:c r="H55" s="47" t="str">
        <x:v>Domain test</x:v>
      </x:c>
    </x:row>
    <x:row r="56" ht="42" customHeight="1">
      <x:c r="A56" s="45" t="str">
        <x:v>AC-C-015</x:v>
      </x:c>
      <x:c r="B56" s="46" t="str">
        <x:v>C. Planner Day View</x:v>
      </x:c>
      <x:c r="C56" s="46" t="str">
        <x:v>FR-C-015</x:v>
      </x:c>
      <x:c r="D56" s="46" t="str">
        <x:v>Given the applicable Planner Day View preconditions and a valid Local Profile</x:v>
      </x:c>
      <x:c r="E56" s="46" t="str">
        <x:v>When the user performs the relevant action or the relevant system condition occurs</x:v>
      </x:c>
      <x:c r="F56" s="46" t="str">
        <x:v>Then retain stored location text when permission is denied.</x:v>
      </x:c>
      <x:c r="G56" s="46" t="str">
        <x:v>Yes</x:v>
      </x:c>
      <x:c r="H56" s="47" t="str">
        <x:v>Widget test</x:v>
      </x:c>
    </x:row>
    <x:row r="57" ht="42" customHeight="1">
      <x:c r="A57" s="45" t="str">
        <x:v>AC-C-016</x:v>
      </x:c>
      <x:c r="B57" s="46" t="str">
        <x:v>C. Planner Day View</x:v>
      </x:c>
      <x:c r="C57" s="46" t="str">
        <x:v>FR-C-016</x:v>
      </x:c>
      <x:c r="D57" s="46" t="str">
        <x:v>Given the applicable Planner Day View preconditions and a valid Local Profile</x:v>
      </x:c>
      <x:c r="E57" s="46" t="str">
        <x:v>When the user performs the relevant action or the relevant system condition occurs</x:v>
      </x:c>
      <x:c r="F57" s="46" t="str">
        <x:v>Then not change event outcomes based on the current time.</x:v>
      </x:c>
      <x:c r="G57" s="46" t="str">
        <x:v>Yes</x:v>
      </x:c>
      <x:c r="H57" s="47" t="str">
        <x:v>Domain test</x:v>
      </x:c>
    </x:row>
    <x:row r="58" ht="42" customHeight="1">
      <x:c r="A58" s="45" t="str">
        <x:v>AC-C-017</x:v>
      </x:c>
      <x:c r="B58" s="46" t="str">
        <x:v>C. Planner Day View</x:v>
      </x:c>
      <x:c r="C58" s="46" t="str">
        <x:v>FR-C-017</x:v>
      </x:c>
      <x:c r="D58" s="46" t="str">
        <x:v>Given the applicable Planner Day View preconditions and a valid Local Profile</x:v>
      </x:c>
      <x:c r="E58" s="46" t="str">
        <x:v>When the user performs the relevant action or the relevant system condition occurs</x:v>
      </x:c>
      <x:c r="F58" s="46" t="str">
        <x:v>Then preserve the selected date after returning from item details where practical.</x:v>
      </x:c>
      <x:c r="G58" s="46" t="str">
        <x:v>Yes</x:v>
      </x:c>
      <x:c r="H58" s="47" t="str">
        <x:v>Domain test</x:v>
      </x:c>
    </x:row>
    <x:row r="59" ht="42" customHeight="1">
      <x:c r="A59" s="45" t="str">
        <x:v>AC-C-018</x:v>
      </x:c>
      <x:c r="B59" s="46" t="str">
        <x:v>C. Planner Day View</x:v>
      </x:c>
      <x:c r="C59" s="46" t="str">
        <x:v>FR-C-018</x:v>
      </x:c>
      <x:c r="D59" s="46" t="str">
        <x:v>Given the applicable Planner Day View preconditions and a valid Local Profile</x:v>
      </x:c>
      <x:c r="E59" s="46" t="str">
        <x:v>When the user performs the relevant action or the relevant system condition occurs</x:v>
      </x:c>
      <x:c r="F59" s="46" t="str">
        <x:v>Then allow filtering or collapsing historical-status items without deleting them.</x:v>
      </x:c>
      <x:c r="G59" s="46" t="str">
        <x:v>Yes</x:v>
      </x:c>
      <x:c r="H59" s="47" t="str">
        <x:v>Domain test</x:v>
      </x:c>
    </x:row>
    <x:row r="60" ht="42" customHeight="1">
      <x:c r="A60" s="45" t="str">
        <x:v>AC-C-019</x:v>
      </x:c>
      <x:c r="B60" s="46" t="str">
        <x:v>C. Planner Day View</x:v>
      </x:c>
      <x:c r="C60" s="46" t="str">
        <x:v>FR-C-019</x:v>
      </x:c>
      <x:c r="D60" s="46" t="str">
        <x:v>Given the applicable Planner Day View preconditions and a valid Local Profile</x:v>
      </x:c>
      <x:c r="E60" s="46" t="str">
        <x:v>When the user performs the relevant action or the relevant system condition occurs</x:v>
      </x:c>
      <x:c r="F60" s="46" t="str">
        <x:v>Then show save failures without creating false records.</x:v>
      </x:c>
      <x:c r="G60" s="46" t="str">
        <x:v>Yes</x:v>
      </x:c>
      <x:c r="H60" s="47" t="str">
        <x:v>Domain test</x:v>
      </x:c>
    </x:row>
    <x:row r="61" ht="42" customHeight="1">
      <x:c r="A61" s="45" t="str">
        <x:v>AC-C-020</x:v>
      </x:c>
      <x:c r="B61" s="46" t="str">
        <x:v>C. Planner Day View</x:v>
      </x:c>
      <x:c r="C61" s="46" t="str">
        <x:v>FR-C-020</x:v>
      </x:c>
      <x:c r="D61" s="46" t="str">
        <x:v>Given the applicable Planner Day View preconditions and a valid Local Profile</x:v>
      </x:c>
      <x:c r="E61" s="46" t="str">
        <x:v>When the user performs the relevant action or the relevant system condition occurs</x:v>
      </x:c>
      <x:c r="F61" s="46" t="str">
        <x:v>Then expose linked-record context without merging Task and Calendar Event identities.</x:v>
      </x:c>
      <x:c r="G61" s="46" t="str">
        <x:v>Yes</x:v>
      </x:c>
      <x:c r="H61" s="47" t="str">
        <x:v>Integration test</x:v>
      </x:c>
    </x:row>
    <x:row r="62" ht="42" customHeight="1">
      <x:c r="A62" s="45" t="str">
        <x:v>AC-D-001</x:v>
      </x:c>
      <x:c r="B62" s="46" t="str">
        <x:v>D. Tasks</x:v>
      </x:c>
      <x:c r="C62" s="46" t="str">
        <x:v>FR-D-001</x:v>
      </x:c>
      <x:c r="D62" s="46" t="str">
        <x:v>Given the applicable Tasks preconditions and a valid Local Profile</x:v>
      </x:c>
      <x:c r="E62" s="46" t="str">
        <x:v>When the user performs the relevant action or the relevant system condition occurs</x:v>
      </x:c>
      <x:c r="F62" s="46" t="str">
        <x:v>Then be able to create a Task offline.</x:v>
      </x:c>
      <x:c r="G62" s="46" t="str">
        <x:v>Yes</x:v>
      </x:c>
      <x:c r="H62" s="47" t="str">
        <x:v>Widget test</x:v>
      </x:c>
    </x:row>
    <x:row r="63" ht="42" customHeight="1">
      <x:c r="A63" s="45" t="str">
        <x:v>AC-D-002</x:v>
      </x:c>
      <x:c r="B63" s="46" t="str">
        <x:v>D. Tasks</x:v>
      </x:c>
      <x:c r="C63" s="46" t="str">
        <x:v>FR-D-002</x:v>
      </x:c>
      <x:c r="D63" s="46" t="str">
        <x:v>Given the applicable Tasks preconditions and a valid Local Profile</x:v>
      </x:c>
      <x:c r="E63" s="46" t="str">
        <x:v>When the user performs the relevant action or the relevant system condition occurs</x:v>
      </x:c>
      <x:c r="F63" s="46" t="str">
        <x:v>Then a Task shall require a nonblank user-visible title.</x:v>
      </x:c>
      <x:c r="G63" s="46" t="str">
        <x:v>Yes</x:v>
      </x:c>
      <x:c r="H63" s="47" t="str">
        <x:v>Domain test</x:v>
      </x:c>
    </x:row>
    <x:row r="64" ht="42" customHeight="1">
      <x:c r="A64" s="45" t="str">
        <x:v>AC-D-003</x:v>
      </x:c>
      <x:c r="B64" s="46" t="str">
        <x:v>D. Tasks</x:v>
      </x:c>
      <x:c r="C64" s="46" t="str">
        <x:v>FR-D-003</x:v>
      </x:c>
      <x:c r="D64" s="46" t="str">
        <x:v>Given the applicable Tasks preconditions and a valid Local Profile</x:v>
      </x:c>
      <x:c r="E64" s="46" t="str">
        <x:v>When the user performs the relevant action or the relevant system condition occurs</x:v>
      </x:c>
      <x:c r="F64" s="46" t="str">
        <x:v>Then new Tasks shall default to Incomplete.</x:v>
      </x:c>
      <x:c r="G64" s="46" t="str">
        <x:v>Yes</x:v>
      </x:c>
      <x:c r="H64" s="47" t="str">
        <x:v>Domain test</x:v>
      </x:c>
    </x:row>
    <x:row r="65" ht="42" customHeight="1">
      <x:c r="A65" s="45" t="str">
        <x:v>AC-D-004</x:v>
      </x:c>
      <x:c r="B65" s="46" t="str">
        <x:v>D. Tasks</x:v>
      </x:c>
      <x:c r="C65" s="46" t="str">
        <x:v>FR-D-004</x:v>
      </x:c>
      <x:c r="D65" s="46" t="str">
        <x:v>Given the applicable Tasks preconditions and a valid Local Profile</x:v>
      </x:c>
      <x:c r="E65" s="46" t="str">
        <x:v>When the user performs the relevant action or the relevant system condition occurs</x:v>
      </x:c>
      <x:c r="F65" s="46" t="str">
        <x:v>Then be able to edit supported Task planning fields.</x:v>
      </x:c>
      <x:c r="G65" s="46" t="str">
        <x:v>Yes</x:v>
      </x:c>
      <x:c r="H65" s="47" t="str">
        <x:v>Widget test</x:v>
      </x:c>
    </x:row>
    <x:row r="66" ht="42" customHeight="1">
      <x:c r="A66" s="45" t="str">
        <x:v>AC-D-005</x:v>
      </x:c>
      <x:c r="B66" s="46" t="str">
        <x:v>D. Tasks</x:v>
      </x:c>
      <x:c r="C66" s="46" t="str">
        <x:v>FR-D-005</x:v>
      </x:c>
      <x:c r="D66" s="46" t="str">
        <x:v>Given the applicable Tasks preconditions and a valid Local Profile</x:v>
      </x:c>
      <x:c r="E66" s="46" t="str">
        <x:v>When the user performs the relevant action or the relevant system condition occurs</x:v>
      </x:c>
      <x:c r="F66" s="46" t="str">
        <x:v>Then be able to set Task status to Completed, Skipped, or Cancelled.</x:v>
      </x:c>
      <x:c r="G66" s="46" t="str">
        <x:v>Yes</x:v>
      </x:c>
      <x:c r="H66" s="47" t="str">
        <x:v>Domain test / Widget test</x:v>
      </x:c>
    </x:row>
    <x:row r="67" ht="42" customHeight="1">
      <x:c r="A67" s="45" t="str">
        <x:v>AC-D-006</x:v>
      </x:c>
      <x:c r="B67" s="46" t="str">
        <x:v>D. Tasks</x:v>
      </x:c>
      <x:c r="C67" s="46" t="str">
        <x:v>FR-D-006</x:v>
      </x:c>
      <x:c r="D67" s="46" t="str">
        <x:v>Given the applicable Tasks preconditions and a valid Local Profile</x:v>
      </x:c>
      <x:c r="E67" s="46" t="str">
        <x:v>When the user performs the relevant action or the relevant system condition occurs</x:v>
      </x:c>
      <x:c r="F67" s="46" t="str">
        <x:v>Then derive overdue state for applicable Incomplete Tasks.</x:v>
      </x:c>
      <x:c r="G67" s="46" t="str">
        <x:v>Yes</x:v>
      </x:c>
      <x:c r="H67" s="47" t="str">
        <x:v>Domain test</x:v>
      </x:c>
    </x:row>
    <x:row r="68" ht="42" customHeight="1">
      <x:c r="A68" s="45" t="str">
        <x:v>AC-D-007</x:v>
      </x:c>
      <x:c r="B68" s="46" t="str">
        <x:v>D. Tasks</x:v>
      </x:c>
      <x:c r="C68" s="46" t="str">
        <x:v>FR-D-007</x:v>
      </x:c>
      <x:c r="D68" s="46" t="str">
        <x:v>Given the applicable Tasks preconditions and a valid Local Profile</x:v>
      </x:c>
      <x:c r="E68" s="46" t="str">
        <x:v>When the user performs the relevant action or the relevant system condition occurs</x:v>
      </x:c>
      <x:c r="F68" s="46" t="str">
        <x:v>Then support Tasks without due dates.</x:v>
      </x:c>
      <x:c r="G68" s="46" t="str">
        <x:v>Yes</x:v>
      </x:c>
      <x:c r="H68" s="47" t="str">
        <x:v>Domain test</x:v>
      </x:c>
    </x:row>
    <x:row r="69" ht="42" customHeight="1">
      <x:c r="A69" s="45" t="str">
        <x:v>AC-D-008</x:v>
      </x:c>
      <x:c r="B69" s="46" t="str">
        <x:v>D. Tasks</x:v>
      </x:c>
      <x:c r="C69" s="46" t="str">
        <x:v>FR-D-008</x:v>
      </x:c>
      <x:c r="D69" s="46" t="str">
        <x:v>Given the applicable Tasks preconditions and a valid Local Profile</x:v>
      </x:c>
      <x:c r="E69" s="46" t="str">
        <x:v>When the user performs the relevant action or the relevant system condition occurs</x:v>
      </x:c>
      <x:c r="F69" s="46" t="str">
        <x:v>Then keep linked Calendar Event statuses independent.</x:v>
      </x:c>
      <x:c r="G69" s="46" t="str">
        <x:v>Yes</x:v>
      </x:c>
      <x:c r="H69" s="47" t="str">
        <x:v>Domain test / Integration test</x:v>
      </x:c>
    </x:row>
    <x:row r="70" ht="42" customHeight="1">
      <x:c r="A70" s="45" t="str">
        <x:v>AC-D-009</x:v>
      </x:c>
      <x:c r="B70" s="46" t="str">
        <x:v>D. Tasks</x:v>
      </x:c>
      <x:c r="C70" s="46" t="str">
        <x:v>FR-D-009</x:v>
      </x:c>
      <x:c r="D70" s="46" t="str">
        <x:v>Given the applicable Tasks preconditions and a valid Local Profile</x:v>
      </x:c>
      <x:c r="E70" s="46" t="str">
        <x:v>When the user performs the relevant action or the relevant system condition occurs</x:v>
      </x:c>
      <x:c r="F70" s="46" t="str">
        <x:v>Then identify when structured reporting is required.</x:v>
      </x:c>
      <x:c r="G70" s="46" t="str">
        <x:v>No</x:v>
      </x:c>
      <x:c r="H70" s="47" t="str">
        <x:v>Domain test</x:v>
      </x:c>
    </x:row>
    <x:row r="71" ht="42" customHeight="1">
      <x:c r="A71" s="45" t="str">
        <x:v>AC-D-010</x:v>
      </x:c>
      <x:c r="B71" s="46" t="str">
        <x:v>D. Tasks</x:v>
      </x:c>
      <x:c r="C71" s="46" t="str">
        <x:v>FR-D-010</x:v>
      </x:c>
      <x:c r="D71" s="46" t="str">
        <x:v>Given the applicable Tasks preconditions and a valid Local Profile</x:v>
      </x:c>
      <x:c r="E71" s="46" t="str">
        <x:v>When the user performs the relevant action or the relevant system condition occurs</x:v>
      </x:c>
      <x:c r="F71" s="46" t="str">
        <x:v>Then prevent bypass of required reporting.</x:v>
      </x:c>
      <x:c r="G71" s="46" t="str">
        <x:v>Yes</x:v>
      </x:c>
      <x:c r="H71" s="47" t="str">
        <x:v>Domain test</x:v>
      </x:c>
    </x:row>
    <x:row r="72" ht="42" customHeight="1">
      <x:c r="A72" s="45" t="str">
        <x:v>AC-D-011</x:v>
      </x:c>
      <x:c r="B72" s="46" t="str">
        <x:v>D. Tasks</x:v>
      </x:c>
      <x:c r="C72" s="46" t="str">
        <x:v>FR-D-011</x:v>
      </x:c>
      <x:c r="D72" s="46" t="str">
        <x:v>Given the applicable Tasks preconditions and a valid Local Profile</x:v>
      </x:c>
      <x:c r="E72" s="46" t="str">
        <x:v>When the user performs the relevant action or the relevant system condition occurs</x:v>
      </x:c>
      <x:c r="F72" s="46" t="str">
        <x:v>Then task completion shall not directly edit Actual.</x:v>
      </x:c>
      <x:c r="G72" s="46" t="str">
        <x:v>Yes</x:v>
      </x:c>
      <x:c r="H72" s="47" t="str">
        <x:v>Domain test</x:v>
      </x:c>
    </x:row>
    <x:row r="73" ht="42" customHeight="1">
      <x:c r="A73" s="45" t="str">
        <x:v>AC-D-012</x:v>
      </x:c>
      <x:c r="B73" s="46" t="str">
        <x:v>D. Tasks</x:v>
      </x:c>
      <x:c r="C73" s="46" t="str">
        <x:v>FR-D-012</x:v>
      </x:c>
      <x:c r="D73" s="46" t="str">
        <x:v>Given the applicable Tasks preconditions and a valid Local Profile</x:v>
      </x:c>
      <x:c r="E73" s="46" t="str">
        <x:v>When the user performs the relevant action or the relevant system condition occurs</x:v>
      </x:c>
      <x:c r="F73" s="46" t="str">
        <x:v>Then task contribution classification shall use explicit configuration rather than title matching.</x:v>
      </x:c>
      <x:c r="G73" s="46" t="str">
        <x:v>No</x:v>
      </x:c>
      <x:c r="H73" s="47" t="str">
        <x:v>Domain test</x:v>
      </x:c>
    </x:row>
    <x:row r="74" ht="42" customHeight="1">
      <x:c r="A74" s="45" t="str">
        <x:v>AC-D-013</x:v>
      </x:c>
      <x:c r="B74" s="46" t="str">
        <x:v>D. Tasks</x:v>
      </x:c>
      <x:c r="C74" s="46" t="str">
        <x:v>FR-D-013</x:v>
      </x:c>
      <x:c r="D74" s="46" t="str">
        <x:v>Given the applicable Tasks preconditions and a valid Local Profile</x:v>
      </x:c>
      <x:c r="E74" s="46" t="str">
        <x:v>When the user performs the relevant action or the relevant system condition occurs</x:v>
      </x:c>
      <x:c r="F74" s="46" t="str">
        <x:v>Then display linked Calendar Events.</x:v>
      </x:c>
      <x:c r="G74" s="46" t="str">
        <x:v>No</x:v>
      </x:c>
      <x:c r="H74" s="47" t="str">
        <x:v>Widget test / Integration test</x:v>
      </x:c>
    </x:row>
    <x:row r="75" ht="42" customHeight="1">
      <x:c r="A75" s="45" t="str">
        <x:v>AC-D-014</x:v>
      </x:c>
      <x:c r="B75" s="46" t="str">
        <x:v>D. Tasks</x:v>
      </x:c>
      <x:c r="C75" s="46" t="str">
        <x:v>FR-D-014</x:v>
      </x:c>
      <x:c r="D75" s="46" t="str">
        <x:v>Given the applicable Tasks preconditions and a valid Local Profile</x:v>
      </x:c>
      <x:c r="E75" s="46" t="str">
        <x:v>When the user performs the relevant action or the relevant system condition occurs</x:v>
      </x:c>
      <x:c r="F75" s="46" t="str">
        <x:v>Then display Pathway, Goal, or Milestone context where linked.</x:v>
      </x:c>
      <x:c r="G75" s="46" t="str">
        <x:v>No</x:v>
      </x:c>
      <x:c r="H75" s="47" t="str">
        <x:v>Widget test</x:v>
      </x:c>
    </x:row>
    <x:row r="76" ht="42" customHeight="1">
      <x:c r="A76" s="45" t="str">
        <x:v>AC-D-015</x:v>
      </x:c>
      <x:c r="B76" s="46" t="str">
        <x:v>D. Tasks</x:v>
      </x:c>
      <x:c r="C76" s="46" t="str">
        <x:v>FR-D-015</x:v>
      </x:c>
      <x:c r="D76" s="46" t="str">
        <x:v>Given the applicable Tasks preconditions and a valid Local Profile</x:v>
      </x:c>
      <x:c r="E76" s="46" t="str">
        <x:v>When the user performs the relevant action or the relevant system condition occurs</x:v>
      </x:c>
      <x:c r="F76" s="46" t="str">
        <x:v>Then preserve Task state during sync failure.</x:v>
      </x:c>
      <x:c r="G76" s="46" t="str">
        <x:v>Yes</x:v>
      </x:c>
      <x:c r="H76" s="47" t="str">
        <x:v>Integration test</x:v>
      </x:c>
    </x:row>
    <x:row r="77" ht="42" customHeight="1">
      <x:c r="A77" s="45" t="str">
        <x:v>AC-D-016</x:v>
      </x:c>
      <x:c r="B77" s="46" t="str">
        <x:v>D. Tasks</x:v>
      </x:c>
      <x:c r="C77" s="46" t="str">
        <x:v>FR-D-016</x:v>
      </x:c>
      <x:c r="D77" s="46" t="str">
        <x:v>Given the applicable Tasks preconditions and a valid Local Profile</x:v>
      </x:c>
      <x:c r="E77" s="46" t="str">
        <x:v>When the user performs the relevant action or the relevant system condition occurs</x:v>
      </x:c>
      <x:c r="F77" s="46" t="str">
        <x:v>Then retain user input after a recoverable save failure.</x:v>
      </x:c>
      <x:c r="G77" s="46" t="str">
        <x:v>No</x:v>
      </x:c>
      <x:c r="H77" s="47" t="str">
        <x:v>Domain test</x:v>
      </x:c>
    </x:row>
    <x:row r="78" ht="42" customHeight="1">
      <x:c r="A78" s="45" t="str">
        <x:v>AC-D-017</x:v>
      </x:c>
      <x:c r="B78" s="46" t="str">
        <x:v>D. Tasks</x:v>
      </x:c>
      <x:c r="C78" s="46" t="str">
        <x:v>FR-D-017</x:v>
      </x:c>
      <x:c r="D78" s="46" t="str">
        <x:v>Given the applicable Tasks preconditions and a valid Local Profile</x:v>
      </x:c>
      <x:c r="E78" s="46" t="str">
        <x:v>When the user performs the relevant action or the relevant system condition occurs</x:v>
      </x:c>
      <x:c r="F78" s="46" t="str">
        <x:v>Then avoid duplicate outcome reports and ledger contributions during retries.</x:v>
      </x:c>
      <x:c r="G78" s="46" t="str">
        <x:v>No</x:v>
      </x:c>
      <x:c r="H78" s="47" t="str">
        <x:v>Domain test / Database test</x:v>
      </x:c>
    </x:row>
    <x:row r="79" ht="42" customHeight="1">
      <x:c r="A79" s="45" t="str">
        <x:v>AC-D-018</x:v>
      </x:c>
      <x:c r="B79" s="46" t="str">
        <x:v>D. Tasks</x:v>
      </x:c>
      <x:c r="C79" s="46" t="str">
        <x:v>FR-D-018</x:v>
      </x:c>
      <x:c r="D79" s="46" t="str">
        <x:v>Given the applicable Tasks preconditions and a valid Local Profile</x:v>
      </x:c>
      <x:c r="E79" s="46" t="str">
        <x:v>When the user performs the relevant action or the relevant system condition occurs</x:v>
      </x:c>
      <x:c r="F79" s="46" t="str">
        <x:v>Then support status correction according to historical correction rules.</x:v>
      </x:c>
      <x:c r="G79" s="46" t="str">
        <x:v>No</x:v>
      </x:c>
      <x:c r="H79" s="47" t="str">
        <x:v>Domain test</x:v>
      </x:c>
    </x:row>
    <x:row r="80" ht="42" customHeight="1">
      <x:c r="A80" s="45" t="str">
        <x:v>AC-D-019</x:v>
      </x:c>
      <x:c r="B80" s="46" t="str">
        <x:v>D. Tasks</x:v>
      </x:c>
      <x:c r="C80" s="46" t="str">
        <x:v>FR-D-019</x:v>
      </x:c>
      <x:c r="D80" s="46" t="str">
        <x:v>Given the applicable Tasks preconditions and a valid Local Profile</x:v>
      </x:c>
      <x:c r="E80" s="46" t="str">
        <x:v>When the user performs the relevant action or the relevant system condition occurs</x:v>
      </x:c>
      <x:c r="F80" s="46" t="str">
        <x:v>Then distinguish Cancelled from Skipped.</x:v>
      </x:c>
      <x:c r="G80" s="46" t="str">
        <x:v>No</x:v>
      </x:c>
      <x:c r="H80" s="47" t="str">
        <x:v>Domain test</x:v>
      </x:c>
    </x:row>
    <x:row r="81" ht="42" customHeight="1">
      <x:c r="A81" s="45" t="str">
        <x:v>AC-D-020</x:v>
      </x:c>
      <x:c r="B81" s="46" t="str">
        <x:v>D. Tasks</x:v>
      </x:c>
      <x:c r="C81" s="46" t="str">
        <x:v>FR-D-020</x:v>
      </x:c>
      <x:c r="D81" s="46" t="str">
        <x:v>Given the applicable Tasks preconditions and a valid Local Profile</x:v>
      </x:c>
      <x:c r="E81" s="46" t="str">
        <x:v>When the user performs the relevant action or the relevant system condition occurs</x:v>
      </x:c>
      <x:c r="F81" s="46" t="str">
        <x:v>Then make Task type clear in mixed Planner views.</x:v>
      </x:c>
      <x:c r="G81" s="46" t="str">
        <x:v>No</x:v>
      </x:c>
      <x:c r="H81" s="47" t="str">
        <x:v>Domain test</x:v>
      </x:c>
    </x:row>
    <x:row r="82" ht="42" customHeight="1">
      <x:c r="A82" s="45" t="str">
        <x:v>AC-E-001</x:v>
      </x:c>
      <x:c r="B82" s="46" t="str">
        <x:v>E. Calendar Events and Recurrence</x:v>
      </x:c>
      <x:c r="C82" s="46" t="str">
        <x:v>FR-E-001</x:v>
      </x:c>
      <x:c r="D82" s="46" t="str">
        <x:v>Given the applicable Calendar Events and Recurrence preconditions and a valid Local Profile</x:v>
      </x:c>
      <x:c r="E82" s="46" t="str">
        <x:v>When the user performs the relevant action or the relevant system condition occurs</x:v>
      </x:c>
      <x:c r="F82" s="46" t="str">
        <x:v>Then be able to create one-time Calendar Events offline.</x:v>
      </x:c>
      <x:c r="G82" s="46" t="str">
        <x:v>Yes</x:v>
      </x:c>
      <x:c r="H82" s="47" t="str">
        <x:v>Widget test / Integration test</x:v>
      </x:c>
    </x:row>
    <x:row r="83" ht="42" customHeight="1">
      <x:c r="A83" s="45" t="str">
        <x:v>AC-E-002</x:v>
      </x:c>
      <x:c r="B83" s="46" t="str">
        <x:v>E. Calendar Events and Recurrence</x:v>
      </x:c>
      <x:c r="C83" s="46" t="str">
        <x:v>FR-E-002</x:v>
      </x:c>
      <x:c r="D83" s="46" t="str">
        <x:v>Given the applicable Calendar Events and Recurrence preconditions and a valid Local Profile</x:v>
      </x:c>
      <x:c r="E83" s="46" t="str">
        <x:v>When the user performs the relevant action or the relevant system condition occurs</x:v>
      </x:c>
      <x:c r="F83" s="46" t="str">
        <x:v>Then be able to create all-day and timed events.</x:v>
      </x:c>
      <x:c r="G83" s="46" t="str">
        <x:v>Yes</x:v>
      </x:c>
      <x:c r="H83" s="47" t="str">
        <x:v>Widget test</x:v>
      </x:c>
    </x:row>
    <x:row r="84" ht="42" customHeight="1">
      <x:c r="A84" s="45" t="str">
        <x:v>AC-E-003</x:v>
      </x:c>
      <x:c r="B84" s="46" t="str">
        <x:v>E. Calendar Events and Recurrence</x:v>
      </x:c>
      <x:c r="C84" s="46" t="str">
        <x:v>FR-E-003</x:v>
      </x:c>
      <x:c r="D84" s="46" t="str">
        <x:v>Given the applicable Calendar Events and Recurrence preconditions and a valid Local Profile</x:v>
      </x:c>
      <x:c r="E84" s="46" t="str">
        <x:v>When the user performs the relevant action or the relevant system condition occurs</x:v>
      </x:c>
      <x:c r="F84" s="46" t="str">
        <x:v>Then new Calendar Events shall begin as Scheduled.</x:v>
      </x:c>
      <x:c r="G84" s="46" t="str">
        <x:v>Yes</x:v>
      </x:c>
      <x:c r="H84" s="47" t="str">
        <x:v>Integration test</x:v>
      </x:c>
    </x:row>
    <x:row r="85" ht="42" customHeight="1">
      <x:c r="A85" s="45" t="str">
        <x:v>AC-E-004</x:v>
      </x:c>
      <x:c r="B85" s="46" t="str">
        <x:v>E. Calendar Events and Recurrence</x:v>
      </x:c>
      <x:c r="C85" s="46" t="str">
        <x:v>FR-E-004</x:v>
      </x:c>
      <x:c r="D85" s="46" t="str">
        <x:v>Given the applicable Calendar Events and Recurrence preconditions and a valid Local Profile</x:v>
      </x:c>
      <x:c r="E85" s="46" t="str">
        <x:v>When the user performs the relevant action or the relevant system condition occurs</x:v>
      </x:c>
      <x:c r="F85" s="46" t="str">
        <x:v>Then be able to create Daily recurrence.</x:v>
      </x:c>
      <x:c r="G85" s="46" t="str">
        <x:v>Yes</x:v>
      </x:c>
      <x:c r="H85" s="47" t="str">
        <x:v>Widget test</x:v>
      </x:c>
    </x:row>
    <x:row r="86" ht="42" customHeight="1">
      <x:c r="A86" s="45" t="str">
        <x:v>AC-E-005</x:v>
      </x:c>
      <x:c r="B86" s="46" t="str">
        <x:v>E. Calendar Events and Recurrence</x:v>
      </x:c>
      <x:c r="C86" s="46" t="str">
        <x:v>FR-E-005</x:v>
      </x:c>
      <x:c r="D86" s="46" t="str">
        <x:v>Given the applicable Calendar Events and Recurrence preconditions and a valid Local Profile</x:v>
      </x:c>
      <x:c r="E86" s="46" t="str">
        <x:v>When the user performs the relevant action or the relevant system condition occurs</x:v>
      </x:c>
      <x:c r="F86" s="46" t="str">
        <x:v>Then be able to create Weekly recurrence.</x:v>
      </x:c>
      <x:c r="G86" s="46" t="str">
        <x:v>Yes</x:v>
      </x:c>
      <x:c r="H86" s="47" t="str">
        <x:v>Widget test</x:v>
      </x:c>
    </x:row>
    <x:row r="87" ht="42" customHeight="1">
      <x:c r="A87" s="45" t="str">
        <x:v>AC-E-006</x:v>
      </x:c>
      <x:c r="B87" s="46" t="str">
        <x:v>E. Calendar Events and Recurrence</x:v>
      </x:c>
      <x:c r="C87" s="46" t="str">
        <x:v>FR-E-006</x:v>
      </x:c>
      <x:c r="D87" s="46" t="str">
        <x:v>Given the applicable Calendar Events and Recurrence preconditions and a valid Local Profile</x:v>
      </x:c>
      <x:c r="E87" s="46" t="str">
        <x:v>When the user performs the relevant action or the relevant system condition occurs</x:v>
      </x:c>
      <x:c r="F87" s="46" t="str">
        <x:v>Then be able to create Monthly recurrence.</x:v>
      </x:c>
      <x:c r="G87" s="46" t="str">
        <x:v>Yes</x:v>
      </x:c>
      <x:c r="H87" s="47" t="str">
        <x:v>Widget test</x:v>
      </x:c>
    </x:row>
    <x:row r="88" ht="42" customHeight="1">
      <x:c r="A88" s="45" t="str">
        <x:v>AC-E-007</x:v>
      </x:c>
      <x:c r="B88" s="46" t="str">
        <x:v>E. Calendar Events and Recurrence</x:v>
      </x:c>
      <x:c r="C88" s="46" t="str">
        <x:v>FR-E-007</x:v>
      </x:c>
      <x:c r="D88" s="46" t="str">
        <x:v>Given the applicable Calendar Events and Recurrence preconditions and a valid Local Profile</x:v>
      </x:c>
      <x:c r="E88" s="46" t="str">
        <x:v>When the user performs the relevant action or the relevant system condition occurs</x:v>
      </x:c>
      <x:c r="F88" s="46" t="str">
        <x:v>Then be able to create Yearly recurrence.</x:v>
      </x:c>
      <x:c r="G88" s="46" t="str">
        <x:v>Yes</x:v>
      </x:c>
      <x:c r="H88" s="47" t="str">
        <x:v>Widget test</x:v>
      </x:c>
    </x:row>
    <x:row r="89" ht="42" customHeight="1">
      <x:c r="A89" s="45" t="str">
        <x:v>AC-E-008</x:v>
      </x:c>
      <x:c r="B89" s="46" t="str">
        <x:v>E. Calendar Events and Recurrence</x:v>
      </x:c>
      <x:c r="C89" s="46" t="str">
        <x:v>FR-E-008</x:v>
      </x:c>
      <x:c r="D89" s="46" t="str">
        <x:v>Given the applicable Calendar Events and Recurrence preconditions and a valid Local Profile</x:v>
      </x:c>
      <x:c r="E89" s="46" t="str">
        <x:v>When the user performs the relevant action or the relevant system condition occurs</x:v>
      </x:c>
      <x:c r="F89" s="46" t="str">
        <x:v>Then each occurrence shall have an independently reportable identity.</x:v>
      </x:c>
      <x:c r="G89" s="46" t="str">
        <x:v>Yes</x:v>
      </x:c>
      <x:c r="H89" s="47" t="str">
        <x:v>Domain test</x:v>
      </x:c>
    </x:row>
    <x:row r="90" ht="42" customHeight="1">
      <x:c r="A90" s="45" t="str">
        <x:v>AC-E-009</x:v>
      </x:c>
      <x:c r="B90" s="46" t="str">
        <x:v>E. Calendar Events and Recurrence</x:v>
      </x:c>
      <x:c r="C90" s="46" t="str">
        <x:v>FR-E-009</x:v>
      </x:c>
      <x:c r="D90" s="46" t="str">
        <x:v>Given the applicable Calendar Events and Recurrence preconditions and a valid Local Profile</x:v>
      </x:c>
      <x:c r="E90" s="46" t="str">
        <x:v>When the user performs the relevant action or the relevant system condition occurs</x:v>
      </x:c>
      <x:c r="F90" s="46" t="str">
        <x:v>Then derive Awaiting Report for ended report-required occurrences.</x:v>
      </x:c>
      <x:c r="G90" s="46" t="str">
        <x:v>No</x:v>
      </x:c>
      <x:c r="H90" s="47" t="str">
        <x:v>Domain test</x:v>
      </x:c>
    </x:row>
    <x:row r="91" ht="42" customHeight="1">
      <x:c r="A91" s="45" t="str">
        <x:v>AC-E-010</x:v>
      </x:c>
      <x:c r="B91" s="46" t="str">
        <x:v>E. Calendar Events and Recurrence</x:v>
      </x:c>
      <x:c r="C91" s="46" t="str">
        <x:v>FR-E-010</x:v>
      </x:c>
      <x:c r="D91" s="46" t="str">
        <x:v>Given the applicable Calendar Events and Recurrence preconditions and a valid Local Profile</x:v>
      </x:c>
      <x:c r="E91" s="46" t="str">
        <x:v>When the user performs the relevant action or the relevant system condition occurs</x:v>
      </x:c>
      <x:c r="F91" s="46" t="str">
        <x:v>Then not infer outcome from elapsed time.</x:v>
      </x:c>
      <x:c r="G91" s="46" t="str">
        <x:v>Yes</x:v>
      </x:c>
      <x:c r="H91" s="47" t="str">
        <x:v>Domain test</x:v>
      </x:c>
    </x:row>
    <x:row r="92" ht="42" customHeight="1">
      <x:c r="A92" s="45" t="str">
        <x:v>AC-E-011</x:v>
      </x:c>
      <x:c r="B92" s="46" t="str">
        <x:v>E. Calendar Events and Recurrence</x:v>
      </x:c>
      <x:c r="C92" s="46" t="str">
        <x:v>FR-E-011</x:v>
      </x:c>
      <x:c r="D92" s="46" t="str">
        <x:v>Given the applicable Calendar Events and Recurrence preconditions and a valid Local Profile</x:v>
      </x:c>
      <x:c r="E92" s="46" t="str">
        <x:v>When the user performs the relevant action or the relevant system condition occurs</x:v>
      </x:c>
      <x:c r="F92" s="46" t="str">
        <x:v>Then valid reports shall support Completed/Happened, Partially Completed, and Did Not Happen.</x:v>
      </x:c>
      <x:c r="G92" s="46" t="str">
        <x:v>No</x:v>
      </x:c>
      <x:c r="H92" s="47" t="str">
        <x:v>Domain test</x:v>
      </x:c>
    </x:row>
    <x:row r="93" ht="42" customHeight="1">
      <x:c r="A93" s="45" t="str">
        <x:v>AC-E-012</x:v>
      </x:c>
      <x:c r="B93" s="46" t="str">
        <x:v>E. Calendar Events and Recurrence</x:v>
      </x:c>
      <x:c r="C93" s="46" t="str">
        <x:v>FR-E-012</x:v>
      </x:c>
      <x:c r="D93" s="46" t="str">
        <x:v>Given the applicable Calendar Events and Recurrence preconditions and a valid Local Profile</x:v>
      </x:c>
      <x:c r="E93" s="46" t="str">
        <x:v>When the user performs the relevant action or the relevant system condition occurs</x:v>
      </x:c>
      <x:c r="F93" s="46" t="str">
        <x:v>Then be able to cancel supported event scopes.</x:v>
      </x:c>
      <x:c r="G93" s="46" t="str">
        <x:v>No</x:v>
      </x:c>
      <x:c r="H93" s="47" t="str">
        <x:v>Widget test</x:v>
      </x:c>
    </x:row>
    <x:row r="94" ht="42" customHeight="1">
      <x:c r="A94" s="45" t="str">
        <x:v>AC-E-013</x:v>
      </x:c>
      <x:c r="B94" s="46" t="str">
        <x:v>E. Calendar Events and Recurrence</x:v>
      </x:c>
      <x:c r="C94" s="46" t="str">
        <x:v>FR-E-013</x:v>
      </x:c>
      <x:c r="D94" s="46" t="str">
        <x:v>Given the applicable Calendar Events and Recurrence preconditions and a valid Local Profile</x:v>
      </x:c>
      <x:c r="E94" s="46" t="str">
        <x:v>When the user performs the relevant action or the relevant system condition occurs</x:v>
      </x:c>
      <x:c r="F94" s="46" t="str">
        <x:v>Then be able to reschedule supported event scopes.</x:v>
      </x:c>
      <x:c r="G94" s="46" t="str">
        <x:v>No</x:v>
      </x:c>
      <x:c r="H94" s="47" t="str">
        <x:v>Widget test</x:v>
      </x:c>
    </x:row>
    <x:row r="95" ht="42" customHeight="1">
      <x:c r="A95" s="45" t="str">
        <x:v>AC-E-014</x:v>
      </x:c>
      <x:c r="B95" s="46" t="str">
        <x:v>E. Calendar Events and Recurrence</x:v>
      </x:c>
      <x:c r="C95" s="46" t="str">
        <x:v>FR-E-014</x:v>
      </x:c>
      <x:c r="D95" s="46" t="str">
        <x:v>Given the applicable Calendar Events and Recurrence preconditions and a valid Local Profile</x:v>
      </x:c>
      <x:c r="E95" s="46" t="str">
        <x:v>When the user performs the relevant action or the relevant system condition occurs</x:v>
      </x:c>
      <x:c r="F95" s="46" t="str">
        <x:v>Then rescheduling shall preserve the original occurrence’s Rescheduled status.</x:v>
      </x:c>
      <x:c r="G95" s="46" t="str">
        <x:v>Yes</x:v>
      </x:c>
      <x:c r="H95" s="47" t="str">
        <x:v>Domain test</x:v>
      </x:c>
    </x:row>
    <x:row r="96" ht="42" customHeight="1">
      <x:c r="A96" s="45" t="str">
        <x:v>AC-E-015</x:v>
      </x:c>
      <x:c r="B96" s="46" t="str">
        <x:v>E. Calendar Events and Recurrence</x:v>
      </x:c>
      <x:c r="C96" s="46" t="str">
        <x:v>FR-E-015</x:v>
      </x:c>
      <x:c r="D96" s="46" t="str">
        <x:v>Given the applicable Calendar Events and Recurrence preconditions and a valid Local Profile</x:v>
      </x:c>
      <x:c r="E96" s="46" t="str">
        <x:v>When the user performs the relevant action or the relevant system condition occurs</x:v>
      </x:c>
      <x:c r="F96" s="46" t="str">
        <x:v>Then rescheduling shall create or identify a linked replacement.</x:v>
      </x:c>
      <x:c r="G96" s="46" t="str">
        <x:v>No</x:v>
      </x:c>
      <x:c r="H96" s="47" t="str">
        <x:v>Domain test</x:v>
      </x:c>
    </x:row>
    <x:row r="97" ht="42" customHeight="1">
      <x:c r="A97" s="45" t="str">
        <x:v>AC-E-016</x:v>
      </x:c>
      <x:c r="B97" s="46" t="str">
        <x:v>E. Calendar Events and Recurrence</x:v>
      </x:c>
      <x:c r="C97" s="46" t="str">
        <x:v>FR-E-016</x:v>
      </x:c>
      <x:c r="D97" s="46" t="str">
        <x:v>Given the applicable Calendar Events and Recurrence preconditions and a valid Local Profile</x:v>
      </x:c>
      <x:c r="E97" s="46" t="str">
        <x:v>When the user performs the relevant action or the relevant system condition occurs</x:v>
      </x:c>
      <x:c r="F97" s="46" t="str">
        <x:v>Then scheduled Potential shall exclude the inactive original after rescheduling.</x:v>
      </x:c>
      <x:c r="G97" s="46" t="str">
        <x:v>No</x:v>
      </x:c>
      <x:c r="H97" s="47" t="str">
        <x:v>Domain test</x:v>
      </x:c>
    </x:row>
    <x:row r="98" ht="42" customHeight="1">
      <x:c r="A98" s="45" t="str">
        <x:v>AC-E-017</x:v>
      </x:c>
      <x:c r="B98" s="46" t="str">
        <x:v>E. Calendar Events and Recurrence</x:v>
      </x:c>
      <x:c r="C98" s="46" t="str">
        <x:v>FR-E-017</x:v>
      </x:c>
      <x:c r="D98" s="46" t="str">
        <x:v>Given the applicable Calendar Events and Recurrence preconditions and a valid Local Profile</x:v>
      </x:c>
      <x:c r="E98" s="46" t="str">
        <x:v>When the user performs the relevant action or the relevant system condition occurs</x:v>
      </x:c>
      <x:c r="F98" s="46" t="str">
        <x:v>Then recurring series edits shall preserve reported historical occurrences.</x:v>
      </x:c>
      <x:c r="G98" s="46" t="str">
        <x:v>Yes</x:v>
      </x:c>
      <x:c r="H98" s="47" t="str">
        <x:v>Domain test</x:v>
      </x:c>
    </x:row>
    <x:row r="99" ht="42" customHeight="1">
      <x:c r="A99" s="45" t="str">
        <x:v>AC-E-018</x:v>
      </x:c>
      <x:c r="B99" s="46" t="str">
        <x:v>E. Calendar Events and Recurrence</x:v>
      </x:c>
      <x:c r="C99" s="46" t="str">
        <x:v>FR-E-018</x:v>
      </x:c>
      <x:c r="D99" s="46" t="str">
        <x:v>Given the applicable Calendar Events and Recurrence preconditions and a valid Local Profile</x:v>
      </x:c>
      <x:c r="E99" s="46" t="str">
        <x:v>When the user performs the relevant action or the relevant system condition occurs</x:v>
      </x:c>
      <x:c r="F99" s="46" t="str">
        <x:v>Then display the selected edit scope before changing a recurring series.</x:v>
      </x:c>
      <x:c r="G99" s="46" t="str">
        <x:v>No</x:v>
      </x:c>
      <x:c r="H99" s="47" t="str">
        <x:v>Widget test</x:v>
      </x:c>
    </x:row>
    <x:row r="100" ht="42" customHeight="1">
      <x:c r="A100" s="45" t="str">
        <x:v>AC-E-019</x:v>
      </x:c>
      <x:c r="B100" s="46" t="str">
        <x:v>E. Calendar Events and Recurrence</x:v>
      </x:c>
      <x:c r="C100" s="46" t="str">
        <x:v>FR-E-019</x:v>
      </x:c>
      <x:c r="D100" s="46" t="str">
        <x:v>Given the applicable Calendar Events and Recurrence preconditions and a valid Local Profile</x:v>
      </x:c>
      <x:c r="E100" s="46" t="str">
        <x:v>When the user performs the relevant action or the relevant system condition occurs</x:v>
      </x:c>
      <x:c r="F100" s="46" t="str">
        <x:v>Then events shall support optional typed locations without location permission.</x:v>
      </x:c>
      <x:c r="G100" s="46" t="str">
        <x:v>Yes</x:v>
      </x:c>
      <x:c r="H100" s="47" t="str">
        <x:v>Widget test</x:v>
      </x:c>
    </x:row>
    <x:row r="101" ht="42" customHeight="1">
      <x:c r="A101" s="45" t="str">
        <x:v>AC-E-020</x:v>
      </x:c>
      <x:c r="B101" s="46" t="str">
        <x:v>E. Calendar Events and Recurrence</x:v>
      </x:c>
      <x:c r="C101" s="46" t="str">
        <x:v>FR-E-020</x:v>
      </x:c>
      <x:c r="D101" s="46" t="str">
        <x:v>Given the applicable Calendar Events and Recurrence preconditions and a valid Local Profile</x:v>
      </x:c>
      <x:c r="E101" s="46" t="str">
        <x:v>When the user performs the relevant action or the relevant system condition occurs</x:v>
      </x:c>
      <x:c r="F101" s="46" t="str">
        <x:v>Then function without Android calendar permission.</x:v>
      </x:c>
      <x:c r="G101" s="46" t="str">
        <x:v>Yes</x:v>
      </x:c>
      <x:c r="H101" s="47" t="str">
        <x:v>Widget test / Integration test</x:v>
      </x:c>
    </x:row>
    <x:row r="102" ht="42" customHeight="1">
      <x:c r="A102" s="45" t="str">
        <x:v>AC-E-021</x:v>
      </x:c>
      <x:c r="B102" s="46" t="str">
        <x:v>E. Calendar Events and Recurrence</x:v>
      </x:c>
      <x:c r="C102" s="46" t="str">
        <x:v>FR-E-021</x:v>
      </x:c>
      <x:c r="D102" s="46" t="str">
        <x:v>Given the applicable Calendar Events and Recurrence preconditions and a valid Local Profile</x:v>
      </x:c>
      <x:c r="E102" s="46" t="str">
        <x:v>When the user performs the relevant action or the relevant system condition occurs</x:v>
      </x:c>
      <x:c r="F102" s="46" t="str">
        <x:v>Then event save and report retries shall be idempotent from the user’s perspective.</x:v>
      </x:c>
      <x:c r="G102" s="46" t="str">
        <x:v>Yes</x:v>
      </x:c>
      <x:c r="H102" s="47" t="str">
        <x:v>Domain test</x:v>
      </x:c>
    </x:row>
    <x:row r="103" ht="42" customHeight="1">
      <x:c r="A103" s="45" t="str">
        <x:v>AC-E-022</x:v>
      </x:c>
      <x:c r="B103" s="46" t="str">
        <x:v>E. Calendar Events and Recurrence</x:v>
      </x:c>
      <x:c r="C103" s="46" t="str">
        <x:v>FR-E-022</x:v>
      </x:c>
      <x:c r="D103" s="46" t="str">
        <x:v>Given the applicable Calendar Events and Recurrence preconditions and a valid Local Profile</x:v>
      </x:c>
      <x:c r="E103" s="46" t="str">
        <x:v>When the user performs the relevant action or the relevant system condition occurs</x:v>
      </x:c>
      <x:c r="F103" s="46" t="str">
        <x:v>Then prevent title-only indicator classification.</x:v>
      </x:c>
      <x:c r="G103" s="46" t="str">
        <x:v>Yes</x:v>
      </x:c>
      <x:c r="H103" s="47" t="str">
        <x:v>Domain test</x:v>
      </x:c>
    </x:row>
    <x:row r="104" ht="42" customHeight="1">
      <x:c r="A104" s="45" t="str">
        <x:v>AC-E-023</x:v>
      </x:c>
      <x:c r="B104" s="46" t="str">
        <x:v>E. Calendar Events and Recurrence</x:v>
      </x:c>
      <x:c r="C104" s="46" t="str">
        <x:v>FR-E-023</x:v>
      </x:c>
      <x:c r="D104" s="46" t="str">
        <x:v>Given the applicable Calendar Events and Recurrence preconditions and a valid Local Profile</x:v>
      </x:c>
      <x:c r="E104" s="46" t="str">
        <x:v>When the user performs the relevant action or the relevant system condition occurs</x:v>
      </x:c>
      <x:c r="F104" s="46" t="str">
        <x:v>Then expose linked Tasks without merging statuses.</x:v>
      </x:c>
      <x:c r="G104" s="46" t="str">
        <x:v>Yes</x:v>
      </x:c>
      <x:c r="H104" s="47" t="str">
        <x:v>Domain test</x:v>
      </x:c>
    </x:row>
    <x:row r="105" ht="42" customHeight="1">
      <x:c r="A105" s="45" t="str">
        <x:v>AC-E-024</x:v>
      </x:c>
      <x:c r="B105" s="46" t="str">
        <x:v>E. Calendar Events and Recurrence</x:v>
      </x:c>
      <x:c r="C105" s="46" t="str">
        <x:v>FR-E-024</x:v>
      </x:c>
      <x:c r="D105" s="46" t="str">
        <x:v>Given the applicable Calendar Events and Recurrence preconditions and a valid Local Profile</x:v>
      </x:c>
      <x:c r="E105" s="46" t="str">
        <x:v>When the user performs the relevant action or the relevant system condition occurs</x:v>
      </x:c>
      <x:c r="F105" s="46" t="str">
        <x:v>Then preserve occurrence reports during synchronization and conflict recovery.</x:v>
      </x:c>
      <x:c r="G105" s="46" t="str">
        <x:v>Yes</x:v>
      </x:c>
      <x:c r="H105" s="47" t="str">
        <x:v>Integration test</x:v>
      </x:c>
    </x:row>
    <x:row r="106" ht="42" customHeight="1">
      <x:c r="A106" s="45" t="str">
        <x:v>AC-F-001</x:v>
      </x:c>
      <x:c r="B106" s="46" t="str">
        <x:v>F. Task–Event Linking</x:v>
      </x:c>
      <x:c r="C106" s="46" t="str">
        <x:v>FR-F-001</x:v>
      </x:c>
      <x:c r="D106" s="46" t="str">
        <x:v>Given the applicable Task–Event Linking preconditions and a valid Local Profile</x:v>
      </x:c>
      <x:c r="E106" s="46" t="str">
        <x:v>When the user performs the relevant action or the relevant system condition occurs</x:v>
      </x:c>
      <x:c r="F106" s="46" t="str">
        <x:v>Then be able to link an existing Task to an existing Calendar Event.</x:v>
      </x:c>
      <x:c r="G106" s="46" t="str">
        <x:v>Yes</x:v>
      </x:c>
      <x:c r="H106" s="47" t="str">
        <x:v>Widget test / Integration test</x:v>
      </x:c>
    </x:row>
    <x:row r="107" ht="42" customHeight="1">
      <x:c r="A107" s="45" t="str">
        <x:v>AC-F-002</x:v>
      </x:c>
      <x:c r="B107" s="46" t="str">
        <x:v>F. Task–Event Linking</x:v>
      </x:c>
      <x:c r="C107" s="46" t="str">
        <x:v>FR-F-002</x:v>
      </x:c>
      <x:c r="D107" s="46" t="str">
        <x:v>Given the applicable Task–Event Linking preconditions and a valid Local Profile</x:v>
      </x:c>
      <x:c r="E107" s="46" t="str">
        <x:v>When the user performs the relevant action or the relevant system condition occurs</x:v>
      </x:c>
      <x:c r="F107" s="46" t="str">
        <x:v>Then be able to create a Calendar Event from a Task.</x:v>
      </x:c>
      <x:c r="G107" s="46" t="str">
        <x:v>Yes</x:v>
      </x:c>
      <x:c r="H107" s="47" t="str">
        <x:v>Widget test / Integration test</x:v>
      </x:c>
    </x:row>
    <x:row r="108" ht="42" customHeight="1">
      <x:c r="A108" s="45" t="str">
        <x:v>AC-F-003</x:v>
      </x:c>
      <x:c r="B108" s="46" t="str">
        <x:v>F. Task–Event Linking</x:v>
      </x:c>
      <x:c r="C108" s="46" t="str">
        <x:v>FR-F-003</x:v>
      </x:c>
      <x:c r="D108" s="46" t="str">
        <x:v>Given the applicable Task–Event Linking preconditions and a valid Local Profile</x:v>
      </x:c>
      <x:c r="E108" s="46" t="str">
        <x:v>When the user performs the relevant action or the relevant system condition occurs</x:v>
      </x:c>
      <x:c r="F108" s="46" t="str">
        <x:v>Then be able to link eligible recurring occurrences.</x:v>
      </x:c>
      <x:c r="G108" s="46" t="str">
        <x:v>Yes</x:v>
      </x:c>
      <x:c r="H108" s="47" t="str">
        <x:v>Widget test</x:v>
      </x:c>
    </x:row>
    <x:row r="109" ht="42" customHeight="1">
      <x:c r="A109" s="45" t="str">
        <x:v>AC-F-004</x:v>
      </x:c>
      <x:c r="B109" s="46" t="str">
        <x:v>F. Task–Event Linking</x:v>
      </x:c>
      <x:c r="C109" s="46" t="str">
        <x:v>FR-F-004</x:v>
      </x:c>
      <x:c r="D109" s="46" t="str">
        <x:v>Given the applicable Task–Event Linking preconditions and a valid Local Profile</x:v>
      </x:c>
      <x:c r="E109" s="46" t="str">
        <x:v>When the user performs the relevant action or the relevant system condition occurs</x:v>
      </x:c>
      <x:c r="F109" s="46" t="str">
        <x:v>Then display linked records from both Task and event details.</x:v>
      </x:c>
      <x:c r="G109" s="46" t="str">
        <x:v>Yes</x:v>
      </x:c>
      <x:c r="H109" s="47" t="str">
        <x:v>Widget test</x:v>
      </x:c>
    </x:row>
    <x:row r="110" ht="42" customHeight="1">
      <x:c r="A110" s="45" t="str">
        <x:v>AC-F-005</x:v>
      </x:c>
      <x:c r="B110" s="46" t="str">
        <x:v>F. Task–Event Linking</x:v>
      </x:c>
      <x:c r="C110" s="46" t="str">
        <x:v>FR-F-005</x:v>
      </x:c>
      <x:c r="D110" s="46" t="str">
        <x:v>Given the applicable Task–Event Linking preconditions and a valid Local Profile</x:v>
      </x:c>
      <x:c r="E110" s="46" t="str">
        <x:v>When the user performs the relevant action or the relevant system condition occurs</x:v>
      </x:c>
      <x:c r="F110" s="46" t="str">
        <x:v>Then preserve independent statuses.</x:v>
      </x:c>
      <x:c r="G110" s="46" t="str">
        <x:v>Yes</x:v>
      </x:c>
      <x:c r="H110" s="47" t="str">
        <x:v>Domain test</x:v>
      </x:c>
    </x:row>
    <x:row r="111" ht="42" customHeight="1">
      <x:c r="A111" s="45" t="str">
        <x:v>AC-F-006</x:v>
      </x:c>
      <x:c r="B111" s="46" t="str">
        <x:v>F. Task–Event Linking</x:v>
      </x:c>
      <x:c r="C111" s="46" t="str">
        <x:v>FR-F-006</x:v>
      </x:c>
      <x:c r="D111" s="46" t="str">
        <x:v>Given the applicable Task–Event Linking preconditions and a valid Local Profile</x:v>
      </x:c>
      <x:c r="E111" s="46" t="str">
        <x:v>When the user performs the relevant action or the relevant system condition occurs</x:v>
      </x:c>
      <x:c r="F111" s="46" t="str">
        <x:v>Then prevent equivalent duplicate active links.</x:v>
      </x:c>
      <x:c r="G111" s="46" t="str">
        <x:v>Yes</x:v>
      </x:c>
      <x:c r="H111" s="47" t="str">
        <x:v>Domain test</x:v>
      </x:c>
    </x:row>
    <x:row r="112" ht="42" customHeight="1">
      <x:c r="A112" s="45" t="str">
        <x:v>AC-F-007</x:v>
      </x:c>
      <x:c r="B112" s="46" t="str">
        <x:v>F. Task–Event Linking</x:v>
      </x:c>
      <x:c r="C112" s="46" t="str">
        <x:v>FR-F-007</x:v>
      </x:c>
      <x:c r="D112" s="46" t="str">
        <x:v>Given the applicable Task–Event Linking preconditions and a valid Local Profile</x:v>
      </x:c>
      <x:c r="E112" s="46" t="str">
        <x:v>When the user performs the relevant action or the relevant system condition occurs</x:v>
      </x:c>
      <x:c r="F112" s="46" t="str">
        <x:v>Then support link removal without deleting either record.</x:v>
      </x:c>
      <x:c r="G112" s="46" t="str">
        <x:v>Yes</x:v>
      </x:c>
      <x:c r="H112" s="47" t="str">
        <x:v>Domain test</x:v>
      </x:c>
    </x:row>
    <x:row r="113" ht="42" customHeight="1">
      <x:c r="A113" s="45" t="str">
        <x:v>AC-F-008</x:v>
      </x:c>
      <x:c r="B113" s="46" t="str">
        <x:v>F. Task–Event Linking</x:v>
      </x:c>
      <x:c r="C113" s="46" t="str">
        <x:v>FR-F-008</x:v>
      </x:c>
      <x:c r="D113" s="46" t="str">
        <x:v>Given the applicable Task–Event Linking preconditions and a valid Local Profile</x:v>
      </x:c>
      <x:c r="E113" s="46" t="str">
        <x:v>When the user performs the relevant action or the relevant system condition occurs</x:v>
      </x:c>
      <x:c r="F113" s="46" t="str">
        <x:v>Then preserve historical relationship references where needed.</x:v>
      </x:c>
      <x:c r="G113" s="46" t="str">
        <x:v>Yes</x:v>
      </x:c>
      <x:c r="H113" s="47" t="str">
        <x:v>Domain test</x:v>
      </x:c>
    </x:row>
    <x:row r="114" ht="42" customHeight="1">
      <x:c r="A114" s="45" t="str">
        <x:v>AC-F-009</x:v>
      </x:c>
      <x:c r="B114" s="46" t="str">
        <x:v>F. Task–Event Linking</x:v>
      </x:c>
      <x:c r="C114" s="46" t="str">
        <x:v>FR-F-009</x:v>
      </x:c>
      <x:c r="D114" s="46" t="str">
        <x:v>Given the applicable Task–Event Linking preconditions and a valid Local Profile</x:v>
      </x:c>
      <x:c r="E114" s="46" t="str">
        <x:v>When the user performs the relevant action or the relevant system condition occurs</x:v>
      </x:c>
      <x:c r="F114" s="46" t="str">
        <x:v>Then distinguish series-level and occurrence-level links.</x:v>
      </x:c>
      <x:c r="G114" s="46" t="str">
        <x:v>No</x:v>
      </x:c>
      <x:c r="H114" s="47" t="str">
        <x:v>Domain test</x:v>
      </x:c>
    </x:row>
    <x:row r="115" ht="42" customHeight="1">
      <x:c r="A115" s="45" t="str">
        <x:v>AC-F-010</x:v>
      </x:c>
      <x:c r="B115" s="46" t="str">
        <x:v>F. Task–Event Linking</x:v>
      </x:c>
      <x:c r="C115" s="46" t="str">
        <x:v>FR-F-010</x:v>
      </x:c>
      <x:c r="D115" s="46" t="str">
        <x:v>Given the applicable Task–Event Linking preconditions and a valid Local Profile</x:v>
      </x:c>
      <x:c r="E115" s="46" t="str">
        <x:v>When the user performs the relevant action or the relevant system condition occurs</x:v>
      </x:c>
      <x:c r="F115" s="46" t="str">
        <x:v>Then rescheduling shall transfer active planning context to the replacement without losing original history.</x:v>
      </x:c>
      <x:c r="G115" s="46" t="str">
        <x:v>Yes</x:v>
      </x:c>
      <x:c r="H115" s="47" t="str">
        <x:v>Domain test</x:v>
      </x:c>
    </x:row>
    <x:row r="116" ht="42" customHeight="1">
      <x:c r="A116" s="45" t="str">
        <x:v>AC-F-011</x:v>
      </x:c>
      <x:c r="B116" s="46" t="str">
        <x:v>F. Task–Event Linking</x:v>
      </x:c>
      <x:c r="C116" s="46" t="str">
        <x:v>FR-F-011</x:v>
      </x:c>
      <x:c r="D116" s="46" t="str">
        <x:v>Given the applicable Task–Event Linking preconditions and a valid Local Profile</x:v>
      </x:c>
      <x:c r="E116" s="46" t="str">
        <x:v>When the user performs the relevant action or the relevant system condition occurs</x:v>
      </x:c>
      <x:c r="F116" s="46" t="str">
        <x:v>Then not create Actual or Activity Ledger entries from link creation.</x:v>
      </x:c>
      <x:c r="G116" s="46" t="str">
        <x:v>Yes</x:v>
      </x:c>
      <x:c r="H116" s="47" t="str">
        <x:v>Domain test / Database test</x:v>
      </x:c>
    </x:row>
    <x:row r="117" ht="42" customHeight="1">
      <x:c r="A117" s="45" t="str">
        <x:v>AC-F-012</x:v>
      </x:c>
      <x:c r="B117" s="46" t="str">
        <x:v>F. Task–Event Linking</x:v>
      </x:c>
      <x:c r="C117" s="46" t="str">
        <x:v>FR-F-012</x:v>
      </x:c>
      <x:c r="D117" s="46" t="str">
        <x:v>Given the applicable Task–Event Linking preconditions and a valid Local Profile</x:v>
      </x:c>
      <x:c r="E117" s="46" t="str">
        <x:v>When the user performs the relevant action or the relevant system condition occurs</x:v>
      </x:c>
      <x:c r="F117" s="46" t="str">
        <x:v>Then not classify links from titles.</x:v>
      </x:c>
      <x:c r="G117" s="46" t="str">
        <x:v>Yes</x:v>
      </x:c>
      <x:c r="H117" s="47" t="str">
        <x:v>Domain test</x:v>
      </x:c>
    </x:row>
    <x:row r="118" ht="42" customHeight="1">
      <x:c r="A118" s="45" t="str">
        <x:v>AC-F-013</x:v>
      </x:c>
      <x:c r="B118" s="46" t="str">
        <x:v>F. Task–Event Linking</x:v>
      </x:c>
      <x:c r="C118" s="46" t="str">
        <x:v>FR-F-013</x:v>
      </x:c>
      <x:c r="D118" s="46" t="str">
        <x:v>Given the applicable Task–Event Linking preconditions and a valid Local Profile</x:v>
      </x:c>
      <x:c r="E118" s="46" t="str">
        <x:v>When the user performs the relevant action or the relevant system condition occurs</x:v>
      </x:c>
      <x:c r="F118" s="46" t="str">
        <x:v>Then prevent double-counting of Scheduled Potential.</x:v>
      </x:c>
      <x:c r="G118" s="46" t="str">
        <x:v>Yes</x:v>
      </x:c>
      <x:c r="H118" s="47" t="str">
        <x:v>Domain test</x:v>
      </x:c>
    </x:row>
    <x:row r="119" ht="42" customHeight="1">
      <x:c r="A119" s="45" t="str">
        <x:v>AC-F-014</x:v>
      </x:c>
      <x:c r="B119" s="46" t="str">
        <x:v>F. Task–Event Linking</x:v>
      </x:c>
      <x:c r="C119" s="46" t="str">
        <x:v>FR-F-014</x:v>
      </x:c>
      <x:c r="D119" s="46" t="str">
        <x:v>Given the applicable Task–Event Linking preconditions and a valid Local Profile</x:v>
      </x:c>
      <x:c r="E119" s="46" t="str">
        <x:v>When the user performs the relevant action or the relevant system condition occurs</x:v>
      </x:c>
      <x:c r="F119" s="46" t="str">
        <x:v>Then support broken-link recovery.</x:v>
      </x:c>
      <x:c r="G119" s="46" t="str">
        <x:v>No</x:v>
      </x:c>
      <x:c r="H119" s="47" t="str">
        <x:v>Integration test</x:v>
      </x:c>
    </x:row>
    <x:row r="120" ht="42" customHeight="1">
      <x:c r="A120" s="45" t="str">
        <x:v>AC-F-015</x:v>
      </x:c>
      <x:c r="B120" s="46" t="str">
        <x:v>F. Task–Event Linking</x:v>
      </x:c>
      <x:c r="C120" s="46" t="str">
        <x:v>FR-F-015</x:v>
      </x:c>
      <x:c r="D120" s="46" t="str">
        <x:v>Given the applicable Task–Event Linking preconditions and a valid Local Profile</x:v>
      </x:c>
      <x:c r="E120" s="46" t="str">
        <x:v>When the user performs the relevant action or the relevant system condition occurs</x:v>
      </x:c>
      <x:c r="F120" s="46" t="str">
        <x:v>Then support offline link creation and removal.</x:v>
      </x:c>
      <x:c r="G120" s="46" t="str">
        <x:v>Yes</x:v>
      </x:c>
      <x:c r="H120" s="47" t="str">
        <x:v>Domain test</x:v>
      </x:c>
    </x:row>
    <x:row r="121" ht="42" customHeight="1">
      <x:c r="A121" s="45" t="str">
        <x:v>AC-F-016</x:v>
      </x:c>
      <x:c r="B121" s="46" t="str">
        <x:v>F. Task–Event Linking</x:v>
      </x:c>
      <x:c r="C121" s="46" t="str">
        <x:v>FR-F-016</x:v>
      </x:c>
      <x:c r="D121" s="46" t="str">
        <x:v>Given the applicable Task–Event Linking preconditions and a valid Local Profile</x:v>
      </x:c>
      <x:c r="E121" s="46" t="str">
        <x:v>When the user performs the relevant action or the relevant system condition occurs</x:v>
      </x:c>
      <x:c r="F121" s="46" t="str">
        <x:v>Then preserve user selections after recoverable failures.</x:v>
      </x:c>
      <x:c r="G121" s="46" t="str">
        <x:v>Yes</x:v>
      </x:c>
      <x:c r="H121" s="47" t="str">
        <x:v>Domain test</x:v>
      </x:c>
    </x:row>
    <x:row r="122" ht="42" customHeight="1">
      <x:c r="A122" s="45" t="str">
        <x:v>AC-F-017</x:v>
      </x:c>
      <x:c r="B122" s="46" t="str">
        <x:v>F. Task–Event Linking</x:v>
      </x:c>
      <x:c r="C122" s="46" t="str">
        <x:v>FR-F-017</x:v>
      </x:c>
      <x:c r="D122" s="46" t="str">
        <x:v>Given the applicable Task–Event Linking preconditions and a valid Local Profile</x:v>
      </x:c>
      <x:c r="E122" s="46" t="str">
        <x:v>When the user performs the relevant action or the relevant system condition occurs</x:v>
      </x:c>
      <x:c r="F122" s="46" t="str">
        <x:v>Then expose why a linked item does or does not qualify as Scheduled Potential.</x:v>
      </x:c>
      <x:c r="G122" s="46" t="str">
        <x:v>No</x:v>
      </x:c>
      <x:c r="H122" s="47" t="str">
        <x:v>Domain test</x:v>
      </x:c>
    </x:row>
    <x:row r="123" ht="42" customHeight="1">
      <x:c r="A123" s="45" t="str">
        <x:v>AC-F-018</x:v>
      </x:c>
      <x:c r="B123" s="46" t="str">
        <x:v>F. Task–Event Linking</x:v>
      </x:c>
      <x:c r="C123" s="46" t="str">
        <x:v>FR-F-018</x:v>
      </x:c>
      <x:c r="D123" s="46" t="str">
        <x:v>Given the applicable Task–Event Linking preconditions and a valid Local Profile</x:v>
      </x:c>
      <x:c r="E123" s="46" t="str">
        <x:v>When the user performs the relevant action or the relevant system condition occurs</x:v>
      </x:c>
      <x:c r="F123" s="46" t="str">
        <x:v>Then not apply one Event Report to multiple linked Tasks automatically.</x:v>
      </x:c>
      <x:c r="G123" s="46" t="str">
        <x:v>Yes</x:v>
      </x:c>
      <x:c r="H123" s="47" t="str">
        <x:v>Domain test</x:v>
      </x:c>
    </x:row>
    <x:row r="124" ht="42" customHeight="1">
      <x:c r="A124" s="45" t="str">
        <x:v>AC-G-001</x:v>
      </x:c>
      <x:c r="B124" s="46" t="str">
        <x:v>G. Event and Task Outcome Reporting</x:v>
      </x:c>
      <x:c r="C124" s="46" t="str">
        <x:v>FR-G-001</x:v>
      </x:c>
      <x:c r="D124" s="46" t="str">
        <x:v>Given the applicable Event and Task Outcome Reporting preconditions and a valid Local Profile</x:v>
      </x:c>
      <x:c r="E124" s="46" t="str">
        <x:v>When the user performs the relevant action or the relevant system condition occurs</x:v>
      </x:c>
      <x:c r="F124" s="46" t="str">
        <x:v>Then be able to report each Calendar Event occurrence independently.</x:v>
      </x:c>
      <x:c r="G124" s="46" t="str">
        <x:v>Yes</x:v>
      </x:c>
      <x:c r="H124" s="47" t="str">
        <x:v>Widget test / Integration test</x:v>
      </x:c>
    </x:row>
    <x:row r="125" ht="42" customHeight="1">
      <x:c r="A125" s="45" t="str">
        <x:v>AC-G-002</x:v>
      </x:c>
      <x:c r="B125" s="46" t="str">
        <x:v>G. Event and Task Outcome Reporting</x:v>
      </x:c>
      <x:c r="C125" s="46" t="str">
        <x:v>FR-G-002</x:v>
      </x:c>
      <x:c r="D125" s="46" t="str">
        <x:v>Given the applicable Event and Task Outcome Reporting preconditions and a valid Local Profile</x:v>
      </x:c>
      <x:c r="E125" s="46" t="str">
        <x:v>When the user performs the relevant action or the relevant system condition occurs</x:v>
      </x:c>
      <x:c r="F125" s="46" t="str">
        <x:v>Then support Completed/Happened, Partially Completed, and Did Not Happen.</x:v>
      </x:c>
      <x:c r="G125" s="46" t="str">
        <x:v>Yes</x:v>
      </x:c>
      <x:c r="H125" s="47" t="str">
        <x:v>Domain test</x:v>
      </x:c>
    </x:row>
    <x:row r="126" ht="42" customHeight="1">
      <x:c r="A126" s="45" t="str">
        <x:v>AC-G-003</x:v>
      </x:c>
      <x:c r="B126" s="46" t="str">
        <x:v>G. Event and Task Outcome Reporting</x:v>
      </x:c>
      <x:c r="C126" s="46" t="str">
        <x:v>FR-G-003</x:v>
      </x:c>
      <x:c r="D126" s="46" t="str">
        <x:v>Given the applicable Event and Task Outcome Reporting preconditions and a valid Local Profile</x:v>
      </x:c>
      <x:c r="E126" s="46" t="str">
        <x:v>When the user performs the relevant action or the relevant system condition occurs</x:v>
      </x:c>
      <x:c r="F126" s="46" t="str">
        <x:v>Then derive Awaiting Report without assigning an event outcome.</x:v>
      </x:c>
      <x:c r="G126" s="46" t="str">
        <x:v>Yes</x:v>
      </x:c>
      <x:c r="H126" s="47" t="str">
        <x:v>Domain test</x:v>
      </x:c>
    </x:row>
    <x:row r="127" ht="42" customHeight="1">
      <x:c r="A127" s="45" t="str">
        <x:v>AC-G-004</x:v>
      </x:c>
      <x:c r="B127" s="46" t="str">
        <x:v>G. Event and Task Outcome Reporting</x:v>
      </x:c>
      <x:c r="C127" s="46" t="str">
        <x:v>FR-G-004</x:v>
      </x:c>
      <x:c r="D127" s="46" t="str">
        <x:v>Given the applicable Event and Task Outcome Reporting preconditions and a valid Local Profile</x:v>
      </x:c>
      <x:c r="E127" s="46" t="str">
        <x:v>When the user performs the relevant action or the relevant system condition occurs</x:v>
      </x:c>
      <x:c r="F127" s="46" t="str">
        <x:v>Then be able to save report drafts.</x:v>
      </x:c>
      <x:c r="G127" s="46" t="str">
        <x:v>Yes</x:v>
      </x:c>
      <x:c r="H127" s="47" t="str">
        <x:v>Widget test</x:v>
      </x:c>
    </x:row>
    <x:row r="128" ht="42" customHeight="1">
      <x:c r="A128" s="45" t="str">
        <x:v>AC-G-005</x:v>
      </x:c>
      <x:c r="B128" s="46" t="str">
        <x:v>G. Event and Task Outcome Reporting</x:v>
      </x:c>
      <x:c r="C128" s="46" t="str">
        <x:v>FR-G-005</x:v>
      </x:c>
      <x:c r="D128" s="46" t="str">
        <x:v>Given the applicable Event and Task Outcome Reporting preconditions and a valid Local Profile</x:v>
      </x:c>
      <x:c r="E128" s="46" t="str">
        <x:v>When the user performs the relevant action or the relevant system condition occurs</x:v>
      </x:c>
      <x:c r="F128" s="46" t="str">
        <x:v>Then not affect statuses or Actual.</x:v>
      </x:c>
      <x:c r="G128" s="46" t="str">
        <x:v>Yes</x:v>
      </x:c>
      <x:c r="H128" s="47" t="str">
        <x:v>Domain test</x:v>
      </x:c>
    </x:row>
    <x:row r="129" ht="42" customHeight="1">
      <x:c r="A129" s="45" t="str">
        <x:v>AC-G-006</x:v>
      </x:c>
      <x:c r="B129" s="46" t="str">
        <x:v>G. Event and Task Outcome Reporting</x:v>
      </x:c>
      <x:c r="C129" s="46" t="str">
        <x:v>FR-G-006</x:v>
      </x:c>
      <x:c r="D129" s="46" t="str">
        <x:v>Given the applicable Event and Task Outcome Reporting preconditions and a valid Local Profile</x:v>
      </x:c>
      <x:c r="E129" s="46" t="str">
        <x:v>When the user performs the relevant action or the relevant system condition occurs</x:v>
      </x:c>
      <x:c r="F129" s="46" t="str">
        <x:v>Then report-required Tasks shall require valid structured reporting.</x:v>
      </x:c>
      <x:c r="G129" s="46" t="str">
        <x:v>Yes</x:v>
      </x:c>
      <x:c r="H129" s="47" t="str">
        <x:v>Domain test</x:v>
      </x:c>
    </x:row>
    <x:row r="130" ht="42" customHeight="1">
      <x:c r="A130" s="45" t="str">
        <x:v>AC-G-007</x:v>
      </x:c>
      <x:c r="B130" s="46" t="str">
        <x:v>G. Event and Task Outcome Reporting</x:v>
      </x:c>
      <x:c r="C130" s="46" t="str">
        <x:v>FR-G-007</x:v>
      </x:c>
      <x:c r="D130" s="46" t="str">
        <x:v>Given the applicable Event and Task Outcome Reporting preconditions and a valid Local Profile</x:v>
      </x:c>
      <x:c r="E130" s="46" t="str">
        <x:v>When the user performs the relevant action or the relevant system condition occurs</x:v>
      </x:c>
      <x:c r="F130" s="46" t="str">
        <x:v>Then commit Task completion and required reporting coherently.</x:v>
      </x:c>
      <x:c r="G130" s="46" t="str">
        <x:v>Yes</x:v>
      </x:c>
      <x:c r="H130" s="47" t="str">
        <x:v>Domain test</x:v>
      </x:c>
    </x:row>
    <x:row r="131" ht="42" customHeight="1">
      <x:c r="A131" s="45" t="str">
        <x:v>AC-G-008</x:v>
      </x:c>
      <x:c r="B131" s="46" t="str">
        <x:v>G. Event and Task Outcome Reporting</x:v>
      </x:c>
      <x:c r="C131" s="46" t="str">
        <x:v>FR-G-008</x:v>
      </x:c>
      <x:c r="D131" s="46" t="str">
        <x:v>Given the applicable Event and Task Outcome Reporting preconditions and a valid Local Profile</x:v>
      </x:c>
      <x:c r="E131" s="46" t="str">
        <x:v>When the user performs the relevant action or the relevant system condition occurs</x:v>
      </x:c>
      <x:c r="F131" s="46" t="str">
        <x:v>Then validate reports offline.</x:v>
      </x:c>
      <x:c r="G131" s="46" t="str">
        <x:v>Yes</x:v>
      </x:c>
      <x:c r="H131" s="47" t="str">
        <x:v>Domain test</x:v>
      </x:c>
    </x:row>
    <x:row r="132" ht="42" customHeight="1">
      <x:c r="A132" s="45" t="str">
        <x:v>AC-G-009</x:v>
      </x:c>
      <x:c r="B132" s="46" t="str">
        <x:v>G. Event and Task Outcome Reporting</x:v>
      </x:c>
      <x:c r="C132" s="46" t="str">
        <x:v>FR-G-009</x:v>
      </x:c>
      <x:c r="D132" s="46" t="str">
        <x:v>Given the applicable Event and Task Outcome Reporting preconditions and a valid Local Profile</x:v>
      </x:c>
      <x:c r="E132" s="46" t="str">
        <x:v>When the user performs the relevant action or the relevant system condition occurs</x:v>
      </x:c>
      <x:c r="F132" s="46" t="str">
        <x:v>Then submitted reports shall retain activity date and submission date.</x:v>
      </x:c>
      <x:c r="G132" s="46" t="str">
        <x:v>No</x:v>
      </x:c>
      <x:c r="H132" s="47" t="str">
        <x:v>Domain test</x:v>
      </x:c>
    </x:row>
    <x:row r="133" ht="42" customHeight="1">
      <x:c r="A133" s="45" t="str">
        <x:v>AC-G-010</x:v>
      </x:c>
      <x:c r="B133" s="46" t="str">
        <x:v>G. Event and Task Outcome Reporting</x:v>
      </x:c>
      <x:c r="C133" s="46" t="str">
        <x:v>FR-G-010</x:v>
      </x:c>
      <x:c r="D133" s="46" t="str">
        <x:v>Given the applicable Event and Task Outcome Reporting preconditions and a valid Local Profile</x:v>
      </x:c>
      <x:c r="E133" s="46" t="str">
        <x:v>When the user performs the relevant action or the relevant system condition occurs</x:v>
      </x:c>
      <x:c r="F133" s="46" t="str">
        <x:v>Then be able to correct submitted reports.</x:v>
      </x:c>
      <x:c r="G133" s="46" t="str">
        <x:v>No</x:v>
      </x:c>
      <x:c r="H133" s="47" t="str">
        <x:v>Widget test</x:v>
      </x:c>
    </x:row>
    <x:row r="134" ht="42" customHeight="1">
      <x:c r="A134" s="45" t="str">
        <x:v>AC-G-011</x:v>
      </x:c>
      <x:c r="B134" s="46" t="str">
        <x:v>G. Event and Task Outcome Reporting</x:v>
      </x:c>
      <x:c r="C134" s="46" t="str">
        <x:v>FR-G-011</x:v>
      </x:c>
      <x:c r="D134" s="46" t="str">
        <x:v>Given the applicable Event and Task Outcome Reporting preconditions and a valid Local Profile</x:v>
      </x:c>
      <x:c r="E134" s="46" t="str">
        <x:v>When the user performs the relevant action or the relevant system condition occurs</x:v>
      </x:c>
      <x:c r="F134" s="46" t="str">
        <x:v>Then corrections shall retain original history.</x:v>
      </x:c>
      <x:c r="G134" s="46" t="str">
        <x:v>No</x:v>
      </x:c>
      <x:c r="H134" s="47" t="str">
        <x:v>Domain test</x:v>
      </x:c>
    </x:row>
    <x:row r="135" ht="42" customHeight="1">
      <x:c r="A135" s="45" t="str">
        <x:v>AC-G-012</x:v>
      </x:c>
      <x:c r="B135" s="46" t="str">
        <x:v>G. Event and Task Outcome Reporting</x:v>
      </x:c>
      <x:c r="C135" s="46" t="str">
        <x:v>FR-G-012</x:v>
      </x:c>
      <x:c r="D135" s="46" t="str">
        <x:v>Given the applicable Event and Task Outcome Reporting preconditions and a valid Local Profile</x:v>
      </x:c>
      <x:c r="E135" s="46" t="str">
        <x:v>When the user performs the relevant action or the relevant system condition occurs</x:v>
      </x:c>
      <x:c r="F135" s="46" t="str">
        <x:v>Then corrections shall trigger reversal and replacement ledger behavior.</x:v>
      </x:c>
      <x:c r="G135" s="46" t="str">
        <x:v>No</x:v>
      </x:c>
      <x:c r="H135" s="47" t="str">
        <x:v>Database test</x:v>
      </x:c>
    </x:row>
    <x:row r="136" ht="42" customHeight="1">
      <x:c r="A136" s="45" t="str">
        <x:v>AC-G-013</x:v>
      </x:c>
      <x:c r="B136" s="46" t="str">
        <x:v>G. Event and Task Outcome Reporting</x:v>
      </x:c>
      <x:c r="C136" s="46" t="str">
        <x:v>FR-G-013</x:v>
      </x:c>
      <x:c r="D136" s="46" t="str">
        <x:v>Given the applicable Event and Task Outcome Reporting preconditions and a valid Local Profile</x:v>
      </x:c>
      <x:c r="E136" s="46" t="str">
        <x:v>When the user performs the relevant action or the relevant system condition occurs</x:v>
      </x:c>
      <x:c r="F136" s="46" t="str">
        <x:v>Then submission retries shall be idempotent.</x:v>
      </x:c>
      <x:c r="G136" s="46" t="str">
        <x:v>Yes</x:v>
      </x:c>
      <x:c r="H136" s="47" t="str">
        <x:v>Domain test</x:v>
      </x:c>
    </x:row>
    <x:row r="137" ht="42" customHeight="1">
      <x:c r="A137" s="45" t="str">
        <x:v>AC-G-014</x:v>
      </x:c>
      <x:c r="B137" s="46" t="str">
        <x:v>G. Event and Task Outcome Reporting</x:v>
      </x:c>
      <x:c r="C137" s="46" t="str">
        <x:v>FR-G-014</x:v>
      </x:c>
      <x:c r="D137" s="46" t="str">
        <x:v>Given the applicable Event and Task Outcome Reporting preconditions and a valid Local Profile</x:v>
      </x:c>
      <x:c r="E137" s="46" t="str">
        <x:v>When the user performs the relevant action or the relevant system condition occurs</x:v>
      </x:c>
      <x:c r="F137" s="46" t="str">
        <x:v>Then show whether a report produced contributions.</x:v>
      </x:c>
      <x:c r="G137" s="46" t="str">
        <x:v>No</x:v>
      </x:c>
      <x:c r="H137" s="47" t="str">
        <x:v>Domain test</x:v>
      </x:c>
    </x:row>
    <x:row r="138" ht="42" customHeight="1">
      <x:c r="A138" s="45" t="str">
        <x:v>AC-G-015</x:v>
      </x:c>
      <x:c r="B138" s="46" t="str">
        <x:v>G. Event and Task Outcome Reporting</x:v>
      </x:c>
      <x:c r="C138" s="46" t="str">
        <x:v>FR-G-015</x:v>
      </x:c>
      <x:c r="D138" s="46" t="str">
        <x:v>Given the applicable Event and Task Outcome Reporting preconditions and a valid Local Profile</x:v>
      </x:c>
      <x:c r="E138" s="46" t="str">
        <x:v>When the user performs the relevant action or the relevant system condition occurs</x:v>
      </x:c>
      <x:c r="F138" s="46" t="str">
        <x:v>Then prevent title-only report classification.</x:v>
      </x:c>
      <x:c r="G138" s="46" t="str">
        <x:v>Yes</x:v>
      </x:c>
      <x:c r="H138" s="47" t="str">
        <x:v>Domain test</x:v>
      </x:c>
    </x:row>
    <x:row r="139" ht="42" customHeight="1">
      <x:c r="A139" s="45" t="str">
        <x:v>AC-G-016</x:v>
      </x:c>
      <x:c r="B139" s="46" t="str">
        <x:v>G. Event and Task Outcome Reporting</x:v>
      </x:c>
      <x:c r="C139" s="46" t="str">
        <x:v>FR-G-016</x:v>
      </x:c>
      <x:c r="D139" s="46" t="str">
        <x:v>Given the applicable Event and Task Outcome Reporting preconditions and a valid Local Profile</x:v>
      </x:c>
      <x:c r="E139" s="46" t="str">
        <x:v>When the user performs the relevant action or the relevant system condition occurs</x:v>
      </x:c>
      <x:c r="F139" s="46" t="str">
        <x:v>Then support offline report submission and correction.</x:v>
      </x:c>
      <x:c r="G139" s="46" t="str">
        <x:v>Yes</x:v>
      </x:c>
      <x:c r="H139" s="47" t="str">
        <x:v>Domain test</x:v>
      </x:c>
    </x:row>
    <x:row r="140" ht="42" customHeight="1">
      <x:c r="A140" s="45" t="str">
        <x:v>AC-G-017</x:v>
      </x:c>
      <x:c r="B140" s="46" t="str">
        <x:v>G. Event and Task Outcome Reporting</x:v>
      </x:c>
      <x:c r="C140" s="46" t="str">
        <x:v>FR-G-017</x:v>
      </x:c>
      <x:c r="D140" s="46" t="str">
        <x:v>Given the applicable Event and Task Outcome Reporting preconditions and a valid Local Profile</x:v>
      </x:c>
      <x:c r="E140" s="46" t="str">
        <x:v>When the user performs the relevant action or the relevant system condition occurs</x:v>
      </x:c>
      <x:c r="F140" s="46" t="str">
        <x:v>Then preserve drafts across recoverable interruptions.</x:v>
      </x:c>
      <x:c r="G140" s="46" t="str">
        <x:v>Yes</x:v>
      </x:c>
      <x:c r="H140" s="47" t="str">
        <x:v>Domain test</x:v>
      </x:c>
    </x:row>
    <x:row r="141" ht="42" customHeight="1">
      <x:c r="A141" s="45" t="str">
        <x:v>AC-G-018</x:v>
      </x:c>
      <x:c r="B141" s="46" t="str">
        <x:v>G. Event and Task Outcome Reporting</x:v>
      </x:c>
      <x:c r="C141" s="46" t="str">
        <x:v>FR-G-018</x:v>
      </x:c>
      <x:c r="D141" s="46" t="str">
        <x:v>Given the applicable Event and Task Outcome Reporting preconditions and a valid Local Profile</x:v>
      </x:c>
      <x:c r="E141" s="46" t="str">
        <x:v>When the user performs the relevant action or the relevant system condition occurs</x:v>
      </x:c>
      <x:c r="F141" s="46" t="str">
        <x:v>Then prevent multiple simultaneous effective reports for one source reporting slot.</x:v>
      </x:c>
      <x:c r="G141" s="46" t="str">
        <x:v>Yes</x:v>
      </x:c>
      <x:c r="H141" s="47" t="str">
        <x:v>Domain test</x:v>
      </x:c>
    </x:row>
    <x:row r="142" ht="42" customHeight="1">
      <x:c r="A142" s="45" t="str">
        <x:v>AC-G-019</x:v>
      </x:c>
      <x:c r="B142" s="46" t="str">
        <x:v>G. Event and Task Outcome Reporting</x:v>
      </x:c>
      <x:c r="C142" s="46" t="str">
        <x:v>FR-G-019</x:v>
      </x:c>
      <x:c r="D142" s="46" t="str">
        <x:v>Given the applicable Event and Task Outcome Reporting preconditions and a valid Local Profile</x:v>
      </x:c>
      <x:c r="E142" s="46" t="str">
        <x:v>When the user performs the relevant action or the relevant system condition occurs</x:v>
      </x:c>
      <x:c r="F142" s="46" t="str">
        <x:v>Then cancellation and rescheduling shall remain separate from happened reporting.</x:v>
      </x:c>
      <x:c r="G142" s="46" t="str">
        <x:v>Yes</x:v>
      </x:c>
      <x:c r="H142" s="47" t="str">
        <x:v>Domain test</x:v>
      </x:c>
    </x:row>
    <x:row r="143" ht="42" customHeight="1">
      <x:c r="A143" s="45" t="str">
        <x:v>AC-G-020</x:v>
      </x:c>
      <x:c r="B143" s="46" t="str">
        <x:v>G. Event and Task Outcome Reporting</x:v>
      </x:c>
      <x:c r="C143" s="46" t="str">
        <x:v>FR-G-020</x:v>
      </x:c>
      <x:c r="D143" s="46" t="str">
        <x:v>Given the applicable Event and Task Outcome Reporting preconditions and a valid Local Profile</x:v>
      </x:c>
      <x:c r="E143" s="46" t="str">
        <x:v>When the user performs the relevant action or the relevant system condition occurs</x:v>
      </x:c>
      <x:c r="F143" s="46" t="str">
        <x:v>Then historical reports shall remain accessible through contribution history where needed.</x:v>
      </x:c>
      <x:c r="G143" s="46" t="str">
        <x:v>No</x:v>
      </x:c>
      <x:c r="H143" s="47" t="str">
        <x:v>Domain test</x:v>
      </x:c>
    </x:row>
    <x:row r="144" ht="42" customHeight="1">
      <x:c r="A144" s="45" t="str">
        <x:v>AC-H-001</x:v>
      </x:c>
      <x:c r="B144" s="46" t="str">
        <x:v>H. Activity Ledger and Contribution History</x:v>
      </x:c>
      <x:c r="C144" s="46" t="str">
        <x:v>FR-H-001</x:v>
      </x:c>
      <x:c r="D144" s="46" t="str">
        <x:v>Given the applicable Activity Ledger and Contribution History preconditions and a valid Local Profile</x:v>
      </x:c>
      <x:c r="E144" s="46" t="str">
        <x:v>When the user performs the relevant action or the relevant system condition occurs</x:v>
      </x:c>
      <x:c r="F144" s="46" t="str">
        <x:v>Then derive Actual from Activity Ledger entries.</x:v>
      </x:c>
      <x:c r="G144" s="46" t="str">
        <x:v>Yes</x:v>
      </x:c>
      <x:c r="H144" s="47" t="str">
        <x:v>Domain test / Database test</x:v>
      </x:c>
    </x:row>
    <x:row r="145" ht="42" customHeight="1">
      <x:c r="A145" s="45" t="str">
        <x:v>AC-H-002</x:v>
      </x:c>
      <x:c r="B145" s="46" t="str">
        <x:v>H. Activity Ledger and Contribution History</x:v>
      </x:c>
      <x:c r="C145" s="46" t="str">
        <x:v>FR-H-002</x:v>
      </x:c>
      <x:c r="D145" s="46" t="str">
        <x:v>Given the applicable Activity Ledger and Contribution History preconditions and a valid Local Profile</x:v>
      </x:c>
      <x:c r="E145" s="46" t="str">
        <x:v>When the user performs the relevant action or the relevant system condition occurs</x:v>
      </x:c>
      <x:c r="F145" s="46" t="str">
        <x:v>Then prevent direct Actual editing.</x:v>
      </x:c>
      <x:c r="G145" s="46" t="str">
        <x:v>Yes</x:v>
      </x:c>
      <x:c r="H145" s="47" t="str">
        <x:v>Domain test</x:v>
      </x:c>
    </x:row>
    <x:row r="146" ht="42" customHeight="1">
      <x:c r="A146" s="45" t="str">
        <x:v>AC-H-003</x:v>
      </x:c>
      <x:c r="B146" s="46" t="str">
        <x:v>H. Activity Ledger and Contribution History</x:v>
      </x:c>
      <x:c r="C146" s="46" t="str">
        <x:v>FR-H-003</x:v>
      </x:c>
      <x:c r="D146" s="46" t="str">
        <x:v>Given the applicable Activity Ledger and Contribution History preconditions and a valid Local Profile</x:v>
      </x:c>
      <x:c r="E146" s="46" t="str">
        <x:v>When the user performs the relevant action or the relevant system condition occurs</x:v>
      </x:c>
      <x:c r="F146" s="46" t="str">
        <x:v>Then create contributions only from approved canonical sources.</x:v>
      </x:c>
      <x:c r="G146" s="46" t="str">
        <x:v>Yes</x:v>
      </x:c>
      <x:c r="H146" s="47" t="str">
        <x:v>Domain test</x:v>
      </x:c>
    </x:row>
    <x:row r="147" ht="42" customHeight="1">
      <x:c r="A147" s="45" t="str">
        <x:v>AC-H-004</x:v>
      </x:c>
      <x:c r="B147" s="46" t="str">
        <x:v>H. Activity Ledger and Contribution History</x:v>
      </x:c>
      <x:c r="C147" s="46" t="str">
        <x:v>FR-H-004</x:v>
      </x:c>
      <x:c r="D147" s="46" t="str">
        <x:v>Given the applicable Activity Ledger and Contribution History preconditions and a valid Local Profile</x:v>
      </x:c>
      <x:c r="E147" s="46" t="str">
        <x:v>When the user performs the relevant action or the relevant system condition occurs</x:v>
      </x:c>
      <x:c r="F147" s="46" t="str">
        <x:v>Then include an explicit Life Indicator.</x:v>
      </x:c>
      <x:c r="G147" s="46" t="str">
        <x:v>Yes</x:v>
      </x:c>
      <x:c r="H147" s="47" t="str">
        <x:v>Domain test</x:v>
      </x:c>
    </x:row>
    <x:row r="148" ht="42" customHeight="1">
      <x:c r="A148" s="45" t="str">
        <x:v>AC-H-005</x:v>
      </x:c>
      <x:c r="B148" s="46" t="str">
        <x:v>H. Activity Ledger and Contribution History</x:v>
      </x:c>
      <x:c r="C148" s="46" t="str">
        <x:v>FR-H-005</x:v>
      </x:c>
      <x:c r="D148" s="46" t="str">
        <x:v>Given the applicable Activity Ledger and Contribution History preconditions and a valid Local Profile</x:v>
      </x:c>
      <x:c r="E148" s="46" t="str">
        <x:v>When the user performs the relevant action or the relevant system condition occurs</x:v>
      </x:c>
      <x:c r="F148" s="46" t="str">
        <x:v>Then include value and unit.</x:v>
      </x:c>
      <x:c r="G148" s="46" t="str">
        <x:v>Yes</x:v>
      </x:c>
      <x:c r="H148" s="47" t="str">
        <x:v>Domain test</x:v>
      </x:c>
    </x:row>
    <x:row r="149" ht="42" customHeight="1">
      <x:c r="A149" s="45" t="str">
        <x:v>AC-H-006</x:v>
      </x:c>
      <x:c r="B149" s="46" t="str">
        <x:v>H. Activity Ledger and Contribution History</x:v>
      </x:c>
      <x:c r="C149" s="46" t="str">
        <x:v>FR-H-006</x:v>
      </x:c>
      <x:c r="D149" s="46" t="str">
        <x:v>Given the applicable Activity Ledger and Contribution History preconditions and a valid Local Profile</x:v>
      </x:c>
      <x:c r="E149" s="46" t="str">
        <x:v>When the user performs the relevant action or the relevant system condition occurs</x:v>
      </x:c>
      <x:c r="F149" s="46" t="str">
        <x:v>Then retain activity date and recorded timestamp.</x:v>
      </x:c>
      <x:c r="G149" s="46" t="str">
        <x:v>Yes</x:v>
      </x:c>
      <x:c r="H149" s="47" t="str">
        <x:v>Domain test</x:v>
      </x:c>
    </x:row>
    <x:row r="150" ht="42" customHeight="1">
      <x:c r="A150" s="45" t="str">
        <x:v>AC-H-007</x:v>
      </x:c>
      <x:c r="B150" s="46" t="str">
        <x:v>H. Activity Ledger and Contribution History</x:v>
      </x:c>
      <x:c r="C150" s="46" t="str">
        <x:v>FR-H-007</x:v>
      </x:c>
      <x:c r="D150" s="46" t="str">
        <x:v>Given the applicable Activity Ledger and Contribution History preconditions and a valid Local Profile</x:v>
      </x:c>
      <x:c r="E150" s="46" t="str">
        <x:v>When the user performs the relevant action or the relevant system condition occurs</x:v>
      </x:c>
      <x:c r="F150" s="46" t="str">
        <x:v>Then reference their source report.</x:v>
      </x:c>
      <x:c r="G150" s="46" t="str">
        <x:v>Yes</x:v>
      </x:c>
      <x:c r="H150" s="47" t="str">
        <x:v>Domain test</x:v>
      </x:c>
    </x:row>
    <x:row r="151" ht="42" customHeight="1">
      <x:c r="A151" s="45" t="str">
        <x:v>AC-H-008</x:v>
      </x:c>
      <x:c r="B151" s="46" t="str">
        <x:v>H. Activity Ledger and Contribution History</x:v>
      </x:c>
      <x:c r="C151" s="46" t="str">
        <x:v>FR-H-008</x:v>
      </x:c>
      <x:c r="D151" s="46" t="str">
        <x:v>Given the applicable Activity Ledger and Contribution History preconditions and a valid Local Profile</x:v>
      </x:c>
      <x:c r="E151" s="46" t="str">
        <x:v>When the user performs the relevant action or the relevant system condition occurs</x:v>
      </x:c>
      <x:c r="F151" s="46" t="str">
        <x:v>Then reference their qualifying rule.</x:v>
      </x:c>
      <x:c r="G151" s="46" t="str">
        <x:v>Yes</x:v>
      </x:c>
      <x:c r="H151" s="47" t="str">
        <x:v>Domain test</x:v>
      </x:c>
    </x:row>
    <x:row r="152" ht="42" customHeight="1">
      <x:c r="A152" s="45" t="str">
        <x:v>AC-H-009</x:v>
      </x:c>
      <x:c r="B152" s="46" t="str">
        <x:v>H. Activity Ledger and Contribution History</x:v>
      </x:c>
      <x:c r="C152" s="46" t="str">
        <x:v>FR-H-009</x:v>
      </x:c>
      <x:c r="D152" s="46" t="str">
        <x:v>Given the applicable Activity Ledger and Contribution History preconditions and a valid Local Profile</x:v>
      </x:c>
      <x:c r="E152" s="46" t="str">
        <x:v>When the user performs the relevant action or the relevant system condition occurs</x:v>
      </x:c>
      <x:c r="F152" s="46" t="str">
        <x:v>Then prevent duplicate source-rule application.</x:v>
      </x:c>
      <x:c r="G152" s="46" t="str">
        <x:v>Yes</x:v>
      </x:c>
      <x:c r="H152" s="47" t="str">
        <x:v>Domain test</x:v>
      </x:c>
    </x:row>
    <x:row r="153" ht="42" customHeight="1">
      <x:c r="A153" s="45" t="str">
        <x:v>AC-H-010</x:v>
      </x:c>
      <x:c r="B153" s="46" t="str">
        <x:v>H. Activity Ledger and Contribution History</x:v>
      </x:c>
      <x:c r="C153" s="46" t="str">
        <x:v>FR-H-010</x:v>
      </x:c>
      <x:c r="D153" s="46" t="str">
        <x:v>Given the applicable Activity Ledger and Contribution History preconditions and a valid Local Profile</x:v>
      </x:c>
      <x:c r="E153" s="46" t="str">
        <x:v>When the user performs the relevant action or the relevant system condition occurs</x:v>
      </x:c>
      <x:c r="F153" s="46" t="str">
        <x:v>Then support reversals.</x:v>
      </x:c>
      <x:c r="G153" s="46" t="str">
        <x:v>No</x:v>
      </x:c>
      <x:c r="H153" s="47" t="str">
        <x:v>Domain test</x:v>
      </x:c>
    </x:row>
    <x:row r="154" ht="42" customHeight="1">
      <x:c r="A154" s="45" t="str">
        <x:v>AC-H-011</x:v>
      </x:c>
      <x:c r="B154" s="46" t="str">
        <x:v>H. Activity Ledger and Contribution History</x:v>
      </x:c>
      <x:c r="C154" s="46" t="str">
        <x:v>FR-H-011</x:v>
      </x:c>
      <x:c r="D154" s="46" t="str">
        <x:v>Given the applicable Activity Ledger and Contribution History preconditions and a valid Local Profile</x:v>
      </x:c>
      <x:c r="E154" s="46" t="str">
        <x:v>When the user performs the relevant action or the relevant system condition occurs</x:v>
      </x:c>
      <x:c r="F154" s="46" t="str">
        <x:v>Then support replacement lineage.</x:v>
      </x:c>
      <x:c r="G154" s="46" t="str">
        <x:v>No</x:v>
      </x:c>
      <x:c r="H154" s="47" t="str">
        <x:v>Domain test</x:v>
      </x:c>
    </x:row>
    <x:row r="155" ht="42" customHeight="1">
      <x:c r="A155" s="45" t="str">
        <x:v>AC-H-012</x:v>
      </x:c>
      <x:c r="B155" s="46" t="str">
        <x:v>H. Activity Ledger and Contribution History</x:v>
      </x:c>
      <x:c r="C155" s="46" t="str">
        <x:v>FR-H-012</x:v>
      </x:c>
      <x:c r="D155" s="46" t="str">
        <x:v>Given the applicable Activity Ledger and Contribution History preconditions and a valid Local Profile</x:v>
      </x:c>
      <x:c r="E155" s="46" t="str">
        <x:v>When the user performs the relevant action or the relevant system condition occurs</x:v>
      </x:c>
      <x:c r="F155" s="46" t="str">
        <x:v>Then preserve reversed history.</x:v>
      </x:c>
      <x:c r="G155" s="46" t="str">
        <x:v>Yes</x:v>
      </x:c>
      <x:c r="H155" s="47" t="str">
        <x:v>Domain test</x:v>
      </x:c>
    </x:row>
    <x:row r="156" ht="42" customHeight="1">
      <x:c r="A156" s="45" t="str">
        <x:v>AC-H-013</x:v>
      </x:c>
      <x:c r="B156" s="46" t="str">
        <x:v>H. Activity Ledger and Contribution History</x:v>
      </x:c>
      <x:c r="C156" s="46" t="str">
        <x:v>FR-H-013</x:v>
      </x:c>
      <x:c r="D156" s="46" t="str">
        <x:v>Given the applicable Activity Ledger and Contribution History preconditions and a valid Local Profile</x:v>
      </x:c>
      <x:c r="E156" s="46" t="str">
        <x:v>When the user performs the relevant action or the relevant system condition occurs</x:v>
      </x:c>
      <x:c r="F156" s="46" t="str">
        <x:v>Then provide contribution history by indicator and period.</x:v>
      </x:c>
      <x:c r="G156" s="46" t="str">
        <x:v>No</x:v>
      </x:c>
      <x:c r="H156" s="47" t="str">
        <x:v>Domain test</x:v>
      </x:c>
    </x:row>
    <x:row r="157" ht="42" customHeight="1">
      <x:c r="A157" s="45" t="str">
        <x:v>AC-H-014</x:v>
      </x:c>
      <x:c r="B157" s="46" t="str">
        <x:v>H. Activity Ledger and Contribution History</x:v>
      </x:c>
      <x:c r="C157" s="46" t="str">
        <x:v>FR-H-014</x:v>
      </x:c>
      <x:c r="D157" s="46" t="str">
        <x:v>Given the applicable Activity Ledger and Contribution History preconditions and a valid Local Profile</x:v>
      </x:c>
      <x:c r="E157" s="46" t="str">
        <x:v>When the user performs the relevant action or the relevant system condition occurs</x:v>
      </x:c>
      <x:c r="F157" s="46" t="str">
        <x:v>Then provide source-report access.</x:v>
      </x:c>
      <x:c r="G157" s="46" t="str">
        <x:v>No</x:v>
      </x:c>
      <x:c r="H157" s="47" t="str">
        <x:v>Domain test</x:v>
      </x:c>
    </x:row>
    <x:row r="158" ht="42" customHeight="1">
      <x:c r="A158" s="45" t="str">
        <x:v>AC-H-015</x:v>
      </x:c>
      <x:c r="B158" s="46" t="str">
        <x:v>H. Activity Ledger and Contribution History</x:v>
      </x:c>
      <x:c r="C158" s="46" t="str">
        <x:v>FR-H-015</x:v>
      </x:c>
      <x:c r="D158" s="46" t="str">
        <x:v>Given the applicable Activity Ledger and Contribution History preconditions and a valid Local Profile</x:v>
      </x:c>
      <x:c r="E158" s="46" t="str">
        <x:v>When the user performs the relevant action or the relevant system condition occurs</x:v>
      </x:c>
      <x:c r="F158" s="46" t="str">
        <x:v>Then rebuild projections from local history.</x:v>
      </x:c>
      <x:c r="G158" s="46" t="str">
        <x:v>No</x:v>
      </x:c>
      <x:c r="H158" s="47" t="str">
        <x:v>Domain test</x:v>
      </x:c>
    </x:row>
    <x:row r="159" ht="42" customHeight="1">
      <x:c r="A159" s="45" t="str">
        <x:v>AC-H-016</x:v>
      </x:c>
      <x:c r="B159" s="46" t="str">
        <x:v>H. Activity Ledger and Contribution History</x:v>
      </x:c>
      <x:c r="C159" s="46" t="str">
        <x:v>FR-H-016</x:v>
      </x:c>
      <x:c r="D159" s="46" t="str">
        <x:v>Given the applicable Activity Ledger and Contribution History preconditions and a valid Local Profile</x:v>
      </x:c>
      <x:c r="E159" s="46" t="str">
        <x:v>When the user performs the relevant action or the relevant system condition occurs</x:v>
      </x:c>
      <x:c r="F159" s="46" t="str">
        <x:v>Then identify stale or inconsistent projections.</x:v>
      </x:c>
      <x:c r="G159" s="46" t="str">
        <x:v>No</x:v>
      </x:c>
      <x:c r="H159" s="47" t="str">
        <x:v>Domain test</x:v>
      </x:c>
    </x:row>
    <x:row r="160" ht="42" customHeight="1">
      <x:c r="A160" s="45" t="str">
        <x:v>AC-H-017</x:v>
      </x:c>
      <x:c r="B160" s="46" t="str">
        <x:v>H. Activity Ledger and Contribution History</x:v>
      </x:c>
      <x:c r="C160" s="46" t="str">
        <x:v>FR-H-017</x:v>
      </x:c>
      <x:c r="D160" s="46" t="str">
        <x:v>Given the applicable Activity Ledger and Contribution History preconditions and a valid Local Profile</x:v>
      </x:c>
      <x:c r="E160" s="46" t="str">
        <x:v>When the user performs the relevant action or the relevant system condition occurs</x:v>
      </x:c>
      <x:c r="F160" s="46" t="str">
        <x:v>Then not post Scheduled Potential to the ledger.</x:v>
      </x:c>
      <x:c r="G160" s="46" t="str">
        <x:v>Yes</x:v>
      </x:c>
      <x:c r="H160" s="47" t="str">
        <x:v>Database test</x:v>
      </x:c>
    </x:row>
    <x:row r="161" ht="42" customHeight="1">
      <x:c r="A161" s="45" t="str">
        <x:v>AC-H-018</x:v>
      </x:c>
      <x:c r="B161" s="46" t="str">
        <x:v>H. Activity Ledger and Contribution History</x:v>
      </x:c>
      <x:c r="C161" s="46" t="str">
        <x:v>FR-H-018</x:v>
      </x:c>
      <x:c r="D161" s="46" t="str">
        <x:v>Given the applicable Activity Ledger and Contribution History preconditions and a valid Local Profile</x:v>
      </x:c>
      <x:c r="E161" s="46" t="str">
        <x:v>When the user performs the relevant action or the relevant system condition occurs</x:v>
      </x:c>
      <x:c r="F161" s="46" t="str">
        <x:v>Then not classify contributions from titles.</x:v>
      </x:c>
      <x:c r="G161" s="46" t="str">
        <x:v>Yes</x:v>
      </x:c>
      <x:c r="H161" s="47" t="str">
        <x:v>Domain test</x:v>
      </x:c>
    </x:row>
    <x:row r="162" ht="42" customHeight="1">
      <x:c r="A162" s="45" t="str">
        <x:v>AC-H-019</x:v>
      </x:c>
      <x:c r="B162" s="46" t="str">
        <x:v>H. Activity Ledger and Contribution History</x:v>
      </x:c>
      <x:c r="C162" s="46" t="str">
        <x:v>FR-H-019</x:v>
      </x:c>
      <x:c r="D162" s="46" t="str">
        <x:v>Given the applicable Activity Ledger and Contribution History preconditions and a valid Local Profile</x:v>
      </x:c>
      <x:c r="E162" s="46" t="str">
        <x:v>When the user performs the relevant action or the relevant system condition occurs</x:v>
      </x:c>
      <x:c r="F162" s="46" t="str">
        <x:v>Then preserve ledger history when source planning records are archived.</x:v>
      </x:c>
      <x:c r="G162" s="46" t="str">
        <x:v>Yes</x:v>
      </x:c>
      <x:c r="H162" s="47" t="str">
        <x:v>Database test</x:v>
      </x:c>
    </x:row>
    <x:row r="163" ht="42" customHeight="1">
      <x:c r="A163" s="45" t="str">
        <x:v>AC-H-020</x:v>
      </x:c>
      <x:c r="B163" s="46" t="str">
        <x:v>H. Activity Ledger and Contribution History</x:v>
      </x:c>
      <x:c r="C163" s="46" t="str">
        <x:v>FR-H-020</x:v>
      </x:c>
      <x:c r="D163" s="46" t="str">
        <x:v>Given the applicable Activity Ledger and Contribution History preconditions and a valid Local Profile</x:v>
      </x:c>
      <x:c r="E163" s="46" t="str">
        <x:v>When the user performs the relevant action or the relevant system condition occurs</x:v>
      </x:c>
      <x:c r="F163" s="46" t="str">
        <x:v>Then function offline.</x:v>
      </x:c>
      <x:c r="G163" s="46" t="str">
        <x:v>Yes</x:v>
      </x:c>
      <x:c r="H163" s="47" t="str">
        <x:v>Database test</x:v>
      </x:c>
    </x:row>
    <x:row r="164" ht="42" customHeight="1">
      <x:c r="A164" s="45" t="str">
        <x:v>AC-I-001</x:v>
      </x:c>
      <x:c r="B164" s="46" t="str">
        <x:v>I. Weekly Planning</x:v>
      </x:c>
      <x:c r="C164" s="46" t="str">
        <x:v>FR-I-001</x:v>
      </x:c>
      <x:c r="D164" s="46" t="str">
        <x:v>Given the applicable Weekly Planning preconditions and a valid Local Profile</x:v>
      </x:c>
      <x:c r="E164" s="46" t="str">
        <x:v>When the user performs the relevant action or the relevant system condition occurs</x:v>
      </x:c>
      <x:c r="F164" s="46" t="str">
        <x:v>Then support one effective Weekly Plan per profile and period.</x:v>
      </x:c>
      <x:c r="G164" s="46" t="str">
        <x:v>Yes</x:v>
      </x:c>
      <x:c r="H164" s="47" t="str">
        <x:v>Domain test</x:v>
      </x:c>
    </x:row>
    <x:row r="165" ht="42" customHeight="1">
      <x:c r="A165" s="45" t="str">
        <x:v>AC-I-002</x:v>
      </x:c>
      <x:c r="B165" s="46" t="str">
        <x:v>I. Weekly Planning</x:v>
      </x:c>
      <x:c r="C165" s="46" t="str">
        <x:v>FR-I-002</x:v>
      </x:c>
      <x:c r="D165" s="46" t="str">
        <x:v>Given the applicable Weekly Planning preconditions and a valid Local Profile</x:v>
      </x:c>
      <x:c r="E165" s="46" t="str">
        <x:v>When the user performs the relevant action or the relevant system condition occurs</x:v>
      </x:c>
      <x:c r="F165" s="46" t="str">
        <x:v>Then display exact start and end dates.</x:v>
      </x:c>
      <x:c r="G165" s="46" t="str">
        <x:v>Yes</x:v>
      </x:c>
      <x:c r="H165" s="47" t="str">
        <x:v>Widget test</x:v>
      </x:c>
    </x:row>
    <x:row r="166" ht="42" customHeight="1">
      <x:c r="A166" s="45" t="str">
        <x:v>AC-I-003</x:v>
      </x:c>
      <x:c r="B166" s="46" t="str">
        <x:v>I. Weekly Planning</x:v>
      </x:c>
      <x:c r="C166" s="46" t="str">
        <x:v>FR-I-003</x:v>
      </x:c>
      <x:c r="D166" s="46" t="str">
        <x:v>Given the applicable Weekly Planning preconditions and a valid Local Profile</x:v>
      </x:c>
      <x:c r="E166" s="46" t="str">
        <x:v>When the user performs the relevant action or the relevant system condition occurs</x:v>
      </x:c>
      <x:c r="F166" s="46" t="str">
        <x:v>Then be able to create a Weekly Plan offline.</x:v>
      </x:c>
      <x:c r="G166" s="46" t="str">
        <x:v>Yes</x:v>
      </x:c>
      <x:c r="H166" s="47" t="str">
        <x:v>Widget test</x:v>
      </x:c>
    </x:row>
    <x:row r="167" ht="42" customHeight="1">
      <x:c r="A167" s="45" t="str">
        <x:v>AC-I-004</x:v>
      </x:c>
      <x:c r="B167" s="46" t="str">
        <x:v>I. Weekly Planning</x:v>
      </x:c>
      <x:c r="C167" s="46" t="str">
        <x:v>FR-I-004</x:v>
      </x:c>
      <x:c r="D167" s="46" t="str">
        <x:v>Given the applicable Weekly Planning preconditions and a valid Local Profile</x:v>
      </x:c>
      <x:c r="E167" s="46" t="str">
        <x:v>When the user performs the relevant action or the relevant system condition occurs</x:v>
      </x:c>
      <x:c r="F167" s="46" t="str">
        <x:v>Then be able to set Weekly Targets.</x:v>
      </x:c>
      <x:c r="G167" s="46" t="str">
        <x:v>Yes</x:v>
      </x:c>
      <x:c r="H167" s="47" t="str">
        <x:v>Domain test / Widget test</x:v>
      </x:c>
    </x:row>
    <x:row r="168" ht="42" customHeight="1">
      <x:c r="A168" s="45" t="str">
        <x:v>AC-I-005</x:v>
      </x:c>
      <x:c r="B168" s="46" t="str">
        <x:v>I. Weekly Planning</x:v>
      </x:c>
      <x:c r="C168" s="46" t="str">
        <x:v>FR-I-005</x:v>
      </x:c>
      <x:c r="D168" s="46" t="str">
        <x:v>Given the applicable Weekly Planning preconditions and a valid Local Profile</x:v>
      </x:c>
      <x:c r="E168" s="46" t="str">
        <x:v>When the user performs the relevant action or the relevant system condition occurs</x:v>
      </x:c>
      <x:c r="F168" s="46" t="str">
        <x:v>Then distinguish zero from Not set.</x:v>
      </x:c>
      <x:c r="G168" s="46" t="str">
        <x:v>Yes</x:v>
      </x:c>
      <x:c r="H168" s="47" t="str">
        <x:v>Domain test</x:v>
      </x:c>
    </x:row>
    <x:row r="169" ht="42" customHeight="1">
      <x:c r="A169" s="45" t="str">
        <x:v>AC-I-006</x:v>
      </x:c>
      <x:c r="B169" s="46" t="str">
        <x:v>I. Weekly Planning</x:v>
      </x:c>
      <x:c r="C169" s="46" t="str">
        <x:v>FR-I-006</x:v>
      </x:c>
      <x:c r="D169" s="46" t="str">
        <x:v>Given the applicable Weekly Planning preconditions and a valid Local Profile</x:v>
      </x:c>
      <x:c r="E169" s="46" t="str">
        <x:v>When the user performs the relevant action or the relevant system condition occurs</x:v>
      </x:c>
      <x:c r="F169" s="46" t="str">
        <x:v>Then preserve target revisions.</x:v>
      </x:c>
      <x:c r="G169" s="46" t="str">
        <x:v>Yes</x:v>
      </x:c>
      <x:c r="H169" s="47" t="str">
        <x:v>Domain test</x:v>
      </x:c>
    </x:row>
    <x:row r="170" ht="42" customHeight="1">
      <x:c r="A170" s="45" t="str">
        <x:v>AC-I-007</x:v>
      </x:c>
      <x:c r="B170" s="46" t="str">
        <x:v>I. Weekly Planning</x:v>
      </x:c>
      <x:c r="C170" s="46" t="str">
        <x:v>FR-I-007</x:v>
      </x:c>
      <x:c r="D170" s="46" t="str">
        <x:v>Given the applicable Weekly Planning preconditions and a valid Local Profile</x:v>
      </x:c>
      <x:c r="E170" s="46" t="str">
        <x:v>When the user performs the relevant action or the relevant system condition occurs</x:v>
      </x:c>
      <x:c r="F170" s="46" t="str">
        <x:v>Then display Actual separately from Target and Scheduled Potential.</x:v>
      </x:c>
      <x:c r="G170" s="46" t="str">
        <x:v>Yes</x:v>
      </x:c>
      <x:c r="H170" s="47" t="str">
        <x:v>Domain test / Widget test</x:v>
      </x:c>
    </x:row>
    <x:row r="171" ht="42" customHeight="1">
      <x:c r="A171" s="45" t="str">
        <x:v>AC-I-008</x:v>
      </x:c>
      <x:c r="B171" s="46" t="str">
        <x:v>I. Weekly Planning</x:v>
      </x:c>
      <x:c r="C171" s="46" t="str">
        <x:v>FR-I-008</x:v>
      </x:c>
      <x:c r="D171" s="46" t="str">
        <x:v>Given the applicable Weekly Planning preconditions and a valid Local Profile</x:v>
      </x:c>
      <x:c r="E171" s="46" t="str">
        <x:v>When the user performs the relevant action or the relevant system condition occurs</x:v>
      </x:c>
      <x:c r="F171" s="46" t="str">
        <x:v>Then be able to add or select Tasks.</x:v>
      </x:c>
      <x:c r="G171" s="46" t="str">
        <x:v>Yes</x:v>
      </x:c>
      <x:c r="H171" s="47" t="str">
        <x:v>Widget test</x:v>
      </x:c>
    </x:row>
    <x:row r="172" ht="42" customHeight="1">
      <x:c r="A172" s="45" t="str">
        <x:v>AC-I-009</x:v>
      </x:c>
      <x:c r="B172" s="46" t="str">
        <x:v>I. Weekly Planning</x:v>
      </x:c>
      <x:c r="C172" s="46" t="str">
        <x:v>FR-I-009</x:v>
      </x:c>
      <x:c r="D172" s="46" t="str">
        <x:v>Given the applicable Weekly Planning preconditions and a valid Local Profile</x:v>
      </x:c>
      <x:c r="E172" s="46" t="str">
        <x:v>When the user performs the relevant action or the relevant system condition occurs</x:v>
      </x:c>
      <x:c r="F172" s="46" t="str">
        <x:v>Then be able to create or link Calendar Events.</x:v>
      </x:c>
      <x:c r="G172" s="46" t="str">
        <x:v>No</x:v>
      </x:c>
      <x:c r="H172" s="47" t="str">
        <x:v>Widget test / Integration test</x:v>
      </x:c>
    </x:row>
    <x:row r="173" ht="42" customHeight="1">
      <x:c r="A173" s="45" t="str">
        <x:v>AC-I-010</x:v>
      </x:c>
      <x:c r="B173" s="46" t="str">
        <x:v>I. Weekly Planning</x:v>
      </x:c>
      <x:c r="C173" s="46" t="str">
        <x:v>FR-I-010</x:v>
      </x:c>
      <x:c r="D173" s="46" t="str">
        <x:v>Given the applicable Weekly Planning preconditions and a valid Local Profile</x:v>
      </x:c>
      <x:c r="E173" s="46" t="str">
        <x:v>When the user performs the relevant action or the relevant system condition occurs</x:v>
      </x:c>
      <x:c r="F173" s="46" t="str">
        <x:v>Then provide Review Due attention after period end.</x:v>
      </x:c>
      <x:c r="G173" s="46" t="str">
        <x:v>No</x:v>
      </x:c>
      <x:c r="H173" s="47" t="str">
        <x:v>Domain test</x:v>
      </x:c>
    </x:row>
    <x:row r="174" ht="42" customHeight="1">
      <x:c r="A174" s="45" t="str">
        <x:v>AC-I-011</x:v>
      </x:c>
      <x:c r="B174" s="46" t="str">
        <x:v>I. Weekly Planning</x:v>
      </x:c>
      <x:c r="C174" s="46" t="str">
        <x:v>FR-I-011</x:v>
      </x:c>
      <x:c r="D174" s="46" t="str">
        <x:v>Given the applicable Weekly Planning preconditions and a valid Local Profile</x:v>
      </x:c>
      <x:c r="E174" s="46" t="str">
        <x:v>When the user performs the relevant action or the relevant system condition occurs</x:v>
      </x:c>
      <x:c r="F174" s="46" t="str">
        <x:v>Then weekly Review shall display outcomes and outstanding reports.</x:v>
      </x:c>
      <x:c r="G174" s="46" t="str">
        <x:v>No</x:v>
      </x:c>
      <x:c r="H174" s="47" t="str">
        <x:v>Domain test / Widget test</x:v>
      </x:c>
    </x:row>
    <x:row r="175" ht="42" customHeight="1">
      <x:c r="A175" s="45" t="str">
        <x:v>AC-I-012</x:v>
      </x:c>
      <x:c r="B175" s="46" t="str">
        <x:v>I. Weekly Planning</x:v>
      </x:c>
      <x:c r="C175" s="46" t="str">
        <x:v>FR-I-012</x:v>
      </x:c>
      <x:c r="D175" s="46" t="str">
        <x:v>Given the applicable Weekly Planning preconditions and a valid Local Profile</x:v>
      </x:c>
      <x:c r="E175" s="46" t="str">
        <x:v>When the user performs the relevant action or the relevant system condition occurs</x:v>
      </x:c>
      <x:c r="F175" s="46" t="str">
        <x:v>Then weekly Review shall provide contribution-history access.</x:v>
      </x:c>
      <x:c r="G175" s="46" t="str">
        <x:v>No</x:v>
      </x:c>
      <x:c r="H175" s="47" t="str">
        <x:v>Domain test</x:v>
      </x:c>
    </x:row>
    <x:row r="176" ht="42" customHeight="1">
      <x:c r="A176" s="45" t="str">
        <x:v>AC-I-013</x:v>
      </x:c>
      <x:c r="B176" s="46" t="str">
        <x:v>I. Weekly Planning</x:v>
      </x:c>
      <x:c r="C176" s="46" t="str">
        <x:v>FR-I-013</x:v>
      </x:c>
      <x:c r="D176" s="46" t="str">
        <x:v>Given the applicable Weekly Planning preconditions and a valid Local Profile</x:v>
      </x:c>
      <x:c r="E176" s="46" t="str">
        <x:v>When the user performs the relevant action or the relevant system condition occurs</x:v>
      </x:c>
      <x:c r="F176" s="46" t="str">
        <x:v>Then be able to record an optional private reflection.</x:v>
      </x:c>
      <x:c r="G176" s="46" t="str">
        <x:v>Yes</x:v>
      </x:c>
      <x:c r="H176" s="47" t="str">
        <x:v>Widget test</x:v>
      </x:c>
    </x:row>
    <x:row r="177" ht="42" customHeight="1">
      <x:c r="A177" s="45" t="str">
        <x:v>AC-I-014</x:v>
      </x:c>
      <x:c r="B177" s="46" t="str">
        <x:v>I. Weekly Planning</x:v>
      </x:c>
      <x:c r="C177" s="46" t="str">
        <x:v>FR-I-014</x:v>
      </x:c>
      <x:c r="D177" s="46" t="str">
        <x:v>Given the applicable Weekly Planning preconditions and a valid Local Profile</x:v>
      </x:c>
      <x:c r="E177" s="46" t="str">
        <x:v>When the user performs the relevant action or the relevant system condition occurs</x:v>
      </x:c>
      <x:c r="F177" s="46" t="str">
        <x:v>Then be able to complete a Weekly Review.</x:v>
      </x:c>
      <x:c r="G177" s="46" t="str">
        <x:v>No</x:v>
      </x:c>
      <x:c r="H177" s="47" t="str">
        <x:v>Widget test</x:v>
      </x:c>
    </x:row>
    <x:row r="178" ht="42" customHeight="1">
      <x:c r="A178" s="45" t="str">
        <x:v>AC-I-015</x:v>
      </x:c>
      <x:c r="B178" s="46" t="str">
        <x:v>I. Weekly Planning</x:v>
      </x:c>
      <x:c r="C178" s="46" t="str">
        <x:v>FR-I-015</x:v>
      </x:c>
      <x:c r="D178" s="46" t="str">
        <x:v>Given the applicable Weekly Planning preconditions and a valid Local Profile</x:v>
      </x:c>
      <x:c r="E178" s="46" t="str">
        <x:v>When the user performs the relevant action or the relevant system condition occurs</x:v>
      </x:c>
      <x:c r="F178" s="46" t="str">
        <x:v>Then record post-review factual changes.</x:v>
      </x:c>
      <x:c r="G178" s="46" t="str">
        <x:v>Yes</x:v>
      </x:c>
      <x:c r="H178" s="47" t="str">
        <x:v>Domain test</x:v>
      </x:c>
    </x:row>
    <x:row r="179" ht="42" customHeight="1">
      <x:c r="A179" s="45" t="str">
        <x:v>AC-I-016</x:v>
      </x:c>
      <x:c r="B179" s="46" t="str">
        <x:v>I. Weekly Planning</x:v>
      </x:c>
      <x:c r="C179" s="46" t="str">
        <x:v>FR-I-016</x:v>
      </x:c>
      <x:c r="D179" s="46" t="str">
        <x:v>Given the applicable Weekly Planning preconditions and a valid Local Profile</x:v>
      </x:c>
      <x:c r="E179" s="46" t="str">
        <x:v>When the user performs the relevant action or the relevant system condition occurs</x:v>
      </x:c>
      <x:c r="F179" s="46" t="str">
        <x:v>Then be able to start the next Weekly Plan.</x:v>
      </x:c>
      <x:c r="G179" s="46" t="str">
        <x:v>No</x:v>
      </x:c>
      <x:c r="H179" s="47" t="str">
        <x:v>Widget test</x:v>
      </x:c>
    </x:row>
    <x:row r="180" ht="42" customHeight="1">
      <x:c r="A180" s="45" t="str">
        <x:v>AC-I-017</x:v>
      </x:c>
      <x:c r="B180" s="46" t="str">
        <x:v>I. Weekly Planning</x:v>
      </x:c>
      <x:c r="C180" s="46" t="str">
        <x:v>FR-I-017</x:v>
      </x:c>
      <x:c r="D180" s="46" t="str">
        <x:v>Given the applicable Weekly Planning preconditions and a valid Local Profile</x:v>
      </x:c>
      <x:c r="E180" s="46" t="str">
        <x:v>When the user performs the relevant action or the relevant system condition occurs</x:v>
      </x:c>
      <x:c r="F180" s="46" t="str">
        <x:v>Then explicitly decide Task carryover.</x:v>
      </x:c>
      <x:c r="G180" s="46" t="str">
        <x:v>No</x:v>
      </x:c>
      <x:c r="H180" s="47" t="str">
        <x:v>Domain test</x:v>
      </x:c>
    </x:row>
    <x:row r="181" ht="42" customHeight="1">
      <x:c r="A181" s="45" t="str">
        <x:v>AC-I-018</x:v>
      </x:c>
      <x:c r="B181" s="46" t="str">
        <x:v>I. Weekly Planning</x:v>
      </x:c>
      <x:c r="C181" s="46" t="str">
        <x:v>FR-I-018</x:v>
      </x:c>
      <x:c r="D181" s="46" t="str">
        <x:v>Given the applicable Weekly Planning preconditions and a valid Local Profile</x:v>
      </x:c>
      <x:c r="E181" s="46" t="str">
        <x:v>When the user performs the relevant action or the relevant system condition occurs</x:v>
      </x:c>
      <x:c r="F181" s="46" t="str">
        <x:v>Then calendar Events shall not carry over automatically.</x:v>
      </x:c>
      <x:c r="G181" s="46" t="str">
        <x:v>Yes</x:v>
      </x:c>
      <x:c r="H181" s="47" t="str">
        <x:v>Integration test</x:v>
      </x:c>
    </x:row>
    <x:row r="182" ht="42" customHeight="1">
      <x:c r="A182" s="45" t="str">
        <x:v>AC-I-019</x:v>
      </x:c>
      <x:c r="B182" s="46" t="str">
        <x:v>I. Weekly Planning</x:v>
      </x:c>
      <x:c r="C182" s="46" t="str">
        <x:v>FR-I-019</x:v>
      </x:c>
      <x:c r="D182" s="46" t="str">
        <x:v>Given the applicable Weekly Planning preconditions and a valid Local Profile</x:v>
      </x:c>
      <x:c r="E182" s="46" t="str">
        <x:v>When the user performs the relevant action or the relevant system condition occurs</x:v>
      </x:c>
      <x:c r="F182" s="46" t="str">
        <x:v>Then prior plans shall remain accessible.</x:v>
      </x:c>
      <x:c r="G182" s="46" t="str">
        <x:v>No</x:v>
      </x:c>
      <x:c r="H182" s="47" t="str">
        <x:v>Domain test</x:v>
      </x:c>
    </x:row>
    <x:row r="183" ht="42" customHeight="1">
      <x:c r="A183" s="45" t="str">
        <x:v>AC-I-020</x:v>
      </x:c>
      <x:c r="B183" s="46" t="str">
        <x:v>I. Weekly Planning</x:v>
      </x:c>
      <x:c r="C183" s="46" t="str">
        <x:v>FR-I-020</x:v>
      </x:c>
      <x:c r="D183" s="46" t="str">
        <x:v>Given the applicable Weekly Planning preconditions and a valid Local Profile</x:v>
      </x:c>
      <x:c r="E183" s="46" t="str">
        <x:v>When the user performs the relevant action or the relevant system condition occurs</x:v>
      </x:c>
      <x:c r="F183" s="46" t="str">
        <x:v>Then weekly Plan workflows shall function offline.</x:v>
      </x:c>
      <x:c r="G183" s="46" t="str">
        <x:v>Yes</x:v>
      </x:c>
      <x:c r="H183" s="47" t="str">
        <x:v>Domain test</x:v>
      </x:c>
    </x:row>
    <x:row r="184" ht="42" customHeight="1">
      <x:c r="A184" s="45" t="str">
        <x:v>AC-J-001</x:v>
      </x:c>
      <x:c r="B184" s="46" t="str">
        <x:v>J. Pathways, Goals, and Milestones</x:v>
      </x:c>
      <x:c r="C184" s="46" t="str">
        <x:v>FR-J-001</x:v>
      </x:c>
      <x:c r="D184" s="46" t="str">
        <x:v>Given the applicable Pathways, Goals, and Milestones preconditions and a valid Local Profile</x:v>
      </x:c>
      <x:c r="E184" s="46" t="str">
        <x:v>When the user performs the relevant action or the relevant system condition occurs</x:v>
      </x:c>
      <x:c r="F184" s="46" t="str">
        <x:v>Then be able to activate a Pathway.</x:v>
      </x:c>
      <x:c r="G184" s="46" t="str">
        <x:v>Yes</x:v>
      </x:c>
      <x:c r="H184" s="47" t="str">
        <x:v>Widget test</x:v>
      </x:c>
    </x:row>
    <x:row r="185" ht="42" customHeight="1">
      <x:c r="A185" s="45" t="str">
        <x:v>AC-J-002</x:v>
      </x:c>
      <x:c r="B185" s="46" t="str">
        <x:v>J. Pathways, Goals, and Milestones</x:v>
      </x:c>
      <x:c r="C185" s="46" t="str">
        <x:v>FR-J-002</x:v>
      </x:c>
      <x:c r="D185" s="46" t="str">
        <x:v>Given the applicable Pathways, Goals, and Milestones preconditions and a valid Local Profile</x:v>
      </x:c>
      <x:c r="E185" s="46" t="str">
        <x:v>When the user performs the relevant action or the relevant system condition occurs</x:v>
      </x:c>
      <x:c r="F185" s="46" t="str">
        <x:v>Then be able to view bundled Pathway content offline.</x:v>
      </x:c>
      <x:c r="G185" s="46" t="str">
        <x:v>Yes</x:v>
      </x:c>
      <x:c r="H185" s="47" t="str">
        <x:v>Widget test</x:v>
      </x:c>
    </x:row>
    <x:row r="186" ht="42" customHeight="1">
      <x:c r="A186" s="45" t="str">
        <x:v>AC-J-003</x:v>
      </x:c>
      <x:c r="B186" s="46" t="str">
        <x:v>J. Pathways, Goals, and Milestones</x:v>
      </x:c>
      <x:c r="C186" s="46" t="str">
        <x:v>FR-J-003</x:v>
      </x:c>
      <x:c r="D186" s="46" t="str">
        <x:v>Given the applicable Pathways, Goals, and Milestones preconditions and a valid Local Profile</x:v>
      </x:c>
      <x:c r="E186" s="46" t="str">
        <x:v>When the user performs the relevant action or the relevant system condition occurs</x:v>
      </x:c>
      <x:c r="F186" s="46" t="str">
        <x:v>Then be able to create and edit Goals where permitted.</x:v>
      </x:c>
      <x:c r="G186" s="46" t="str">
        <x:v>Yes</x:v>
      </x:c>
      <x:c r="H186" s="47" t="str">
        <x:v>Widget test</x:v>
      </x:c>
    </x:row>
    <x:row r="187" ht="42" customHeight="1">
      <x:c r="A187" s="45" t="str">
        <x:v>AC-J-004</x:v>
      </x:c>
      <x:c r="B187" s="46" t="str">
        <x:v>J. Pathways, Goals, and Milestones</x:v>
      </x:c>
      <x:c r="C187" s="46" t="str">
        <x:v>FR-J-004</x:v>
      </x:c>
      <x:c r="D187" s="46" t="str">
        <x:v>Given the applicable Pathways, Goals, and Milestones preconditions and a valid Local Profile</x:v>
      </x:c>
      <x:c r="E187" s="46" t="str">
        <x:v>When the user performs the relevant action or the relevant system condition occurs</x:v>
      </x:c>
      <x:c r="F187" s="46" t="str">
        <x:v>Then be able to create and edit Milestones where permitted.</x:v>
      </x:c>
      <x:c r="G187" s="46" t="str">
        <x:v>Yes</x:v>
      </x:c>
      <x:c r="H187" s="47" t="str">
        <x:v>Widget test</x:v>
      </x:c>
    </x:row>
    <x:row r="188" ht="42" customHeight="1">
      <x:c r="A188" s="45" t="str">
        <x:v>AC-J-005</x:v>
      </x:c>
      <x:c r="B188" s="46" t="str">
        <x:v>J. Pathways, Goals, and Milestones</x:v>
      </x:c>
      <x:c r="C188" s="46" t="str">
        <x:v>FR-J-005</x:v>
      </x:c>
      <x:c r="D188" s="46" t="str">
        <x:v>Given the applicable Pathways, Goals, and Milestones preconditions and a valid Local Profile</x:v>
      </x:c>
      <x:c r="E188" s="46" t="str">
        <x:v>When the user performs the relevant action or the relevant system condition occurs</x:v>
      </x:c>
      <x:c r="F188" s="46" t="str">
        <x:v>Then pathways, Goals, and Milestones shall retain separate identities.</x:v>
      </x:c>
      <x:c r="G188" s="46" t="str">
        <x:v>Yes</x:v>
      </x:c>
      <x:c r="H188" s="47" t="str">
        <x:v>Domain test</x:v>
      </x:c>
    </x:row>
    <x:row r="189" ht="42" customHeight="1">
      <x:c r="A189" s="45" t="str">
        <x:v>AC-J-006</x:v>
      </x:c>
      <x:c r="B189" s="46" t="str">
        <x:v>J. Pathways, Goals, and Milestones</x:v>
      </x:c>
      <x:c r="C189" s="46" t="str">
        <x:v>FR-J-006</x:v>
      </x:c>
      <x:c r="D189" s="46" t="str">
        <x:v>Given the applicable Pathways, Goals, and Milestones preconditions and a valid Local Profile</x:v>
      </x:c>
      <x:c r="E189" s="46" t="str">
        <x:v>When the user performs the relevant action or the relevant system condition occurs</x:v>
      </x:c>
      <x:c r="F189" s="46" t="str">
        <x:v>Then be able to reorder Goals and Milestones.</x:v>
      </x:c>
      <x:c r="G189" s="46" t="str">
        <x:v>Yes</x:v>
      </x:c>
      <x:c r="H189" s="47" t="str">
        <x:v>Widget test</x:v>
      </x:c>
    </x:row>
    <x:row r="190" ht="42" customHeight="1">
      <x:c r="A190" s="45" t="str">
        <x:v>AC-J-007</x:v>
      </x:c>
      <x:c r="B190" s="46" t="str">
        <x:v>J. Pathways, Goals, and Milestones</x:v>
      </x:c>
      <x:c r="C190" s="46" t="str">
        <x:v>FR-J-007</x:v>
      </x:c>
      <x:c r="D190" s="46" t="str">
        <x:v>Given the applicable Pathways, Goals, and Milestones preconditions and a valid Local Profile</x:v>
      </x:c>
      <x:c r="E190" s="46" t="str">
        <x:v>When the user performs the relevant action or the relevant system condition occurs</x:v>
      </x:c>
      <x:c r="F190" s="46" t="str">
        <x:v>Then be able to pause supported records.</x:v>
      </x:c>
      <x:c r="G190" s="46" t="str">
        <x:v>Yes</x:v>
      </x:c>
      <x:c r="H190" s="47" t="str">
        <x:v>Widget test</x:v>
      </x:c>
    </x:row>
    <x:row r="191" ht="42" customHeight="1">
      <x:c r="A191" s="45" t="str">
        <x:v>AC-J-008</x:v>
      </x:c>
      <x:c r="B191" s="46" t="str">
        <x:v>J. Pathways, Goals, and Milestones</x:v>
      </x:c>
      <x:c r="C191" s="46" t="str">
        <x:v>FR-J-008</x:v>
      </x:c>
      <x:c r="D191" s="46" t="str">
        <x:v>Given the applicable Pathways, Goals, and Milestones preconditions and a valid Local Profile</x:v>
      </x:c>
      <x:c r="E191" s="46" t="str">
        <x:v>When the user performs the relevant action or the relevant system condition occurs</x:v>
      </x:c>
      <x:c r="F191" s="46" t="str">
        <x:v>Then be able to complete supported records.</x:v>
      </x:c>
      <x:c r="G191" s="46" t="str">
        <x:v>Yes</x:v>
      </x:c>
      <x:c r="H191" s="47" t="str">
        <x:v>Widget test</x:v>
      </x:c>
    </x:row>
    <x:row r="192" ht="42" customHeight="1">
      <x:c r="A192" s="45" t="str">
        <x:v>AC-J-009</x:v>
      </x:c>
      <x:c r="B192" s="46" t="str">
        <x:v>J. Pathways, Goals, and Milestones</x:v>
      </x:c>
      <x:c r="C192" s="46" t="str">
        <x:v>FR-J-009</x:v>
      </x:c>
      <x:c r="D192" s="46" t="str">
        <x:v>Given the applicable Pathways, Goals, and Milestones preconditions and a valid Local Profile</x:v>
      </x:c>
      <x:c r="E192" s="46" t="str">
        <x:v>When the user performs the relevant action or the relevant system condition occurs</x:v>
      </x:c>
      <x:c r="F192" s="46" t="str">
        <x:v>Then be able to reopen completed records.</x:v>
      </x:c>
      <x:c r="G192" s="46" t="str">
        <x:v>No</x:v>
      </x:c>
      <x:c r="H192" s="47" t="str">
        <x:v>Widget test</x:v>
      </x:c>
    </x:row>
    <x:row r="193" ht="42" customHeight="1">
      <x:c r="A193" s="45" t="str">
        <x:v>AC-J-010</x:v>
      </x:c>
      <x:c r="B193" s="46" t="str">
        <x:v>J. Pathways, Goals, and Milestones</x:v>
      </x:c>
      <x:c r="C193" s="46" t="str">
        <x:v>FR-J-010</x:v>
      </x:c>
      <x:c r="D193" s="46" t="str">
        <x:v>Given the applicable Pathways, Goals, and Milestones preconditions and a valid Local Profile</x:v>
      </x:c>
      <x:c r="E193" s="46" t="str">
        <x:v>When the user performs the relevant action or the relevant system condition occurs</x:v>
      </x:c>
      <x:c r="F193" s="46" t="str">
        <x:v>Then be able to archive supported records.</x:v>
      </x:c>
      <x:c r="G193" s="46" t="str">
        <x:v>No</x:v>
      </x:c>
      <x:c r="H193" s="47" t="str">
        <x:v>Widget test</x:v>
      </x:c>
    </x:row>
    <x:row r="194" ht="42" customHeight="1">
      <x:c r="A194" s="45" t="str">
        <x:v>AC-J-011</x:v>
      </x:c>
      <x:c r="B194" s="46" t="str">
        <x:v>J. Pathways, Goals, and Milestones</x:v>
      </x:c>
      <x:c r="C194" s="46" t="str">
        <x:v>FR-J-011</x:v>
      </x:c>
      <x:c r="D194" s="46" t="str">
        <x:v>Given the applicable Pathways, Goals, and Milestones preconditions and a valid Local Profile</x:v>
      </x:c>
      <x:c r="E194" s="46" t="str">
        <x:v>When the user performs the relevant action or the relevant system condition occurs</x:v>
      </x:c>
      <x:c r="F194" s="46" t="str">
        <x:v>Then preserve completion history.</x:v>
      </x:c>
      <x:c r="G194" s="46" t="str">
        <x:v>Yes</x:v>
      </x:c>
      <x:c r="H194" s="47" t="str">
        <x:v>Domain test</x:v>
      </x:c>
    </x:row>
    <x:row r="195" ht="42" customHeight="1">
      <x:c r="A195" s="45" t="str">
        <x:v>AC-J-012</x:v>
      </x:c>
      <x:c r="B195" s="46" t="str">
        <x:v>J. Pathways, Goals, and Milestones</x:v>
      </x:c>
      <x:c r="C195" s="46" t="str">
        <x:v>FR-J-012</x:v>
      </x:c>
      <x:c r="D195" s="46" t="str">
        <x:v>Given the applicable Pathways, Goals, and Milestones preconditions and a valid Local Profile</x:v>
      </x:c>
      <x:c r="E195" s="46" t="str">
        <x:v>When the user performs the relevant action or the relevant system condition occurs</x:v>
      </x:c>
      <x:c r="F195" s="46" t="str">
        <x:v>Then display each item’s completion method.</x:v>
      </x:c>
      <x:c r="G195" s="46" t="str">
        <x:v>No</x:v>
      </x:c>
      <x:c r="H195" s="47" t="str">
        <x:v>Widget test</x:v>
      </x:c>
    </x:row>
    <x:row r="196" ht="42" customHeight="1">
      <x:c r="A196" s="45" t="str">
        <x:v>AC-J-013</x:v>
      </x:c>
      <x:c r="B196" s="46" t="str">
        <x:v>J. Pathways, Goals, and Milestones</x:v>
      </x:c>
      <x:c r="C196" s="46" t="str">
        <x:v>FR-J-013</x:v>
      </x:c>
      <x:c r="D196" s="46" t="str">
        <x:v>Given the applicable Pathways, Goals, and Milestones preconditions and a valid Local Profile</x:v>
      </x:c>
      <x:c r="E196" s="46" t="str">
        <x:v>When the user performs the relevant action or the relevant system condition occurs</x:v>
      </x:c>
      <x:c r="F196" s="46" t="str">
        <x:v>Then provide factual source access for derived progress.</x:v>
      </x:c>
      <x:c r="G196" s="46" t="str">
        <x:v>Yes</x:v>
      </x:c>
      <x:c r="H196" s="47" t="str">
        <x:v>Domain test</x:v>
      </x:c>
    </x:row>
    <x:row r="197" ht="42" customHeight="1">
      <x:c r="A197" s="45" t="str">
        <x:v>AC-J-014</x:v>
      </x:c>
      <x:c r="B197" s="46" t="str">
        <x:v>J. Pathways, Goals, and Milestones</x:v>
      </x:c>
      <x:c r="C197" s="46" t="str">
        <x:v>FR-J-014</x:v>
      </x:c>
      <x:c r="D197" s="46" t="str">
        <x:v>Given the applicable Pathways, Goals, and Milestones preconditions and a valid Local Profile</x:v>
      </x:c>
      <x:c r="E197" s="46" t="str">
        <x:v>When the user performs the relevant action or the relevant system condition occurs</x:v>
      </x:c>
      <x:c r="F197" s="46" t="str">
        <x:v>Then not infer progress from titles.</x:v>
      </x:c>
      <x:c r="G197" s="46" t="str">
        <x:v>Yes</x:v>
      </x:c>
      <x:c r="H197" s="47" t="str">
        <x:v>Domain test</x:v>
      </x:c>
    </x:row>
    <x:row r="198" ht="42" customHeight="1">
      <x:c r="A198" s="45" t="str">
        <x:v>AC-J-015</x:v>
      </x:c>
      <x:c r="B198" s="46" t="str">
        <x:v>J. Pathways, Goals, and Milestones</x:v>
      </x:c>
      <x:c r="C198" s="46" t="str">
        <x:v>FR-J-015</x:v>
      </x:c>
      <x:c r="D198" s="46" t="str">
        <x:v>Given the applicable Pathways, Goals, and Milestones preconditions and a valid Local Profile</x:v>
      </x:c>
      <x:c r="E198" s="46" t="str">
        <x:v>When the user performs the relevant action or the relevant system condition occurs</x:v>
      </x:c>
      <x:c r="F198" s="46" t="str">
        <x:v>Then not display unexplained percentages.</x:v>
      </x:c>
      <x:c r="G198" s="46" t="str">
        <x:v>Yes</x:v>
      </x:c>
      <x:c r="H198" s="47" t="str">
        <x:v>Widget test</x:v>
      </x:c>
    </x:row>
    <x:row r="199" ht="42" customHeight="1">
      <x:c r="A199" s="45" t="str">
        <x:v>AC-J-016</x:v>
      </x:c>
      <x:c r="B199" s="46" t="str">
        <x:v>J. Pathways, Goals, and Milestones</x:v>
      </x:c>
      <x:c r="C199" s="46" t="str">
        <x:v>FR-J-016</x:v>
      </x:c>
      <x:c r="D199" s="46" t="str">
        <x:v>Given the applicable Pathways, Goals, and Milestones preconditions and a valid Local Profile</x:v>
      </x:c>
      <x:c r="E199" s="46" t="str">
        <x:v>When the user performs the relevant action or the relevant system condition occurs</x:v>
      </x:c>
      <x:c r="F199" s="46" t="str">
        <x:v>Then be able to create Tasks and Calendar Events from Pathway context.</x:v>
      </x:c>
      <x:c r="G199" s="46" t="str">
        <x:v>No</x:v>
      </x:c>
      <x:c r="H199" s="47" t="str">
        <x:v>Widget test / Integration test</x:v>
      </x:c>
    </x:row>
    <x:row r="200" ht="42" customHeight="1">
      <x:c r="A200" s="45" t="str">
        <x:v>AC-J-017</x:v>
      </x:c>
      <x:c r="B200" s="46" t="str">
        <x:v>J. Pathways, Goals, and Milestones</x:v>
      </x:c>
      <x:c r="C200" s="46" t="str">
        <x:v>FR-J-017</x:v>
      </x:c>
      <x:c r="D200" s="46" t="str">
        <x:v>Given the applicable Pathways, Goals, and Milestones preconditions and a valid Local Profile</x:v>
      </x:c>
      <x:c r="E200" s="46" t="str">
        <x:v>When the user performs the relevant action or the relevant system condition occurs</x:v>
      </x:c>
      <x:c r="F200" s="46" t="str">
        <x:v>Then linked Task and event statuses shall remain independent.</x:v>
      </x:c>
      <x:c r="G200" s="46" t="str">
        <x:v>No</x:v>
      </x:c>
      <x:c r="H200" s="47" t="str">
        <x:v>Domain test</x:v>
      </x:c>
    </x:row>
    <x:row r="201" ht="42" customHeight="1">
      <x:c r="A201" s="45" t="str">
        <x:v>AC-J-018</x:v>
      </x:c>
      <x:c r="B201" s="46" t="str">
        <x:v>J. Pathways, Goals, and Milestones</x:v>
      </x:c>
      <x:c r="C201" s="46" t="str">
        <x:v>FR-J-018</x:v>
      </x:c>
      <x:c r="D201" s="46" t="str">
        <x:v>Given the applicable Pathways, Goals, and Milestones preconditions and a valid Local Profile</x:v>
      </x:c>
      <x:c r="E201" s="46" t="str">
        <x:v>When the user performs the relevant action or the relevant system condition occurs</x:v>
      </x:c>
      <x:c r="F201" s="46" t="str">
        <x:v>Then bundled updates shall preserve user state.</x:v>
      </x:c>
      <x:c r="G201" s="46" t="str">
        <x:v>Yes</x:v>
      </x:c>
      <x:c r="H201" s="47" t="str">
        <x:v>Domain test</x:v>
      </x:c>
    </x:row>
    <x:row r="202" ht="42" customHeight="1">
      <x:c r="A202" s="45" t="str">
        <x:v>AC-J-019</x:v>
      </x:c>
      <x:c r="B202" s="46" t="str">
        <x:v>J. Pathways, Goals, and Milestones</x:v>
      </x:c>
      <x:c r="C202" s="46" t="str">
        <x:v>FR-J-019</x:v>
      </x:c>
      <x:c r="D202" s="46" t="str">
        <x:v>Given the applicable Pathways, Goals, and Milestones preconditions and a valid Local Profile</x:v>
      </x:c>
      <x:c r="E202" s="46" t="str">
        <x:v>When the user performs the relevant action or the relevant system condition occurs</x:v>
      </x:c>
      <x:c r="F202" s="46" t="str">
        <x:v>Then covenant Path shall use neutral factual presentation.</x:v>
      </x:c>
      <x:c r="G202" s="46" t="str">
        <x:v>Yes</x:v>
      </x:c>
      <x:c r="H202" s="47" t="str">
        <x:v>Domain test / Manual review</x:v>
      </x:c>
    </x:row>
    <x:row r="203" ht="42" customHeight="1">
      <x:c r="A203" s="45" t="str">
        <x:v>AC-J-020</x:v>
      </x:c>
      <x:c r="B203" s="46" t="str">
        <x:v>J. Pathways, Goals, and Milestones</x:v>
      </x:c>
      <x:c r="C203" s="46" t="str">
        <x:v>FR-J-020</x:v>
      </x:c>
      <x:c r="D203" s="46" t="str">
        <x:v>Given the applicable Pathways, Goals, and Milestones preconditions and a valid Local Profile</x:v>
      </x:c>
      <x:c r="E203" s="46" t="str">
        <x:v>When the user performs the relevant action or the relevant system condition occurs</x:v>
      </x:c>
      <x:c r="F203" s="46" t="str">
        <x:v>Then covenant Path shall not provide spiritual-quality scoring or sharing.</x:v>
      </x:c>
      <x:c r="G203" s="46" t="str">
        <x:v>Yes</x:v>
      </x:c>
      <x:c r="H203" s="47" t="str">
        <x:v>Manual review</x:v>
      </x:c>
    </x:row>
    <x:row r="204" ht="42" customHeight="1">
      <x:c r="A204" s="45" t="str">
        <x:v>AC-J-021</x:v>
      </x:c>
      <x:c r="B204" s="46" t="str">
        <x:v>J. Pathways, Goals, and Milestones</x:v>
      </x:c>
      <x:c r="C204" s="46" t="str">
        <x:v>FR-J-021</x:v>
      </x:c>
      <x:c r="D204" s="46" t="str">
        <x:v>Given the applicable Pathways, Goals, and Milestones preconditions and a valid Local Profile</x:v>
      </x:c>
      <x:c r="E204" s="46" t="str">
        <x:v>When the user performs the relevant action or the relevant system condition occurs</x:v>
      </x:c>
      <x:c r="F204" s="46" t="str">
        <x:v>Then function offline.</x:v>
      </x:c>
      <x:c r="G204" s="46" t="str">
        <x:v>Yes</x:v>
      </x:c>
      <x:c r="H204" s="47" t="str">
        <x:v>Domain test</x:v>
      </x:c>
    </x:row>
    <x:row r="205" ht="42" customHeight="1">
      <x:c r="A205" s="45" t="str">
        <x:v>AC-J-022</x:v>
      </x:c>
      <x:c r="B205" s="46" t="str">
        <x:v>J. Pathways, Goals, and Milestones</x:v>
      </x:c>
      <x:c r="C205" s="46" t="str">
        <x:v>FR-J-022</x:v>
      </x:c>
      <x:c r="D205" s="46" t="str">
        <x:v>Given the applicable Pathways, Goals, and Milestones preconditions and a valid Local Profile</x:v>
      </x:c>
      <x:c r="E205" s="46" t="str">
        <x:v>When the user performs the relevant action or the relevant system condition occurs</x:v>
      </x:c>
      <x:c r="F205" s="46" t="str">
        <x:v>Then private reflections shall remain non-contributory.</x:v>
      </x:c>
      <x:c r="G205" s="46" t="str">
        <x:v>No</x:v>
      </x:c>
      <x:c r="H205" s="47" t="str">
        <x:v>Domain test</x:v>
      </x:c>
    </x:row>
    <x:row r="206" ht="42" customHeight="1">
      <x:c r="A206" s="45" t="str">
        <x:v>AC-K-001</x:v>
      </x:c>
      <x:c r="B206" s="46" t="str">
        <x:v>K. Covenant Path</x:v>
      </x:c>
      <x:c r="C206" s="46" t="str">
        <x:v>FR-K-001</x:v>
      </x:c>
      <x:c r="D206" s="46" t="str">
        <x:v>Given the applicable Covenant Path preconditions and a valid Local Profile</x:v>
      </x:c>
      <x:c r="E206" s="46" t="str">
        <x:v>When the user performs the relevant action or the relevant system condition occurs</x:v>
      </x:c>
      <x:c r="F206" s="46" t="str">
        <x:v>Then present Covenant Path as optional and private.</x:v>
      </x:c>
      <x:c r="G206" s="46" t="str">
        <x:v>Yes</x:v>
      </x:c>
      <x:c r="H206" s="47" t="str">
        <x:v>Domain test</x:v>
      </x:c>
    </x:row>
    <x:row r="207" ht="42" customHeight="1">
      <x:c r="A207" s="45" t="str">
        <x:v>AC-K-002</x:v>
      </x:c>
      <x:c r="B207" s="46" t="str">
        <x:v>K. Covenant Path</x:v>
      </x:c>
      <x:c r="C207" s="46" t="str">
        <x:v>FR-K-002</x:v>
      </x:c>
      <x:c r="D207" s="46" t="str">
        <x:v>Given the applicable Covenant Path preconditions and a valid Local Profile</x:v>
      </x:c>
      <x:c r="E207" s="46" t="str">
        <x:v>When the user performs the relevant action or the relevant system condition occurs</x:v>
      </x:c>
      <x:c r="F207" s="46" t="str">
        <x:v>Then be able to activate, pause, reopen, and archive Covenant Path.</x:v>
      </x:c>
      <x:c r="G207" s="46" t="str">
        <x:v>Yes</x:v>
      </x:c>
      <x:c r="H207" s="47" t="str">
        <x:v>Widget test</x:v>
      </x:c>
    </x:row>
    <x:row r="208" ht="42" customHeight="1">
      <x:c r="A208" s="45" t="str">
        <x:v>AC-K-003</x:v>
      </x:c>
      <x:c r="B208" s="46" t="str">
        <x:v>K. Covenant Path</x:v>
      </x:c>
      <x:c r="C208" s="46" t="str">
        <x:v>FR-K-003</x:v>
      </x:c>
      <x:c r="D208" s="46" t="str">
        <x:v>Given the applicable Covenant Path preconditions and a valid Local Profile</x:v>
      </x:c>
      <x:c r="E208" s="46" t="str">
        <x:v>When the user performs the relevant action or the relevant system condition occurs</x:v>
      </x:c>
      <x:c r="F208" s="46" t="str">
        <x:v>Then be able to activate selected Goals or Milestones without activating every suggestion.</x:v>
      </x:c>
      <x:c r="G208" s="46" t="str">
        <x:v>Yes</x:v>
      </x:c>
      <x:c r="H208" s="47" t="str">
        <x:v>Widget test</x:v>
      </x:c>
    </x:row>
    <x:row r="209" ht="42" customHeight="1">
      <x:c r="A209" s="45" t="str">
        <x:v>AC-K-004</x:v>
      </x:c>
      <x:c r="B209" s="46" t="str">
        <x:v>K. Covenant Path</x:v>
      </x:c>
      <x:c r="C209" s="46" t="str">
        <x:v>FR-K-004</x:v>
      </x:c>
      <x:c r="D209" s="46" t="str">
        <x:v>Given the applicable Covenant Path preconditions and a valid Local Profile</x:v>
      </x:c>
      <x:c r="E209" s="46" t="str">
        <x:v>When the user performs the relevant action or the relevant system condition occurs</x:v>
      </x:c>
      <x:c r="F209" s="46" t="str">
        <x:v>Then be able to create Tasks and Calendar Events from Covenant Path context.</x:v>
      </x:c>
      <x:c r="G209" s="46" t="str">
        <x:v>Yes</x:v>
      </x:c>
      <x:c r="H209" s="47" t="str">
        <x:v>Widget test / Integration test</x:v>
      </x:c>
    </x:row>
    <x:row r="210" ht="42" customHeight="1">
      <x:c r="A210" s="45" t="str">
        <x:v>AC-K-005</x:v>
      </x:c>
      <x:c r="B210" s="46" t="str">
        <x:v>K. Covenant Path</x:v>
      </x:c>
      <x:c r="C210" s="46" t="str">
        <x:v>FR-K-005</x:v>
      </x:c>
      <x:c r="D210" s="46" t="str">
        <x:v>Given the applicable Covenant Path preconditions and a valid Local Profile</x:v>
      </x:c>
      <x:c r="E210" s="46" t="str">
        <x:v>When the user performs the relevant action or the relevant system condition occurs</x:v>
      </x:c>
      <x:c r="F210" s="46" t="str">
        <x:v>Then linked records shall retain independent identities and statuses.</x:v>
      </x:c>
      <x:c r="G210" s="46" t="str">
        <x:v>Yes</x:v>
      </x:c>
      <x:c r="H210" s="47" t="str">
        <x:v>Domain test</x:v>
      </x:c>
    </x:row>
    <x:row r="211" ht="42" customHeight="1">
      <x:c r="A211" s="45" t="str">
        <x:v>AC-K-006</x:v>
      </x:c>
      <x:c r="B211" s="46" t="str">
        <x:v>K. Covenant Path</x:v>
      </x:c>
      <x:c r="C211" s="46" t="str">
        <x:v>FR-K-006</x:v>
      </x:c>
      <x:c r="D211" s="46" t="str">
        <x:v>Given the applicable Covenant Path preconditions and a valid Local Profile</x:v>
      </x:c>
      <x:c r="E211" s="46" t="str">
        <x:v>When the user performs the relevant action or the relevant system condition occurs</x:v>
      </x:c>
      <x:c r="F211" s="46" t="str">
        <x:v>Then distinguish Scheduled Potential from Actual.</x:v>
      </x:c>
      <x:c r="G211" s="46" t="str">
        <x:v>Yes</x:v>
      </x:c>
      <x:c r="H211" s="47" t="str">
        <x:v>Domain test</x:v>
      </x:c>
    </x:row>
    <x:row r="212" ht="42" customHeight="1">
      <x:c r="A212" s="45" t="str">
        <x:v>AC-K-007</x:v>
      </x:c>
      <x:c r="B212" s="46" t="str">
        <x:v>K. Covenant Path</x:v>
      </x:c>
      <x:c r="C212" s="46" t="str">
        <x:v>FR-K-007</x:v>
      </x:c>
      <x:c r="D212" s="46" t="str">
        <x:v>Given the applicable Covenant Path preconditions and a valid Local Profile</x:v>
      </x:c>
      <x:c r="E212" s="46" t="str">
        <x:v>When the user performs the relevant action or the relevant system condition occurs</x:v>
      </x:c>
      <x:c r="F212" s="46" t="str">
        <x:v>Then be derived from valid Activity Ledger entries.</x:v>
      </x:c>
      <x:c r="G212" s="46" t="str">
        <x:v>Yes</x:v>
      </x:c>
      <x:c r="H212" s="47" t="str">
        <x:v>Domain test / Database test</x:v>
      </x:c>
    </x:row>
    <x:row r="213" ht="42" customHeight="1">
      <x:c r="A213" s="45" t="str">
        <x:v>AC-K-008</x:v>
      </x:c>
      <x:c r="B213" s="46" t="str">
        <x:v>K. Covenant Path</x:v>
      </x:c>
      <x:c r="C213" s="46" t="str">
        <x:v>FR-K-008</x:v>
      </x:c>
      <x:c r="D213" s="46" t="str">
        <x:v>Given the applicable Covenant Path preconditions and a valid Local Profile</x:v>
      </x:c>
      <x:c r="E213" s="46" t="str">
        <x:v>When the user performs the relevant action or the relevant system condition occurs</x:v>
      </x:c>
      <x:c r="F213" s="46" t="str">
        <x:v>Then be able to record optional private reflections.</x:v>
      </x:c>
      <x:c r="G213" s="46" t="str">
        <x:v>Yes</x:v>
      </x:c>
      <x:c r="H213" s="47" t="str">
        <x:v>Widget test</x:v>
      </x:c>
    </x:row>
    <x:row r="214" ht="42" customHeight="1">
      <x:c r="A214" s="45" t="str">
        <x:v>AC-K-009</x:v>
      </x:c>
      <x:c r="B214" s="46" t="str">
        <x:v>K. Covenant Path</x:v>
      </x:c>
      <x:c r="C214" s="46" t="str">
        <x:v>FR-K-009</x:v>
      </x:c>
      <x:c r="D214" s="46" t="str">
        <x:v>Given the applicable Covenant Path preconditions and a valid Local Profile</x:v>
      </x:c>
      <x:c r="E214" s="46" t="str">
        <x:v>When the user performs the relevant action or the relevant system condition occurs</x:v>
      </x:c>
      <x:c r="F214" s="46" t="str">
        <x:v>Then reflections shall not affect progress.</x:v>
      </x:c>
      <x:c r="G214" s="46" t="str">
        <x:v>Yes</x:v>
      </x:c>
      <x:c r="H214" s="47" t="str">
        <x:v>Domain test</x:v>
      </x:c>
    </x:row>
    <x:row r="215" ht="42" customHeight="1">
      <x:c r="A215" s="45" t="str">
        <x:v>AC-K-010</x:v>
      </x:c>
      <x:c r="B215" s="46" t="str">
        <x:v>K. Covenant Path</x:v>
      </x:c>
      <x:c r="C215" s="46" t="str">
        <x:v>FR-K-010</x:v>
      </x:c>
      <x:c r="D215" s="46" t="str">
        <x:v>Given the applicable Covenant Path preconditions and a valid Local Profile</x:v>
      </x:c>
      <x:c r="E215" s="46" t="str">
        <x:v>When the user performs the relevant action or the relevant system condition occurs</x:v>
      </x:c>
      <x:c r="F215" s="46" t="str">
        <x:v>Then provide factual contribution history for Scripture Study and Temple Visit.</x:v>
      </x:c>
      <x:c r="G215" s="46" t="str">
        <x:v>Yes</x:v>
      </x:c>
      <x:c r="H215" s="47" t="str">
        <x:v>Domain test</x:v>
      </x:c>
    </x:row>
    <x:row r="216" ht="42" customHeight="1">
      <x:c r="A216" s="45" t="str">
        <x:v>AC-K-011</x:v>
      </x:c>
      <x:c r="B216" s="46" t="str">
        <x:v>K. Covenant Path</x:v>
      </x:c>
      <x:c r="C216" s="46" t="str">
        <x:v>FR-K-011</x:v>
      </x:c>
      <x:c r="D216" s="46" t="str">
        <x:v>Given the applicable Covenant Path preconditions and a valid Local Profile</x:v>
      </x:c>
      <x:c r="E216" s="46" t="str">
        <x:v>When the user performs the relevant action or the relevant system condition occurs</x:v>
      </x:c>
      <x:c r="F216" s="46" t="str">
        <x:v>Then identify bundled and external resource content.</x:v>
      </x:c>
      <x:c r="G216" s="46" t="str">
        <x:v>No</x:v>
      </x:c>
      <x:c r="H216" s="47" t="str">
        <x:v>Integration test</x:v>
      </x:c>
    </x:row>
    <x:row r="217" ht="42" customHeight="1">
      <x:c r="A217" s="45" t="str">
        <x:v>AC-K-012</x:v>
      </x:c>
      <x:c r="B217" s="46" t="str">
        <x:v>K. Covenant Path</x:v>
      </x:c>
      <x:c r="C217" s="46" t="str">
        <x:v>FR-K-012</x:v>
      </x:c>
      <x:c r="D217" s="46" t="str">
        <x:v>Given the applicable Covenant Path preconditions and a valid Local Profile</x:v>
      </x:c>
      <x:c r="E217" s="46" t="str">
        <x:v>When the user performs the relevant action or the relevant system condition occurs</x:v>
      </x:c>
      <x:c r="F217" s="46" t="str">
        <x:v>Then bundled content shall remain available offline.</x:v>
      </x:c>
      <x:c r="G217" s="46" t="str">
        <x:v>Yes</x:v>
      </x:c>
      <x:c r="H217" s="47" t="str">
        <x:v>Domain test</x:v>
      </x:c>
    </x:row>
    <x:row r="218" ht="42" customHeight="1">
      <x:c r="A218" s="45" t="str">
        <x:v>AC-K-013</x:v>
      </x:c>
      <x:c r="B218" s="46" t="str">
        <x:v>K. Covenant Path</x:v>
      </x:c>
      <x:c r="C218" s="46" t="str">
        <x:v>FR-K-013</x:v>
      </x:c>
      <x:c r="D218" s="46" t="str">
        <x:v>Given the applicable Covenant Path preconditions and a valid Local Profile</x:v>
      </x:c>
      <x:c r="E218" s="46" t="str">
        <x:v>When the user performs the relevant action or the relevant system condition occurs</x:v>
      </x:c>
      <x:c r="F218" s="46" t="str">
        <x:v>Then content updates shall preserve user state.</x:v>
      </x:c>
      <x:c r="G218" s="46" t="str">
        <x:v>Yes</x:v>
      </x:c>
      <x:c r="H218" s="47" t="str">
        <x:v>Domain test</x:v>
      </x:c>
    </x:row>
    <x:row r="219" ht="42" customHeight="1">
      <x:c r="A219" s="45" t="str">
        <x:v>AC-K-014</x:v>
      </x:c>
      <x:c r="B219" s="46" t="str">
        <x:v>K. Covenant Path</x:v>
      </x:c>
      <x:c r="C219" s="46" t="str">
        <x:v>FR-K-014</x:v>
      </x:c>
      <x:c r="D219" s="46" t="str">
        <x:v>Given the applicable Covenant Path preconditions and a valid Local Profile</x:v>
      </x:c>
      <x:c r="E219" s="46" t="str">
        <x:v>When the user performs the relevant action or the relevant system condition occurs</x:v>
      </x:c>
      <x:c r="F219" s="46" t="str">
        <x:v>Then not generate spiritual-quality scores.</x:v>
      </x:c>
      <x:c r="G219" s="46" t="str">
        <x:v>Yes</x:v>
      </x:c>
      <x:c r="H219" s="47" t="str">
        <x:v>Manual review</x:v>
      </x:c>
    </x:row>
    <x:row r="220" ht="42" customHeight="1">
      <x:c r="A220" s="45" t="str">
        <x:v>AC-K-015</x:v>
      </x:c>
      <x:c r="B220" s="46" t="str">
        <x:v>K. Covenant Path</x:v>
      </x:c>
      <x:c r="C220" s="46" t="str">
        <x:v>FR-K-015</x:v>
      </x:c>
      <x:c r="D220" s="46" t="str">
        <x:v>Given the applicable Covenant Path preconditions and a valid Local Profile</x:v>
      </x:c>
      <x:c r="E220" s="46" t="str">
        <x:v>When the user performs the relevant action or the relevant system condition occurs</x:v>
      </x:c>
      <x:c r="F220" s="46" t="str">
        <x:v>Then not provide sharing or leader access.</x:v>
      </x:c>
      <x:c r="G220" s="46" t="str">
        <x:v>Yes</x:v>
      </x:c>
      <x:c r="H220" s="47" t="str">
        <x:v>Domain test</x:v>
      </x:c>
    </x:row>
    <x:row r="221" ht="42" customHeight="1">
      <x:c r="A221" s="45" t="str">
        <x:v>AC-K-016</x:v>
      </x:c>
      <x:c r="B221" s="46" t="str">
        <x:v>K. Covenant Path</x:v>
      </x:c>
      <x:c r="C221" s="46" t="str">
        <x:v>FR-K-016</x:v>
      </x:c>
      <x:c r="D221" s="46" t="str">
        <x:v>Given the applicable Covenant Path preconditions and a valid Local Profile</x:v>
      </x:c>
      <x:c r="E221" s="46" t="str">
        <x:v>When the user performs the relevant action or the relevant system condition occurs</x:v>
      </x:c>
      <x:c r="F221" s="46" t="str">
        <x:v>Then not require Church membership verification.</x:v>
      </x:c>
      <x:c r="G221" s="46" t="str">
        <x:v>Yes</x:v>
      </x:c>
      <x:c r="H221" s="47" t="str">
        <x:v>Domain test</x:v>
      </x:c>
    </x:row>
    <x:row r="222" ht="42" customHeight="1">
      <x:c r="A222" s="45" t="str">
        <x:v>AC-K-017</x:v>
      </x:c>
      <x:c r="B222" s="46" t="str">
        <x:v>K. Covenant Path</x:v>
      </x:c>
      <x:c r="C222" s="46" t="str">
        <x:v>FR-K-017</x:v>
      </x:c>
      <x:c r="D222" s="46" t="str">
        <x:v>Given the applicable Covenant Path preconditions and a valid Local Profile</x:v>
      </x:c>
      <x:c r="E222" s="46" t="str">
        <x:v>When the user performs the relevant action or the relevant system condition occurs</x:v>
      </x:c>
      <x:c r="F222" s="46" t="str">
        <x:v>Then not request unrelated permissions.</x:v>
      </x:c>
      <x:c r="G222" s="46" t="str">
        <x:v>Yes</x:v>
      </x:c>
      <x:c r="H222" s="47" t="str">
        <x:v>Widget test</x:v>
      </x:c>
    </x:row>
    <x:row r="223" ht="42" customHeight="1">
      <x:c r="A223" s="45" t="str">
        <x:v>AC-K-018</x:v>
      </x:c>
      <x:c r="B223" s="46" t="str">
        <x:v>K. Covenant Path</x:v>
      </x:c>
      <x:c r="C223" s="46" t="str">
        <x:v>FR-K-018</x:v>
      </x:c>
      <x:c r="D223" s="46" t="str">
        <x:v>Given the applicable Covenant Path preconditions and a valid Local Profile</x:v>
      </x:c>
      <x:c r="E223" s="46" t="str">
        <x:v>When the user performs the relevant action or the relevant system condition occurs</x:v>
      </x:c>
      <x:c r="F223" s="46" t="str">
        <x:v>Then display clear limitations of its role.</x:v>
      </x:c>
      <x:c r="G223" s="46" t="str">
        <x:v>No</x:v>
      </x:c>
      <x:c r="H223" s="47" t="str">
        <x:v>Widget test</x:v>
      </x:c>
    </x:row>
    <x:row r="224" ht="42" customHeight="1">
      <x:c r="A224" s="45" t="str">
        <x:v>AC-K-019</x:v>
      </x:c>
      <x:c r="B224" s="46" t="str">
        <x:v>K. Covenant Path</x:v>
      </x:c>
      <x:c r="C224" s="46" t="str">
        <x:v>FR-K-019</x:v>
      </x:c>
      <x:c r="D224" s="46" t="str">
        <x:v>Given the applicable Covenant Path preconditions and a valid Local Profile</x:v>
      </x:c>
      <x:c r="E224" s="46" t="str">
        <x:v>When the user performs the relevant action or the relevant system condition occurs</x:v>
      </x:c>
      <x:c r="F224" s="46" t="str">
        <x:v>Then use neutral factual language for missed or incomplete activities.</x:v>
      </x:c>
      <x:c r="G224" s="46" t="str">
        <x:v>Yes</x:v>
      </x:c>
      <x:c r="H224" s="47" t="str">
        <x:v>Domain test / Manual review</x:v>
      </x:c>
    </x:row>
    <x:row r="225" ht="42" customHeight="1">
      <x:c r="A225" s="45" t="str">
        <x:v>AC-K-020</x:v>
      </x:c>
      <x:c r="B225" s="46" t="str">
        <x:v>K. Covenant Path</x:v>
      </x:c>
      <x:c r="C225" s="46" t="str">
        <x:v>FR-K-020</x:v>
      </x:c>
      <x:c r="D225" s="46" t="str">
        <x:v>Given the applicable Covenant Path preconditions and a valid Local Profile</x:v>
      </x:c>
      <x:c r="E225" s="46" t="str">
        <x:v>When the user performs the relevant action or the relevant system condition occurs</x:v>
      </x:c>
      <x:c r="F225" s="46" t="str">
        <x:v>Then the feature shall function without an account.</x:v>
      </x:c>
      <x:c r="G225" s="46" t="str">
        <x:v>Yes</x:v>
      </x:c>
      <x:c r="H225" s="47" t="str">
        <x:v>Domain test</x:v>
      </x:c>
    </x:row>
    <x:row r="226" ht="42" customHeight="1">
      <x:c r="A226" s="45" t="str">
        <x:v>AC-L-001</x:v>
      </x:c>
      <x:c r="B226" s="46" t="str">
        <x:v>L. Contacts and Follow-Ups</x:v>
      </x:c>
      <x:c r="C226" s="46" t="str">
        <x:v>FR-L-001</x:v>
      </x:c>
      <x:c r="D226" s="46" t="str">
        <x:v>Given the applicable Contacts and Follow-Ups preconditions and a valid Local Profile</x:v>
      </x:c>
      <x:c r="E226" s="46" t="str">
        <x:v>When the user performs the relevant action or the relevant system condition occurs</x:v>
      </x:c>
      <x:c r="F226" s="46" t="str">
        <x:v>Then be able to create and edit contacts manually.</x:v>
      </x:c>
      <x:c r="G226" s="46" t="str">
        <x:v>Yes</x:v>
      </x:c>
      <x:c r="H226" s="47" t="str">
        <x:v>Widget test</x:v>
      </x:c>
    </x:row>
    <x:row r="227" ht="42" customHeight="1">
      <x:c r="A227" s="45" t="str">
        <x:v>AC-L-002</x:v>
      </x:c>
      <x:c r="B227" s="46" t="str">
        <x:v>L. Contacts and Follow-Ups</x:v>
      </x:c>
      <x:c r="C227" s="46" t="str">
        <x:v>FR-L-002</x:v>
      </x:c>
      <x:c r="D227" s="46" t="str">
        <x:v>Given the applicable Contacts and Follow-Ups preconditions and a valid Local Profile</x:v>
      </x:c>
      <x:c r="E227" s="46" t="str">
        <x:v>When the user performs the relevant action or the relevant system condition occurs</x:v>
      </x:c>
      <x:c r="F227" s="46" t="str">
        <x:v>Then be able to search contacts.</x:v>
      </x:c>
      <x:c r="G227" s="46" t="str">
        <x:v>Yes</x:v>
      </x:c>
      <x:c r="H227" s="47" t="str">
        <x:v>Widget test</x:v>
      </x:c>
    </x:row>
    <x:row r="228" ht="42" customHeight="1">
      <x:c r="A228" s="45" t="str">
        <x:v>AC-L-003</x:v>
      </x:c>
      <x:c r="B228" s="46" t="str">
        <x:v>L. Contacts and Follow-Ups</x:v>
      </x:c>
      <x:c r="C228" s="46" t="str">
        <x:v>FR-L-003</x:v>
      </x:c>
      <x:c r="D228" s="46" t="str">
        <x:v>Given the applicable Contacts and Follow-Ups preconditions and a valid Local Profile</x:v>
      </x:c>
      <x:c r="E228" s="46" t="str">
        <x:v>When the user performs the relevant action or the relevant system condition occurs</x:v>
      </x:c>
      <x:c r="F228" s="46" t="str">
        <x:v>Then be able to assign tags and favorites.</x:v>
      </x:c>
      <x:c r="G228" s="46" t="str">
        <x:v>Yes</x:v>
      </x:c>
      <x:c r="H228" s="47" t="str">
        <x:v>Widget test</x:v>
      </x:c>
    </x:row>
    <x:row r="229" ht="42" customHeight="1">
      <x:c r="A229" s="45" t="str">
        <x:v>AC-L-004</x:v>
      </x:c>
      <x:c r="B229" s="46" t="str">
        <x:v>L. Contacts and Follow-Ups</x:v>
      </x:c>
      <x:c r="C229" s="46" t="str">
        <x:v>FR-L-004</x:v>
      </x:c>
      <x:c r="D229" s="46" t="str">
        <x:v>Given the applicable Contacts and Follow-Ups preconditions and a valid Local Profile</x:v>
      </x:c>
      <x:c r="E229" s="46" t="str">
        <x:v>When the user performs the relevant action or the relevant system condition occurs</x:v>
      </x:c>
      <x:c r="F229" s="46" t="str">
        <x:v>Then be able to archive and restore contacts.</x:v>
      </x:c>
      <x:c r="G229" s="46" t="str">
        <x:v>Yes</x:v>
      </x:c>
      <x:c r="H229" s="47" t="str">
        <x:v>Database test / Widget test</x:v>
      </x:c>
    </x:row>
    <x:row r="230" ht="42" customHeight="1">
      <x:c r="A230" s="45" t="str">
        <x:v>AC-L-005</x:v>
      </x:c>
      <x:c r="B230" s="46" t="str">
        <x:v>L. Contacts and Follow-Ups</x:v>
      </x:c>
      <x:c r="C230" s="46" t="str">
        <x:v>FR-L-005</x:v>
      </x:c>
      <x:c r="D230" s="46" t="str">
        <x:v>Given the applicable Contacts and Follow-Ups preconditions and a valid Local Profile</x:v>
      </x:c>
      <x:c r="E230" s="46" t="str">
        <x:v>When the user performs the relevant action or the relevant system condition occurs</x:v>
      </x:c>
      <x:c r="F230" s="46" t="str">
        <x:v>Then be able to create follow-up Tasks and Calendar Events.</x:v>
      </x:c>
      <x:c r="G230" s="46" t="str">
        <x:v>Yes</x:v>
      </x:c>
      <x:c r="H230" s="47" t="str">
        <x:v>Widget test / Integration test</x:v>
      </x:c>
    </x:row>
    <x:row r="231" ht="42" customHeight="1">
      <x:c r="A231" s="45" t="str">
        <x:v>AC-L-006</x:v>
      </x:c>
      <x:c r="B231" s="46" t="str">
        <x:v>L. Contacts and Follow-Ups</x:v>
      </x:c>
      <x:c r="C231" s="46" t="str">
        <x:v>FR-L-006</x:v>
      </x:c>
      <x:c r="D231" s="46" t="str">
        <x:v>Given the applicable Contacts and Follow-Ups preconditions and a valid Local Profile</x:v>
      </x:c>
      <x:c r="E231" s="46" t="str">
        <x:v>When the user performs the relevant action or the relevant system condition occurs</x:v>
      </x:c>
      <x:c r="F231" s="46" t="str">
        <x:v>Then keep follow-ups separate from Contact records.</x:v>
      </x:c>
      <x:c r="G231" s="46" t="str">
        <x:v>Yes</x:v>
      </x:c>
      <x:c r="H231" s="47" t="str">
        <x:v>Domain test</x:v>
      </x:c>
    </x:row>
    <x:row r="232" ht="42" customHeight="1">
      <x:c r="A232" s="45" t="str">
        <x:v>AC-L-007</x:v>
      </x:c>
      <x:c r="B232" s="46" t="str">
        <x:v>L. Contacts and Follow-Ups</x:v>
      </x:c>
      <x:c r="C232" s="46" t="str">
        <x:v>FR-L-007</x:v>
      </x:c>
      <x:c r="D232" s="46" t="str">
        <x:v>Given the applicable Contacts and Follow-Ups preconditions and a valid Local Profile</x:v>
      </x:c>
      <x:c r="E232" s="46" t="str">
        <x:v>When the user performs the relevant action or the relevant system condition occurs</x:v>
      </x:c>
      <x:c r="F232" s="46" t="str">
        <x:v>Then be able to confirm meaningful interactions through a structured report.</x:v>
      </x:c>
      <x:c r="G232" s="46" t="str">
        <x:v>Yes</x:v>
      </x:c>
      <x:c r="H232" s="47" t="str">
        <x:v>Widget test</x:v>
      </x:c>
    </x:row>
    <x:row r="233" ht="42" customHeight="1">
      <x:c r="A233" s="45" t="str">
        <x:v>AC-L-008</x:v>
      </x:c>
      <x:c r="B233" s="46" t="str">
        <x:v>L. Contacts and Follow-Ups</x:v>
      </x:c>
      <x:c r="C233" s="46" t="str">
        <x:v>FR-L-008</x:v>
      </x:c>
      <x:c r="D233" s="46" t="str">
        <x:v>Given the applicable Contacts and Follow-Ups preconditions and a valid Local Profile</x:v>
      </x:c>
      <x:c r="E233" s="46" t="str">
        <x:v>When the user performs the relevant action or the relevant system condition occurs</x:v>
      </x:c>
      <x:c r="F233" s="46" t="str">
        <x:v>Then meaningful Connections Actual shall derive from Activity Ledger entries.</x:v>
      </x:c>
      <x:c r="G233" s="46" t="str">
        <x:v>Yes</x:v>
      </x:c>
      <x:c r="H233" s="47" t="str">
        <x:v>Domain test / Database test</x:v>
      </x:c>
    </x:row>
    <x:row r="234" ht="42" customHeight="1">
      <x:c r="A234" s="45" t="str">
        <x:v>AC-L-009</x:v>
      </x:c>
      <x:c r="B234" s="46" t="str">
        <x:v>L. Contacts and Follow-Ups</x:v>
      </x:c>
      <x:c r="C234" s="46" t="str">
        <x:v>FR-L-009</x:v>
      </x:c>
      <x:c r="D234" s="46" t="str">
        <x:v>Given the applicable Contacts and Follow-Ups preconditions and a valid Local Profile</x:v>
      </x:c>
      <x:c r="E234" s="46" t="str">
        <x:v>When the user performs the relevant action or the relevant system condition occurs</x:v>
      </x:c>
      <x:c r="F234" s="46" t="str">
        <x:v>Then planned interactions shall remain Scheduled Potential.</x:v>
      </x:c>
      <x:c r="G234" s="46" t="str">
        <x:v>No</x:v>
      </x:c>
      <x:c r="H234" s="47" t="str">
        <x:v>Domain test</x:v>
      </x:c>
    </x:row>
    <x:row r="235" ht="42" customHeight="1">
      <x:c r="A235" s="45" t="str">
        <x:v>AC-L-010</x:v>
      </x:c>
      <x:c r="B235" s="46" t="str">
        <x:v>L. Contacts and Follow-Ups</x:v>
      </x:c>
      <x:c r="C235" s="46" t="str">
        <x:v>FR-L-010</x:v>
      </x:c>
      <x:c r="D235" s="46" t="str">
        <x:v>Given the applicable Contacts and Follow-Ups preconditions and a valid Local Profile</x:v>
      </x:c>
      <x:c r="E235" s="46" t="str">
        <x:v>When the user performs the relevant action or the relevant system condition occurs</x:v>
      </x:c>
      <x:c r="F235" s="46" t="str">
        <x:v>Then prevent duplicate interaction contributions.</x:v>
      </x:c>
      <x:c r="G235" s="46" t="str">
        <x:v>Yes</x:v>
      </x:c>
      <x:c r="H235" s="47" t="str">
        <x:v>Domain test</x:v>
      </x:c>
    </x:row>
    <x:row r="236" ht="42" customHeight="1">
      <x:c r="A236" s="45" t="str">
        <x:v>AC-L-011</x:v>
      </x:c>
      <x:c r="B236" s="46" t="str">
        <x:v>L. Contacts and Follow-Ups</x:v>
      </x:c>
      <x:c r="C236" s="46" t="str">
        <x:v>FR-L-011</x:v>
      </x:c>
      <x:c r="D236" s="46" t="str">
        <x:v>Given the applicable Contacts and Follow-Ups preconditions and a valid Local Profile</x:v>
      </x:c>
      <x:c r="E236" s="46" t="str">
        <x:v>When the user performs the relevant action or the relevant system condition occurs</x:v>
      </x:c>
      <x:c r="F236" s="46" t="str">
        <x:v>Then not infer meaningfulness from titles, call logs, or messages.</x:v>
      </x:c>
      <x:c r="G236" s="46" t="str">
        <x:v>Yes</x:v>
      </x:c>
      <x:c r="H236" s="47" t="str">
        <x:v>Domain test</x:v>
      </x:c>
    </x:row>
    <x:row r="237" ht="42" customHeight="1">
      <x:c r="A237" s="45" t="str">
        <x:v>AC-L-012</x:v>
      </x:c>
      <x:c r="B237" s="46" t="str">
        <x:v>L. Contacts and Follow-Ups</x:v>
      </x:c>
      <x:c r="C237" s="46" t="str">
        <x:v>FR-L-012</x:v>
      </x:c>
      <x:c r="D237" s="46" t="str">
        <x:v>Given the applicable Contacts and Follow-Ups preconditions and a valid Local Profile</x:v>
      </x:c>
      <x:c r="E237" s="46" t="str">
        <x:v>When the user performs the relevant action or the relevant system condition occurs</x:v>
      </x:c>
      <x:c r="F237" s="46" t="str">
        <x:v>Then be able to import selected device contacts.</x:v>
      </x:c>
      <x:c r="G237" s="46" t="str">
        <x:v>No</x:v>
      </x:c>
      <x:c r="H237" s="47" t="str">
        <x:v>Widget test / Integration test</x:v>
      </x:c>
    </x:row>
    <x:row r="238" ht="42" customHeight="1">
      <x:c r="A238" s="45" t="str">
        <x:v>AC-L-013</x:v>
      </x:c>
      <x:c r="B238" s="46" t="str">
        <x:v>L. Contacts and Follow-Ups</x:v>
      </x:c>
      <x:c r="C238" s="46" t="str">
        <x:v>FR-L-013</x:v>
      </x:c>
      <x:c r="D238" s="46" t="str">
        <x:v>Given the applicable Contacts and Follow-Ups preconditions and a valid Local Profile</x:v>
      </x:c>
      <x:c r="E238" s="46" t="str">
        <x:v>When the user performs the relevant action or the relevant system condition occurs</x:v>
      </x:c>
      <x:c r="F238" s="46" t="str">
        <x:v>Then import shall remain optional.</x:v>
      </x:c>
      <x:c r="G238" s="46" t="str">
        <x:v>Yes</x:v>
      </x:c>
      <x:c r="H238" s="47" t="str">
        <x:v>Integration test</x:v>
      </x:c>
    </x:row>
    <x:row r="239" ht="42" customHeight="1">
      <x:c r="A239" s="45" t="str">
        <x:v>AC-L-014</x:v>
      </x:c>
      <x:c r="B239" s="46" t="str">
        <x:v>L. Contacts and Follow-Ups</x:v>
      </x:c>
      <x:c r="C239" s="46" t="str">
        <x:v>FR-L-014</x:v>
      </x:c>
      <x:c r="D239" s="46" t="str">
        <x:v>Given the applicable Contacts and Follow-Ups preconditions and a valid Local Profile</x:v>
      </x:c>
      <x:c r="E239" s="46" t="str">
        <x:v>When the user performs the relevant action or the relevant system condition occurs</x:v>
      </x:c>
      <x:c r="F239" s="46" t="str">
        <x:v>Then not require call-log or message-reading permission.</x:v>
      </x:c>
      <x:c r="G239" s="46" t="str">
        <x:v>Yes</x:v>
      </x:c>
      <x:c r="H239" s="47" t="str">
        <x:v>Widget test</x:v>
      </x:c>
    </x:row>
    <x:row r="240" ht="42" customHeight="1">
      <x:c r="A240" s="45" t="str">
        <x:v>AC-L-015</x:v>
      </x:c>
      <x:c r="B240" s="46" t="str">
        <x:v>L. Contacts and Follow-Ups</x:v>
      </x:c>
      <x:c r="C240" s="46" t="str">
        <x:v>FR-L-015</x:v>
      </x:c>
      <x:c r="D240" s="46" t="str">
        <x:v>Given the applicable Contacts and Follow-Ups preconditions and a valid Local Profile</x:v>
      </x:c>
      <x:c r="E240" s="46" t="str">
        <x:v>When the user performs the relevant action or the relevant system condition occurs</x:v>
      </x:c>
      <x:c r="F240" s="46" t="str">
        <x:v>Then be able to open supported external communication actions.</x:v>
      </x:c>
      <x:c r="G240" s="46" t="str">
        <x:v>No</x:v>
      </x:c>
      <x:c r="H240" s="47" t="str">
        <x:v>Widget test / Integration test</x:v>
      </x:c>
    </x:row>
    <x:row r="241" ht="42" customHeight="1">
      <x:c r="A241" s="45" t="str">
        <x:v>AC-L-016</x:v>
      </x:c>
      <x:c r="B241" s="46" t="str">
        <x:v>L. Contacts and Follow-Ups</x:v>
      </x:c>
      <x:c r="C241" s="46" t="str">
        <x:v>FR-L-016</x:v>
      </x:c>
      <x:c r="D241" s="46" t="str">
        <x:v>Given the applicable Contacts and Follow-Ups preconditions and a valid Local Profile</x:v>
      </x:c>
      <x:c r="E241" s="46" t="str">
        <x:v>When the user performs the relevant action or the relevant system condition occurs</x:v>
      </x:c>
      <x:c r="F241" s="46" t="str">
        <x:v>Then returning from an external action shall not create Actual automatically.</x:v>
      </x:c>
      <x:c r="G241" s="46" t="str">
        <x:v>Yes</x:v>
      </x:c>
      <x:c r="H241" s="47" t="str">
        <x:v>Domain test / Integration test</x:v>
      </x:c>
    </x:row>
    <x:row r="242" ht="42" customHeight="1">
      <x:c r="A242" s="45" t="str">
        <x:v>AC-L-017</x:v>
      </x:c>
      <x:c r="B242" s="46" t="str">
        <x:v>L. Contacts and Follow-Ups</x:v>
      </x:c>
      <x:c r="C242" s="46" t="str">
        <x:v>FR-L-017</x:v>
      </x:c>
      <x:c r="D242" s="46" t="str">
        <x:v>Given the applicable Contacts and Follow-Ups preconditions and a valid Local Profile</x:v>
      </x:c>
      <x:c r="E242" s="46" t="str">
        <x:v>When the user performs the relevant action or the relevant system condition occurs</x:v>
      </x:c>
      <x:c r="F242" s="46" t="str">
        <x:v>Then preserve contact history through archive and merge operations.</x:v>
      </x:c>
      <x:c r="G242" s="46" t="str">
        <x:v>Yes</x:v>
      </x:c>
      <x:c r="H242" s="47" t="str">
        <x:v>Domain test</x:v>
      </x:c>
    </x:row>
    <x:row r="243" ht="42" customHeight="1">
      <x:c r="A243" s="45" t="str">
        <x:v>AC-L-018</x:v>
      </x:c>
      <x:c r="B243" s="46" t="str">
        <x:v>L. Contacts and Follow-Ups</x:v>
      </x:c>
      <x:c r="C243" s="46" t="str">
        <x:v>FR-L-018</x:v>
      </x:c>
      <x:c r="D243" s="46" t="str">
        <x:v>Given the applicable Contacts and Follow-Ups preconditions and a valid Local Profile</x:v>
      </x:c>
      <x:c r="E243" s="46" t="str">
        <x:v>When the user performs the relevant action or the relevant system condition occurs</x:v>
      </x:c>
      <x:c r="F243" s="46" t="str">
        <x:v>Then operate offline.</x:v>
      </x:c>
      <x:c r="G243" s="46" t="str">
        <x:v>Yes</x:v>
      </x:c>
      <x:c r="H243" s="47" t="str">
        <x:v>Domain test</x:v>
      </x:c>
    </x:row>
    <x:row r="244" ht="42" customHeight="1">
      <x:c r="A244" s="45" t="str">
        <x:v>AC-L-019</x:v>
      </x:c>
      <x:c r="B244" s="46" t="str">
        <x:v>L. Contacts and Follow-Ups</x:v>
      </x:c>
      <x:c r="C244" s="46" t="str">
        <x:v>FR-L-019</x:v>
      </x:c>
      <x:c r="D244" s="46" t="str">
        <x:v>Given the applicable Contacts and Follow-Ups preconditions and a valid Local Profile</x:v>
      </x:c>
      <x:c r="E244" s="46" t="str">
        <x:v>When the user performs the relevant action or the relevant system condition occurs</x:v>
      </x:c>
      <x:c r="F244" s="46" t="str">
        <x:v>Then provide interaction contribution history.</x:v>
      </x:c>
      <x:c r="G244" s="46" t="str">
        <x:v>No</x:v>
      </x:c>
      <x:c r="H244" s="47" t="str">
        <x:v>Domain test</x:v>
      </x:c>
    </x:row>
    <x:row r="245" ht="42" customHeight="1">
      <x:c r="A245" s="45" t="str">
        <x:v>AC-L-020</x:v>
      </x:c>
      <x:c r="B245" s="46" t="str">
        <x:v>L. Contacts and Follow-Ups</x:v>
      </x:c>
      <x:c r="C245" s="46" t="str">
        <x:v>FR-L-020</x:v>
      </x:c>
      <x:c r="D245" s="46" t="str">
        <x:v>Given the applicable Contacts and Follow-Ups preconditions and a valid Local Profile</x:v>
      </x:c>
      <x:c r="E245" s="46" t="str">
        <x:v>When the user performs the relevant action or the relevant system condition occurs</x:v>
      </x:c>
      <x:c r="F245" s="46" t="str">
        <x:v>Then not provide shared directories.</x:v>
      </x:c>
      <x:c r="G245" s="46" t="str">
        <x:v>Yes</x:v>
      </x:c>
      <x:c r="H245" s="47" t="str">
        <x:v>Domain test</x:v>
      </x:c>
    </x:row>
    <x:row r="246" ht="42" customHeight="1">
      <x:c r="A246" s="45" t="str">
        <x:v>AC-M-001</x:v>
      </x:c>
      <x:c r="B246" s="46" t="str">
        <x:v>M. Employment Applications</x:v>
      </x:c>
      <x:c r="C246" s="46" t="str">
        <x:v>FR-M-001</x:v>
      </x:c>
      <x:c r="D246" s="46" t="str">
        <x:v>Given the applicable Employment Applications preconditions and a valid Local Profile</x:v>
      </x:c>
      <x:c r="E246" s="46" t="str">
        <x:v>When the user performs the relevant action or the relevant system condition occurs</x:v>
      </x:c>
      <x:c r="F246" s="46" t="str">
        <x:v>Then be able to create an Employment Application record.</x:v>
      </x:c>
      <x:c r="G246" s="46" t="str">
        <x:v>Yes</x:v>
      </x:c>
      <x:c r="H246" s="47" t="str">
        <x:v>Widget test</x:v>
      </x:c>
    </x:row>
    <x:row r="247" ht="42" customHeight="1">
      <x:c r="A247" s="45" t="str">
        <x:v>AC-M-002</x:v>
      </x:c>
      <x:c r="B247" s="46" t="str">
        <x:v>M. Employment Applications</x:v>
      </x:c>
      <x:c r="C247" s="46" t="str">
        <x:v>FR-M-002</x:v>
      </x:c>
      <x:c r="D247" s="46" t="str">
        <x:v>Given the applicable Employment Applications preconditions and a valid Local Profile</x:v>
      </x:c>
      <x:c r="E247" s="46" t="str">
        <x:v>When the user performs the relevant action or the relevant system condition occurs</x:v>
      </x:c>
      <x:c r="F247" s="46" t="str">
        <x:v>Then support a structured stage.</x:v>
      </x:c>
      <x:c r="G247" s="46" t="str">
        <x:v>Yes</x:v>
      </x:c>
      <x:c r="H247" s="47" t="str">
        <x:v>Domain test</x:v>
      </x:c>
    </x:row>
    <x:row r="248" ht="42" customHeight="1">
      <x:c r="A248" s="45" t="str">
        <x:v>AC-M-003</x:v>
      </x:c>
      <x:c r="B248" s="46" t="str">
        <x:v>M. Employment Applications</x:v>
      </x:c>
      <x:c r="C248" s="46" t="str">
        <x:v>FR-M-003</x:v>
      </x:c>
      <x:c r="D248" s="46" t="str">
        <x:v>Given the applicable Employment Applications preconditions and a valid Local Profile</x:v>
      </x:c>
      <x:c r="E248" s="46" t="str">
        <x:v>When the user performs the relevant action or the relevant system condition occurs</x:v>
      </x:c>
      <x:c r="F248" s="46" t="str">
        <x:v>Then retain stage history.</x:v>
      </x:c>
      <x:c r="G248" s="46" t="str">
        <x:v>Yes</x:v>
      </x:c>
      <x:c r="H248" s="47" t="str">
        <x:v>Domain test</x:v>
      </x:c>
    </x:row>
    <x:row r="249" ht="42" customHeight="1">
      <x:c r="A249" s="45" t="str">
        <x:v>AC-M-004</x:v>
      </x:c>
      <x:c r="B249" s="46" t="str">
        <x:v>M. Employment Applications</x:v>
      </x:c>
      <x:c r="C249" s="46" t="str">
        <x:v>FR-M-004</x:v>
      </x:c>
      <x:c r="D249" s="46" t="str">
        <x:v>Given the applicable Employment Applications preconditions and a valid Local Profile</x:v>
      </x:c>
      <x:c r="E249" s="46" t="str">
        <x:v>When the user performs the relevant action or the relevant system condition occurs</x:v>
      </x:c>
      <x:c r="F249" s="46" t="str">
        <x:v>Then be able to record application and deadline dates.</x:v>
      </x:c>
      <x:c r="G249" s="46" t="str">
        <x:v>Yes</x:v>
      </x:c>
      <x:c r="H249" s="47" t="str">
        <x:v>Widget test</x:v>
      </x:c>
    </x:row>
    <x:row r="250" ht="42" customHeight="1">
      <x:c r="A250" s="45" t="str">
        <x:v>AC-M-005</x:v>
      </x:c>
      <x:c r="B250" s="46" t="str">
        <x:v>M. Employment Applications</x:v>
      </x:c>
      <x:c r="C250" s="46" t="str">
        <x:v>FR-M-005</x:v>
      </x:c>
      <x:c r="D250" s="46" t="str">
        <x:v>Given the applicable Employment Applications preconditions and a valid Local Profile</x:v>
      </x:c>
      <x:c r="E250" s="46" t="str">
        <x:v>When the user performs the relevant action or the relevant system condition occurs</x:v>
      </x:c>
      <x:c r="F250" s="46" t="str">
        <x:v>Then be able to link Contacts, Tasks, and Calendar Events.</x:v>
      </x:c>
      <x:c r="G250" s="46" t="str">
        <x:v>Yes</x:v>
      </x:c>
      <x:c r="H250" s="47" t="str">
        <x:v>Widget test / Integration test</x:v>
      </x:c>
    </x:row>
    <x:row r="251" ht="42" customHeight="1">
      <x:c r="A251" s="45" t="str">
        <x:v>AC-M-006</x:v>
      </x:c>
      <x:c r="B251" s="46" t="str">
        <x:v>M. Employment Applications</x:v>
      </x:c>
      <x:c r="C251" s="46" t="str">
        <x:v>FR-M-006</x:v>
      </x:c>
      <x:c r="D251" s="46" t="str">
        <x:v>Given the applicable Employment Applications preconditions and a valid Local Profile</x:v>
      </x:c>
      <x:c r="E251" s="46" t="str">
        <x:v>When the user performs the relevant action or the relevant system condition occurs</x:v>
      </x:c>
      <x:c r="F251" s="46" t="str">
        <x:v>Then be able to confirm a submitted application.</x:v>
      </x:c>
      <x:c r="G251" s="46" t="str">
        <x:v>Yes</x:v>
      </x:c>
      <x:c r="H251" s="47" t="str">
        <x:v>Widget test</x:v>
      </x:c>
    </x:row>
    <x:row r="252" ht="42" customHeight="1">
      <x:c r="A252" s="45" t="str">
        <x:v>AC-M-007</x:v>
      </x:c>
      <x:c r="B252" s="46" t="str">
        <x:v>M. Employment Applications</x:v>
      </x:c>
      <x:c r="C252" s="46" t="str">
        <x:v>FR-M-007</x:v>
      </x:c>
      <x:c r="D252" s="46" t="str">
        <x:v>Given the applicable Employment Applications preconditions and a valid Local Profile</x:v>
      </x:c>
      <x:c r="E252" s="46" t="str">
        <x:v>When the user performs the relevant action or the relevant system condition occurs</x:v>
      </x:c>
      <x:c r="F252" s="46" t="str">
        <x:v>Then submission confirmation shall create a qualifying Job Applications contribution.</x:v>
      </x:c>
      <x:c r="G252" s="46" t="str">
        <x:v>Yes</x:v>
      </x:c>
      <x:c r="H252" s="47" t="str">
        <x:v>Domain test</x:v>
      </x:c>
    </x:row>
    <x:row r="253" ht="42" customHeight="1">
      <x:c r="A253" s="45" t="str">
        <x:v>AC-M-008</x:v>
      </x:c>
      <x:c r="B253" s="46" t="str">
        <x:v>M. Employment Applications</x:v>
      </x:c>
      <x:c r="C253" s="46" t="str">
        <x:v>FR-M-008</x:v>
      </x:c>
      <x:c r="D253" s="46" t="str">
        <x:v>Given the applicable Employment Applications preconditions and a valid Local Profile</x:v>
      </x:c>
      <x:c r="E253" s="46" t="str">
        <x:v>When the user performs the relevant action or the relevant system condition occurs</x:v>
      </x:c>
      <x:c r="F253" s="46" t="str">
        <x:v>Then saved, Considering, and Preparing stages shall not create Actual.</x:v>
      </x:c>
      <x:c r="G253" s="46" t="str">
        <x:v>Yes</x:v>
      </x:c>
      <x:c r="H253" s="47" t="str">
        <x:v>Domain test</x:v>
      </x:c>
    </x:row>
    <x:row r="254" ht="42" customHeight="1">
      <x:c r="A254" s="45" t="str">
        <x:v>AC-M-009</x:v>
      </x:c>
      <x:c r="B254" s="46" t="str">
        <x:v>M. Employment Applications</x:v>
      </x:c>
      <x:c r="C254" s="46" t="str">
        <x:v>FR-M-009</x:v>
      </x:c>
      <x:c r="D254" s="46" t="str">
        <x:v>Given the applicable Employment Applications preconditions and a valid Local Profile</x:v>
      </x:c>
      <x:c r="E254" s="46" t="str">
        <x:v>When the user performs the relevant action or the relevant system condition occurs</x:v>
      </x:c>
      <x:c r="F254" s="46" t="str">
        <x:v>Then submission retries shall not duplicate Actual.</x:v>
      </x:c>
      <x:c r="G254" s="46" t="str">
        <x:v>Yes</x:v>
      </x:c>
      <x:c r="H254" s="47" t="str">
        <x:v>Domain test</x:v>
      </x:c>
    </x:row>
    <x:row r="255" ht="42" customHeight="1">
      <x:c r="A255" s="45" t="str">
        <x:v>AC-M-010</x:v>
      </x:c>
      <x:c r="B255" s="46" t="str">
        <x:v>M. Employment Applications</x:v>
      </x:c>
      <x:c r="C255" s="46" t="str">
        <x:v>FR-M-010</x:v>
      </x:c>
      <x:c r="D255" s="46" t="str">
        <x:v>Given the applicable Employment Applications preconditions and a valid Local Profile</x:v>
      </x:c>
      <x:c r="E255" s="46" t="str">
        <x:v>When the user performs the relevant action or the relevant system condition occurs</x:v>
      </x:c>
      <x:c r="F255" s="46" t="str">
        <x:v>Then be able to record interview invitations and schedules.</x:v>
      </x:c>
      <x:c r="G255" s="46" t="str">
        <x:v>No</x:v>
      </x:c>
      <x:c r="H255" s="47" t="str">
        <x:v>Widget test</x:v>
      </x:c>
    </x:row>
    <x:row r="256" ht="42" customHeight="1">
      <x:c r="A256" s="45" t="str">
        <x:v>AC-M-011</x:v>
      </x:c>
      <x:c r="B256" s="46" t="str">
        <x:v>M. Employment Applications</x:v>
      </x:c>
      <x:c r="C256" s="46" t="str">
        <x:v>FR-M-011</x:v>
      </x:c>
      <x:c r="D256" s="46" t="str">
        <x:v>Given the applicable Employment Applications preconditions and a valid Local Profile</x:v>
      </x:c>
      <x:c r="E256" s="46" t="str">
        <x:v>When the user performs the relevant action or the relevant system condition occurs</x:v>
      </x:c>
      <x:c r="F256" s="46" t="str">
        <x:v>Then be able to record offers, acceptance, rejection, withdrawal, and closure.</x:v>
      </x:c>
      <x:c r="G256" s="46" t="str">
        <x:v>No</x:v>
      </x:c>
      <x:c r="H256" s="47" t="str">
        <x:v>Widget test</x:v>
      </x:c>
    </x:row>
    <x:row r="257" ht="42" customHeight="1">
      <x:c r="A257" s="45" t="str">
        <x:v>AC-M-012</x:v>
      </x:c>
      <x:c r="B257" s="46" t="str">
        <x:v>M. Employment Applications</x:v>
      </x:c>
      <x:c r="C257" s="46" t="str">
        <x:v>FR-M-012</x:v>
      </x:c>
      <x:c r="D257" s="46" t="str">
        <x:v>Given the applicable Employment Applications preconditions and a valid Local Profile</x:v>
      </x:c>
      <x:c r="E257" s="46" t="str">
        <x:v>When the user performs the relevant action or the relevant system condition occurs</x:v>
      </x:c>
      <x:c r="F257" s="46" t="str">
        <x:v>Then closed outcomes shall preserve submission history.</x:v>
      </x:c>
      <x:c r="G257" s="46" t="str">
        <x:v>Yes</x:v>
      </x:c>
      <x:c r="H257" s="47" t="str">
        <x:v>Domain test</x:v>
      </x:c>
    </x:row>
    <x:row r="258" ht="42" customHeight="1">
      <x:c r="A258" s="45" t="str">
        <x:v>AC-M-013</x:v>
      </x:c>
      <x:c r="B258" s="46" t="str">
        <x:v>M. Employment Applications</x:v>
      </x:c>
      <x:c r="C258" s="46" t="str">
        <x:v>FR-M-013</x:v>
      </x:c>
      <x:c r="D258" s="46" t="str">
        <x:v>Given the applicable Employment Applications preconditions and a valid Local Profile</x:v>
      </x:c>
      <x:c r="E258" s="46" t="str">
        <x:v>When the user performs the relevant action or the relevant system condition occurs</x:v>
      </x:c>
      <x:c r="F258" s="46" t="str">
        <x:v>Then support separate reapplication cycles.</x:v>
      </x:c>
      <x:c r="G258" s="46" t="str">
        <x:v>Yes</x:v>
      </x:c>
      <x:c r="H258" s="47" t="str">
        <x:v>Domain test</x:v>
      </x:c>
    </x:row>
    <x:row r="259" ht="42" customHeight="1">
      <x:c r="A259" s="45" t="str">
        <x:v>AC-M-014</x:v>
      </x:c>
      <x:c r="B259" s="46" t="str">
        <x:v>M. Employment Applications</x:v>
      </x:c>
      <x:c r="C259" s="46" t="str">
        <x:v>FR-M-014</x:v>
      </x:c>
      <x:c r="D259" s="46" t="str">
        <x:v>Given the applicable Employment Applications preconditions and a valid Local Profile</x:v>
      </x:c>
      <x:c r="E259" s="46" t="str">
        <x:v>When the user performs the relevant action or the relevant system condition occurs</x:v>
      </x:c>
      <x:c r="F259" s="46" t="str">
        <x:v>Then distinguish source dates and verification status for external information.</x:v>
      </x:c>
      <x:c r="G259" s="46" t="str">
        <x:v>No</x:v>
      </x:c>
      <x:c r="H259" s="47" t="str">
        <x:v>Domain test / Integration test</x:v>
      </x:c>
    </x:row>
    <x:row r="260" ht="42" customHeight="1">
      <x:c r="A260" s="45" t="str">
        <x:v>AC-M-015</x:v>
      </x:c>
      <x:c r="B260" s="46" t="str">
        <x:v>M. Employment Applications</x:v>
      </x:c>
      <x:c r="C260" s="46" t="str">
        <x:v>FR-M-015</x:v>
      </x:c>
      <x:c r="D260" s="46" t="str">
        <x:v>Given the applicable Employment Applications preconditions and a valid Local Profile</x:v>
      </x:c>
      <x:c r="E260" s="46" t="str">
        <x:v>When the user performs the relevant action or the relevant system condition occurs</x:v>
      </x:c>
      <x:c r="F260" s="46" t="str">
        <x:v>Then be able to archive and restore applications.</x:v>
      </x:c>
      <x:c r="G260" s="46" t="str">
        <x:v>Yes</x:v>
      </x:c>
      <x:c r="H260" s="47" t="str">
        <x:v>Database test / Widget test</x:v>
      </x:c>
    </x:row>
    <x:row r="261" ht="42" customHeight="1">
      <x:c r="A261" s="45" t="str">
        <x:v>AC-M-016</x:v>
      </x:c>
      <x:c r="B261" s="46" t="str">
        <x:v>M. Employment Applications</x:v>
      </x:c>
      <x:c r="C261" s="46" t="str">
        <x:v>FR-M-016</x:v>
      </x:c>
      <x:c r="D261" s="46" t="str">
        <x:v>Given the applicable Employment Applications preconditions and a valid Local Profile</x:v>
      </x:c>
      <x:c r="E261" s="46" t="str">
        <x:v>When the user performs the relevant action or the relevant system condition occurs</x:v>
      </x:c>
      <x:c r="F261" s="46" t="str">
        <x:v>Then provide Job Applications contribution history.</x:v>
      </x:c>
      <x:c r="G261" s="46" t="str">
        <x:v>No</x:v>
      </x:c>
      <x:c r="H261" s="47" t="str">
        <x:v>Domain test</x:v>
      </x:c>
    </x:row>
    <x:row r="262" ht="42" customHeight="1">
      <x:c r="A262" s="45" t="str">
        <x:v>AC-M-017</x:v>
      </x:c>
      <x:c r="B262" s="46" t="str">
        <x:v>M. Employment Applications</x:v>
      </x:c>
      <x:c r="C262" s="46" t="str">
        <x:v>FR-M-017</x:v>
      </x:c>
      <x:c r="D262" s="46" t="str">
        <x:v>Given the applicable Employment Applications preconditions and a valid Local Profile</x:v>
      </x:c>
      <x:c r="E262" s="46" t="str">
        <x:v>When the user performs the relevant action or the relevant system condition occurs</x:v>
      </x:c>
      <x:c r="F262" s="46" t="str">
        <x:v>Then not classify applications from titles alone.</x:v>
      </x:c>
      <x:c r="G262" s="46" t="str">
        <x:v>Yes</x:v>
      </x:c>
      <x:c r="H262" s="47" t="str">
        <x:v>Domain test</x:v>
      </x:c>
    </x:row>
    <x:row r="263" ht="42" customHeight="1">
      <x:c r="A263" s="45" t="str">
        <x:v>AC-M-018</x:v>
      </x:c>
      <x:c r="B263" s="46" t="str">
        <x:v>M. Employment Applications</x:v>
      </x:c>
      <x:c r="C263" s="46" t="str">
        <x:v>FR-M-018</x:v>
      </x:c>
      <x:c r="D263" s="46" t="str">
        <x:v>Given the applicable Employment Applications preconditions and a valid Local Profile</x:v>
      </x:c>
      <x:c r="E263" s="46" t="str">
        <x:v>When the user performs the relevant action or the relevant system condition occurs</x:v>
      </x:c>
      <x:c r="F263" s="46" t="str">
        <x:v>Then function offline.</x:v>
      </x:c>
      <x:c r="G263" s="46" t="str">
        <x:v>Yes</x:v>
      </x:c>
      <x:c r="H263" s="47" t="str">
        <x:v>Domain test</x:v>
      </x:c>
    </x:row>
    <x:row r="264" ht="42" customHeight="1">
      <x:c r="A264" s="45" t="str">
        <x:v>AC-M-019</x:v>
      </x:c>
      <x:c r="B264" s="46" t="str">
        <x:v>M. Employment Applications</x:v>
      </x:c>
      <x:c r="C264" s="46" t="str">
        <x:v>FR-M-019</x:v>
      </x:c>
      <x:c r="D264" s="46" t="str">
        <x:v>Given the applicable Employment Applications preconditions and a valid Local Profile</x:v>
      </x:c>
      <x:c r="E264" s="46" t="str">
        <x:v>When the user performs the relevant action or the relevant system condition occurs</x:v>
      </x:c>
      <x:c r="F264" s="46" t="str">
        <x:v>Then not require an external vacancy URL.</x:v>
      </x:c>
      <x:c r="G264" s="46" t="str">
        <x:v>Yes</x:v>
      </x:c>
      <x:c r="H264" s="47" t="str">
        <x:v>Integration test</x:v>
      </x:c>
    </x:row>
    <x:row r="265" ht="42" customHeight="1">
      <x:c r="A265" s="45" t="str">
        <x:v>AC-M-020</x:v>
      </x:c>
      <x:c r="B265" s="46" t="str">
        <x:v>M. Employment Applications</x:v>
      </x:c>
      <x:c r="C265" s="46" t="str">
        <x:v>FR-M-020</x:v>
      </x:c>
      <x:c r="D265" s="46" t="str">
        <x:v>Given the applicable Employment Applications preconditions and a valid Local Profile</x:v>
      </x:c>
      <x:c r="E265" s="46" t="str">
        <x:v>When the user performs the relevant action or the relevant system condition occurs</x:v>
      </x:c>
      <x:c r="F265" s="46" t="str">
        <x:v>Then the feature shall support Philippines and remote or international application contexts.</x:v>
      </x:c>
      <x:c r="G265" s="46" t="str">
        <x:v>No</x:v>
      </x:c>
      <x:c r="H265" s="47" t="str">
        <x:v>Domain test</x:v>
      </x:c>
    </x:row>
    <x:row r="266" ht="42" customHeight="1">
      <x:c r="A266" s="45" t="str">
        <x:v>AC-N-001</x:v>
      </x:c>
      <x:c r="B266" s="46" t="str">
        <x:v>N. Education Planning</x:v>
      </x:c>
      <x:c r="C266" s="46" t="str">
        <x:v>FR-N-001</x:v>
      </x:c>
      <x:c r="D266" s="46" t="str">
        <x:v>Given the applicable Education Planning preconditions and a valid Local Profile</x:v>
      </x:c>
      <x:c r="E266" s="46" t="str">
        <x:v>When the user performs the relevant action or the relevant system condition occurs</x:v>
      </x:c>
      <x:c r="F266" s="46" t="str">
        <x:v>Then be able to create bundled or custom Education Options.</x:v>
      </x:c>
      <x:c r="G266" s="46" t="str">
        <x:v>Yes</x:v>
      </x:c>
      <x:c r="H266" s="47" t="str">
        <x:v>Widget test</x:v>
      </x:c>
    </x:row>
    <x:row r="267" ht="42" customHeight="1">
      <x:c r="A267" s="45" t="str">
        <x:v>AC-N-002</x:v>
      </x:c>
      <x:c r="B267" s="46" t="str">
        <x:v>N. Education Planning</x:v>
      </x:c>
      <x:c r="C267" s="46" t="str">
        <x:v>FR-N-002</x:v>
      </x:c>
      <x:c r="D267" s="46" t="str">
        <x:v>Given the applicable Education Planning preconditions and a valid Local Profile</x:v>
      </x:c>
      <x:c r="E267" s="46" t="str">
        <x:v>When the user performs the relevant action or the relevant system condition occurs</x:v>
      </x:c>
      <x:c r="F267" s="46" t="str">
        <x:v>Then education Options shall support provider, program, mode, location, and intake information.</x:v>
      </x:c>
      <x:c r="G267" s="46" t="str">
        <x:v>Yes</x:v>
      </x:c>
      <x:c r="H267" s="47" t="str">
        <x:v>Domain test</x:v>
      </x:c>
    </x:row>
    <x:row r="268" ht="42" customHeight="1">
      <x:c r="A268" s="45" t="str">
        <x:v>AC-N-003</x:v>
      </x:c>
      <x:c r="B268" s="46" t="str">
        <x:v>N. Education Planning</x:v>
      </x:c>
      <x:c r="C268" s="46" t="str">
        <x:v>FR-N-003</x:v>
      </x:c>
      <x:c r="D268" s="46" t="str">
        <x:v>Given the applicable Education Planning preconditions and a valid Local Profile</x:v>
      </x:c>
      <x:c r="E268" s="46" t="str">
        <x:v>When the user performs the relevant action or the relevant system condition occurs</x:v>
      </x:c>
      <x:c r="F268" s="46" t="str">
        <x:v>Then support structured requirements.</x:v>
      </x:c>
      <x:c r="G268" s="46" t="str">
        <x:v>Yes</x:v>
      </x:c>
      <x:c r="H268" s="47" t="str">
        <x:v>Domain test</x:v>
      </x:c>
    </x:row>
    <x:row r="269" ht="42" customHeight="1">
      <x:c r="A269" s="45" t="str">
        <x:v>AC-N-004</x:v>
      </x:c>
      <x:c r="B269" s="46" t="str">
        <x:v>N. Education Planning</x:v>
      </x:c>
      <x:c r="C269" s="46" t="str">
        <x:v>FR-N-004</x:v>
      </x:c>
      <x:c r="D269" s="46" t="str">
        <x:v>Given the applicable Education Planning preconditions and a valid Local Profile</x:v>
      </x:c>
      <x:c r="E269" s="46" t="str">
        <x:v>When the user performs the relevant action or the relevant system condition occurs</x:v>
      </x:c>
      <x:c r="F269" s="46" t="str">
        <x:v>Then support source and last-verified date.</x:v>
      </x:c>
      <x:c r="G269" s="46" t="str">
        <x:v>Yes</x:v>
      </x:c>
      <x:c r="H269" s="47" t="str">
        <x:v>Manual review</x:v>
      </x:c>
    </x:row>
    <x:row r="270" ht="42" customHeight="1">
      <x:c r="A270" s="45" t="str">
        <x:v>AC-N-005</x:v>
      </x:c>
      <x:c r="B270" s="46" t="str">
        <x:v>N. Education Planning</x:v>
      </x:c>
      <x:c r="C270" s="46" t="str">
        <x:v>FR-N-005</x:v>
      </x:c>
      <x:c r="D270" s="46" t="str">
        <x:v>Given the applicable Education Planning preconditions and a valid Local Profile</x:v>
      </x:c>
      <x:c r="E270" s="46" t="str">
        <x:v>When the user performs the relevant action or the relevant system condition occurs</x:v>
      </x:c>
      <x:c r="F270" s="46" t="str">
        <x:v>Then support verification status.</x:v>
      </x:c>
      <x:c r="G270" s="46" t="str">
        <x:v>Yes</x:v>
      </x:c>
      <x:c r="H270" s="47" t="str">
        <x:v>Domain test</x:v>
      </x:c>
    </x:row>
    <x:row r="271" ht="42" customHeight="1">
      <x:c r="A271" s="45" t="str">
        <x:v>AC-N-006</x:v>
      </x:c>
      <x:c r="B271" s="46" t="str">
        <x:v>N. Education Planning</x:v>
      </x:c>
      <x:c r="C271" s="46" t="str">
        <x:v>FR-N-006</x:v>
      </x:c>
      <x:c r="D271" s="46" t="str">
        <x:v>Given the applicable Education Planning preconditions and a valid Local Profile</x:v>
      </x:c>
      <x:c r="E271" s="46" t="str">
        <x:v>When the user performs the relevant action or the relevant system condition occurs</x:v>
      </x:c>
      <x:c r="F271" s="46" t="str">
        <x:v>Then be able to create Goals and Milestones from an Education Option.</x:v>
      </x:c>
      <x:c r="G271" s="46" t="str">
        <x:v>Yes</x:v>
      </x:c>
      <x:c r="H271" s="47" t="str">
        <x:v>Widget test</x:v>
      </x:c>
    </x:row>
    <x:row r="272" ht="42" customHeight="1">
      <x:c r="A272" s="45" t="str">
        <x:v>AC-N-007</x:v>
      </x:c>
      <x:c r="B272" s="46" t="str">
        <x:v>N. Education Planning</x:v>
      </x:c>
      <x:c r="C272" s="46" t="str">
        <x:v>FR-N-007</x:v>
      </x:c>
      <x:c r="D272" s="46" t="str">
        <x:v>Given the applicable Education Planning preconditions and a valid Local Profile</x:v>
      </x:c>
      <x:c r="E272" s="46" t="str">
        <x:v>When the user performs the relevant action or the relevant system condition occurs</x:v>
      </x:c>
      <x:c r="F272" s="46" t="str">
        <x:v>Then be able to create Tasks and Calendar Events.</x:v>
      </x:c>
      <x:c r="G272" s="46" t="str">
        <x:v>Yes</x:v>
      </x:c>
      <x:c r="H272" s="47" t="str">
        <x:v>Widget test / Integration test</x:v>
      </x:c>
    </x:row>
    <x:row r="273" ht="42" customHeight="1">
      <x:c r="A273" s="45" t="str">
        <x:v>AC-N-008</x:v>
      </x:c>
      <x:c r="B273" s="46" t="str">
        <x:v>N. Education Planning</x:v>
      </x:c>
      <x:c r="C273" s="46" t="str">
        <x:v>FR-N-008</x:v>
      </x:c>
      <x:c r="D273" s="46" t="str">
        <x:v>Given the applicable Education Planning preconditions and a valid Local Profile</x:v>
      </x:c>
      <x:c r="E273" s="46" t="str">
        <x:v>When the user performs the relevant action or the relevant system condition occurs</x:v>
      </x:c>
      <x:c r="F273" s="46" t="str">
        <x:v>Then be able to link Government Document Requirements.</x:v>
      </x:c>
      <x:c r="G273" s="46" t="str">
        <x:v>Yes</x:v>
      </x:c>
      <x:c r="H273" s="47" t="str">
        <x:v>Widget test</x:v>
      </x:c>
    </x:row>
    <x:row r="274" ht="42" customHeight="1">
      <x:c r="A274" s="45" t="str">
        <x:v>AC-N-009</x:v>
      </x:c>
      <x:c r="B274" s="46" t="str">
        <x:v>N. Education Planning</x:v>
      </x:c>
      <x:c r="C274" s="46" t="str">
        <x:v>FR-N-009</x:v>
      </x:c>
      <x:c r="D274" s="46" t="str">
        <x:v>Given the applicable Education Planning preconditions and a valid Local Profile</x:v>
      </x:c>
      <x:c r="E274" s="46" t="str">
        <x:v>When the user performs the relevant action or the relevant system condition occurs</x:v>
      </x:c>
      <x:c r="F274" s="46" t="str">
        <x:v>Then education applications shall have structured stages.</x:v>
      </x:c>
      <x:c r="G274" s="46" t="str">
        <x:v>No</x:v>
      </x:c>
      <x:c r="H274" s="47" t="str">
        <x:v>Domain test</x:v>
      </x:c>
    </x:row>
    <x:row r="275" ht="42" customHeight="1">
      <x:c r="A275" s="45" t="str">
        <x:v>AC-N-010</x:v>
      </x:c>
      <x:c r="B275" s="46" t="str">
        <x:v>N. Education Planning</x:v>
      </x:c>
      <x:c r="C275" s="46" t="str">
        <x:v>FR-N-010</x:v>
      </x:c>
      <x:c r="D275" s="46" t="str">
        <x:v>Given the applicable Education Planning preconditions and a valid Local Profile</x:v>
      </x:c>
      <x:c r="E275" s="46" t="str">
        <x:v>When the user performs the relevant action or the relevant system condition occurs</x:v>
      </x:c>
      <x:c r="F275" s="46" t="str">
        <x:v>Then application submission shall require explicit confirmation.</x:v>
      </x:c>
      <x:c r="G275" s="46" t="str">
        <x:v>No</x:v>
      </x:c>
      <x:c r="H275" s="47" t="str">
        <x:v>Domain test</x:v>
      </x:c>
    </x:row>
    <x:row r="276" ht="42" customHeight="1">
      <x:c r="A276" s="45" t="str">
        <x:v>AC-N-011</x:v>
      </x:c>
      <x:c r="B276" s="46" t="str">
        <x:v>N. Education Planning</x:v>
      </x:c>
      <x:c r="C276" s="46" t="str">
        <x:v>FR-N-011</x:v>
      </x:c>
      <x:c r="D276" s="46" t="str">
        <x:v>Given the applicable Education Planning preconditions and a valid Local Profile</x:v>
      </x:c>
      <x:c r="E276" s="46" t="str">
        <x:v>When the user performs the relevant action or the relevant system condition occurs</x:v>
      </x:c>
      <x:c r="F276" s="46" t="str">
        <x:v>Then admission and enrollment shall remain separate outcomes.</x:v>
      </x:c>
      <x:c r="G276" s="46" t="str">
        <x:v>Yes</x:v>
      </x:c>
      <x:c r="H276" s="47" t="str">
        <x:v>Domain test</x:v>
      </x:c>
    </x:row>
    <x:row r="277" ht="42" customHeight="1">
      <x:c r="A277" s="45" t="str">
        <x:v>AC-N-012</x:v>
      </x:c>
      <x:c r="B277" s="46" t="str">
        <x:v>N. Education Planning</x:v>
      </x:c>
      <x:c r="C277" s="46" t="str">
        <x:v>FR-N-012</x:v>
      </x:c>
      <x:c r="D277" s="46" t="str">
        <x:v>Given the applicable Education Planning preconditions and a valid Local Profile</x:v>
      </x:c>
      <x:c r="E277" s="46" t="str">
        <x:v>When the user performs the relevant action or the relevant system condition occurs</x:v>
      </x:c>
      <x:c r="F277" s="46" t="str">
        <x:v>Then be able to pause, discontinue, archive, and restore options.</x:v>
      </x:c>
      <x:c r="G277" s="46" t="str">
        <x:v>Yes</x:v>
      </x:c>
      <x:c r="H277" s="47" t="str">
        <x:v>Database test / Widget test</x:v>
      </x:c>
    </x:row>
    <x:row r="278" ht="42" customHeight="1">
      <x:c r="A278" s="45" t="str">
        <x:v>AC-N-013</x:v>
      </x:c>
      <x:c r="B278" s="46" t="str">
        <x:v>N. Education Planning</x:v>
      </x:c>
      <x:c r="C278" s="46" t="str">
        <x:v>FR-N-013</x:v>
      </x:c>
      <x:c r="D278" s="46" t="str">
        <x:v>Given the applicable Education Planning preconditions and a valid Local Profile</x:v>
      </x:c>
      <x:c r="E278" s="46" t="str">
        <x:v>When the user performs the relevant action or the relevant system condition occurs</x:v>
      </x:c>
      <x:c r="F278" s="46" t="str">
        <x:v>Then bundled content updates shall preserve user data.</x:v>
      </x:c>
      <x:c r="G278" s="46" t="str">
        <x:v>Yes</x:v>
      </x:c>
      <x:c r="H278" s="47" t="str">
        <x:v>Domain test</x:v>
      </x:c>
    </x:row>
    <x:row r="279" ht="42" customHeight="1">
      <x:c r="A279" s="45" t="str">
        <x:v>AC-N-014</x:v>
      </x:c>
      <x:c r="B279" s="46" t="str">
        <x:v>N. Education Planning</x:v>
      </x:c>
      <x:c r="C279" s="46" t="str">
        <x:v>FR-N-014</x:v>
      </x:c>
      <x:c r="D279" s="46" t="str">
        <x:v>Given the applicable Education Planning preconditions and a valid Local Profile</x:v>
      </x:c>
      <x:c r="E279" s="46" t="str">
        <x:v>When the user performs the relevant action or the relevant system condition occurs</x:v>
      </x:c>
      <x:c r="F279" s="46" t="str">
        <x:v>Then display stale or unverified information.</x:v>
      </x:c>
      <x:c r="G279" s="46" t="str">
        <x:v>No</x:v>
      </x:c>
      <x:c r="H279" s="47" t="str">
        <x:v>Widget test</x:v>
      </x:c>
    </x:row>
    <x:row r="280" ht="42" customHeight="1">
      <x:c r="A280" s="45" t="str">
        <x:v>AC-N-015</x:v>
      </x:c>
      <x:c r="B280" s="46" t="str">
        <x:v>N. Education Planning</x:v>
      </x:c>
      <x:c r="C280" s="46" t="str">
        <x:v>FR-N-015</x:v>
      </x:c>
      <x:c r="D280" s="46" t="str">
        <x:v>Given the applicable Education Planning preconditions and a valid Local Profile</x:v>
      </x:c>
      <x:c r="E280" s="46" t="str">
        <x:v>When the user performs the relevant action or the relevant system condition occurs</x:v>
      </x:c>
      <x:c r="F280" s="46" t="str">
        <x:v>Then not infer outcomes from titles or schedules.</x:v>
      </x:c>
      <x:c r="G280" s="46" t="str">
        <x:v>Yes</x:v>
      </x:c>
      <x:c r="H280" s="47" t="str">
        <x:v>Domain test</x:v>
      </x:c>
    </x:row>
    <x:row r="281" ht="42" customHeight="1">
      <x:c r="A281" s="45" t="str">
        <x:v>AC-N-016</x:v>
      </x:c>
      <x:c r="B281" s="46" t="str">
        <x:v>N. Education Planning</x:v>
      </x:c>
      <x:c r="C281" s="46" t="str">
        <x:v>FR-N-016</x:v>
      </x:c>
      <x:c r="D281" s="46" t="str">
        <x:v>Given the applicable Education Planning preconditions and a valid Local Profile</x:v>
      </x:c>
      <x:c r="E281" s="46" t="str">
        <x:v>When the user performs the relevant action or the relevant system condition occurs</x:v>
      </x:c>
      <x:c r="F281" s="46" t="str">
        <x:v>Then retain requirement history.</x:v>
      </x:c>
      <x:c r="G281" s="46" t="str">
        <x:v>No</x:v>
      </x:c>
      <x:c r="H281" s="47" t="str">
        <x:v>Domain test</x:v>
      </x:c>
    </x:row>
    <x:row r="282" ht="42" customHeight="1">
      <x:c r="A282" s="45" t="str">
        <x:v>AC-N-017</x:v>
      </x:c>
      <x:c r="B282" s="46" t="str">
        <x:v>N. Education Planning</x:v>
      </x:c>
      <x:c r="C282" s="46" t="str">
        <x:v>FR-N-017</x:v>
      </x:c>
      <x:c r="D282" s="46" t="str">
        <x:v>Given the applicable Education Planning preconditions and a valid Local Profile</x:v>
      </x:c>
      <x:c r="E282" s="46" t="str">
        <x:v>When the user performs the relevant action or the relevant system condition occurs</x:v>
      </x:c>
      <x:c r="F282" s="46" t="str">
        <x:v>Then support offline planning.</x:v>
      </x:c>
      <x:c r="G282" s="46" t="str">
        <x:v>Yes</x:v>
      </x:c>
      <x:c r="H282" s="47" t="str">
        <x:v>Domain test</x:v>
      </x:c>
    </x:row>
    <x:row r="283" ht="42" customHeight="1">
      <x:c r="A283" s="45" t="str">
        <x:v>AC-N-018</x:v>
      </x:c>
      <x:c r="B283" s="46" t="str">
        <x:v>N. Education Planning</x:v>
      </x:c>
      <x:c r="C283" s="46" t="str">
        <x:v>FR-N-018</x:v>
      </x:c>
      <x:c r="D283" s="46" t="str">
        <x:v>Given the applicable Education Planning preconditions and a valid Local Profile</x:v>
      </x:c>
      <x:c r="E283" s="46" t="str">
        <x:v>When the user performs the relevant action or the relevant system condition occurs</x:v>
      </x:c>
      <x:c r="F283" s="46" t="str">
        <x:v>Then external resource failure shall not block local use.</x:v>
      </x:c>
      <x:c r="G283" s="46" t="str">
        <x:v>Yes</x:v>
      </x:c>
      <x:c r="H283" s="47" t="str">
        <x:v>Integration test</x:v>
      </x:c>
    </x:row>
    <x:row r="284" ht="42" customHeight="1">
      <x:c r="A284" s="45" t="str">
        <x:v>AC-N-019</x:v>
      </x:c>
      <x:c r="B284" s="46" t="str">
        <x:v>N. Education Planning</x:v>
      </x:c>
      <x:c r="C284" s="46" t="str">
        <x:v>FR-N-019</x:v>
      </x:c>
      <x:c r="D284" s="46" t="str">
        <x:v>Given the applicable Education Planning preconditions and a valid Local Profile</x:v>
      </x:c>
      <x:c r="E284" s="46" t="str">
        <x:v>When the user performs the relevant action or the relevant system condition occurs</x:v>
      </x:c>
      <x:c r="F284" s="46" t="str">
        <x:v>Then be able to create verification Tasks.</x:v>
      </x:c>
      <x:c r="G284" s="46" t="str">
        <x:v>No</x:v>
      </x:c>
      <x:c r="H284" s="47" t="str">
        <x:v>Widget test</x:v>
      </x:c>
    </x:row>
    <x:row r="285" ht="42" customHeight="1">
      <x:c r="A285" s="45" t="str">
        <x:v>AC-N-020</x:v>
      </x:c>
      <x:c r="B285" s="46" t="str">
        <x:v>N. Education Planning</x:v>
      </x:c>
      <x:c r="C285" s="46" t="str">
        <x:v>FR-N-020</x:v>
      </x:c>
      <x:c r="D285" s="46" t="str">
        <x:v>Given the applicable Education Planning preconditions and a valid Local Profile</x:v>
      </x:c>
      <x:c r="E285" s="46" t="str">
        <x:v>When the user performs the relevant action or the relevant system condition occurs</x:v>
      </x:c>
      <x:c r="F285" s="46" t="str">
        <x:v>Then distinguish content guidance from confirmed user facts.</x:v>
      </x:c>
      <x:c r="G285" s="46" t="str">
        <x:v>No</x:v>
      </x:c>
      <x:c r="H285" s="47" t="str">
        <x:v>Domain test</x:v>
      </x:c>
    </x:row>
    <x:row r="286" ht="42" customHeight="1">
      <x:c r="A286" s="45" t="str">
        <x:v>AC-O-001</x:v>
      </x:c>
      <x:c r="B286" s="46" t="str">
        <x:v>O. Government Document Requirements</x:v>
      </x:c>
      <x:c r="C286" s="46" t="str">
        <x:v>FR-O-001</x:v>
      </x:c>
      <x:c r="D286" s="46" t="str">
        <x:v>Given the applicable Government Document Requirements preconditions and a valid Local Profile</x:v>
      </x:c>
      <x:c r="E286" s="46" t="str">
        <x:v>When the user performs the relevant action or the relevant system condition occurs</x:v>
      </x:c>
      <x:c r="F286" s="46" t="str">
        <x:v>Then be able to activate bundled Government Document Requirements.</x:v>
      </x:c>
      <x:c r="G286" s="46" t="str">
        <x:v>Yes</x:v>
      </x:c>
      <x:c r="H286" s="47" t="str">
        <x:v>Widget test</x:v>
      </x:c>
    </x:row>
    <x:row r="287" ht="42" customHeight="1">
      <x:c r="A287" s="45" t="str">
        <x:v>AC-O-002</x:v>
      </x:c>
      <x:c r="B287" s="46" t="str">
        <x:v>O. Government Document Requirements</x:v>
      </x:c>
      <x:c r="C287" s="46" t="str">
        <x:v>FR-O-002</x:v>
      </x:c>
      <x:c r="D287" s="46" t="str">
        <x:v>Given the applicable Government Document Requirements preconditions and a valid Local Profile</x:v>
      </x:c>
      <x:c r="E287" s="46" t="str">
        <x:v>When the user performs the relevant action or the relevant system condition occurs</x:v>
      </x:c>
      <x:c r="F287" s="46" t="str">
        <x:v>Then be able to create custom requirements.</x:v>
      </x:c>
      <x:c r="G287" s="46" t="str">
        <x:v>Yes</x:v>
      </x:c>
      <x:c r="H287" s="47" t="str">
        <x:v>Widget test</x:v>
      </x:c>
    </x:row>
    <x:row r="288" ht="42" customHeight="1">
      <x:c r="A288" s="45" t="str">
        <x:v>AC-O-003</x:v>
      </x:c>
      <x:c r="B288" s="46" t="str">
        <x:v>O. Government Document Requirements</x:v>
      </x:c>
      <x:c r="C288" s="46" t="str">
        <x:v>FR-O-003</x:v>
      </x:c>
      <x:c r="D288" s="46" t="str">
        <x:v>Given the applicable Government Document Requirements preconditions and a valid Local Profile</x:v>
      </x:c>
      <x:c r="E288" s="46" t="str">
        <x:v>When the user performs the relevant action or the relevant system condition occurs</x:v>
      </x:c>
      <x:c r="F288" s="46" t="str">
        <x:v>Then identify issuing authority and jurisdiction where available.</x:v>
      </x:c>
      <x:c r="G288" s="46" t="str">
        <x:v>Yes</x:v>
      </x:c>
      <x:c r="H288" s="47" t="str">
        <x:v>Domain test</x:v>
      </x:c>
    </x:row>
    <x:row r="289" ht="42" customHeight="1">
      <x:c r="A289" s="45" t="str">
        <x:v>AC-O-004</x:v>
      </x:c>
      <x:c r="B289" s="46" t="str">
        <x:v>O. Government Document Requirements</x:v>
      </x:c>
      <x:c r="C289" s="46" t="str">
        <x:v>FR-O-004</x:v>
      </x:c>
      <x:c r="D289" s="46" t="str">
        <x:v>Given the applicable Government Document Requirements preconditions and a valid Local Profile</x:v>
      </x:c>
      <x:c r="E289" s="46" t="str">
        <x:v>When the user performs the relevant action or the relevant system condition occurs</x:v>
      </x:c>
      <x:c r="F289" s="46" t="str">
        <x:v>Then requirement guidance shall support source and last-verified date.</x:v>
      </x:c>
      <x:c r="G289" s="46" t="str">
        <x:v>Yes</x:v>
      </x:c>
      <x:c r="H289" s="47" t="str">
        <x:v>Manual review</x:v>
      </x:c>
    </x:row>
    <x:row r="290" ht="42" customHeight="1">
      <x:c r="A290" s="45" t="str">
        <x:v>AC-O-005</x:v>
      </x:c>
      <x:c r="B290" s="46" t="str">
        <x:v>O. Government Document Requirements</x:v>
      </x:c>
      <x:c r="C290" s="46" t="str">
        <x:v>FR-O-005</x:v>
      </x:c>
      <x:c r="D290" s="46" t="str">
        <x:v>Given the applicable Government Document Requirements preconditions and a valid Local Profile</x:v>
      </x:c>
      <x:c r="E290" s="46" t="str">
        <x:v>When the user performs the relevant action or the relevant system condition occurs</x:v>
      </x:c>
      <x:c r="F290" s="46" t="str">
        <x:v>Then identify verified, stale, and unverified content.</x:v>
      </x:c>
      <x:c r="G290" s="46" t="str">
        <x:v>Yes</x:v>
      </x:c>
      <x:c r="H290" s="47" t="str">
        <x:v>Domain test</x:v>
      </x:c>
    </x:row>
    <x:row r="291" ht="42" customHeight="1">
      <x:c r="A291" s="45" t="str">
        <x:v>AC-O-006</x:v>
      </x:c>
      <x:c r="B291" s="46" t="str">
        <x:v>O. Government Document Requirements</x:v>
      </x:c>
      <x:c r="C291" s="46" t="str">
        <x:v>FR-O-006</x:v>
      </x:c>
      <x:c r="D291" s="46" t="str">
        <x:v>Given the applicable Government Document Requirements preconditions and a valid Local Profile</x:v>
      </x:c>
      <x:c r="E291" s="46" t="str">
        <x:v>When the user performs the relevant action or the relevant system condition occurs</x:v>
      </x:c>
      <x:c r="F291" s="46" t="str">
        <x:v>Then be able to create Tasks and Calendar Events.</x:v>
      </x:c>
      <x:c r="G291" s="46" t="str">
        <x:v>Yes</x:v>
      </x:c>
      <x:c r="H291" s="47" t="str">
        <x:v>Widget test / Integration test</x:v>
      </x:c>
    </x:row>
    <x:row r="292" ht="42" customHeight="1">
      <x:c r="A292" s="45" t="str">
        <x:v>AC-O-007</x:v>
      </x:c>
      <x:c r="B292" s="46" t="str">
        <x:v>O. Government Document Requirements</x:v>
      </x:c>
      <x:c r="C292" s="46" t="str">
        <x:v>FR-O-007</x:v>
      </x:c>
      <x:c r="D292" s="46" t="str">
        <x:v>Given the applicable Government Document Requirements preconditions and a valid Local Profile</x:v>
      </x:c>
      <x:c r="E292" s="46" t="str">
        <x:v>When the user performs the relevant action or the relevant system condition occurs</x:v>
      </x:c>
      <x:c r="F292" s="46" t="str">
        <x:v>Then appointment scheduling shall remain separate from submission.</x:v>
      </x:c>
      <x:c r="G292" s="46" t="str">
        <x:v>Yes</x:v>
      </x:c>
      <x:c r="H292" s="47" t="str">
        <x:v>Domain test</x:v>
      </x:c>
    </x:row>
    <x:row r="293" ht="42" customHeight="1">
      <x:c r="A293" s="45" t="str">
        <x:v>AC-O-008</x:v>
      </x:c>
      <x:c r="B293" s="46" t="str">
        <x:v>O. Government Document Requirements</x:v>
      </x:c>
      <x:c r="C293" s="46" t="str">
        <x:v>FR-O-008</x:v>
      </x:c>
      <x:c r="D293" s="46" t="str">
        <x:v>Given the applicable Government Document Requirements preconditions and a valid Local Profile</x:v>
      </x:c>
      <x:c r="E293" s="46" t="str">
        <x:v>When the user performs the relevant action or the relevant system condition occurs</x:v>
      </x:c>
      <x:c r="F293" s="46" t="str">
        <x:v>Then be able to confirm application submission.</x:v>
      </x:c>
      <x:c r="G293" s="46" t="str">
        <x:v>Yes</x:v>
      </x:c>
      <x:c r="H293" s="47" t="str">
        <x:v>Widget test</x:v>
      </x:c>
    </x:row>
    <x:row r="294" ht="42" customHeight="1">
      <x:c r="A294" s="45" t="str">
        <x:v>AC-O-009</x:v>
      </x:c>
      <x:c r="B294" s="46" t="str">
        <x:v>O. Government Document Requirements</x:v>
      </x:c>
      <x:c r="C294" s="46" t="str">
        <x:v>FR-O-009</x:v>
      </x:c>
      <x:c r="D294" s="46" t="str">
        <x:v>Given the applicable Government Document Requirements preconditions and a valid Local Profile</x:v>
      </x:c>
      <x:c r="E294" s="46" t="str">
        <x:v>When the user performs the relevant action or the relevant system condition occurs</x:v>
      </x:c>
      <x:c r="F294" s="46" t="str">
        <x:v>Then be able to record processing or action-needed outcomes.</x:v>
      </x:c>
      <x:c r="G294" s="46" t="str">
        <x:v>No</x:v>
      </x:c>
      <x:c r="H294" s="47" t="str">
        <x:v>Domain test / Widget test</x:v>
      </x:c>
    </x:row>
    <x:row r="295" ht="42" customHeight="1">
      <x:c r="A295" s="45" t="str">
        <x:v>AC-O-010</x:v>
      </x:c>
      <x:c r="B295" s="46" t="str">
        <x:v>O. Government Document Requirements</x:v>
      </x:c>
      <x:c r="C295" s="46" t="str">
        <x:v>FR-O-010</x:v>
      </x:c>
      <x:c r="D295" s="46" t="str">
        <x:v>Given the applicable Government Document Requirements preconditions and a valid Local Profile</x:v>
      </x:c>
      <x:c r="E295" s="46" t="str">
        <x:v>When the user performs the relevant action or the relevant system condition occurs</x:v>
      </x:c>
      <x:c r="F295" s="46" t="str">
        <x:v>Then be able to confirm a document was obtained.</x:v>
      </x:c>
      <x:c r="G295" s="46" t="str">
        <x:v>No</x:v>
      </x:c>
      <x:c r="H295" s="47" t="str">
        <x:v>Widget test</x:v>
      </x:c>
    </x:row>
    <x:row r="296" ht="42" customHeight="1">
      <x:c r="A296" s="45" t="str">
        <x:v>AC-O-011</x:v>
      </x:c>
      <x:c r="B296" s="46" t="str">
        <x:v>O. Government Document Requirements</x:v>
      </x:c>
      <x:c r="C296" s="46" t="str">
        <x:v>FR-O-011</x:v>
      </x:c>
      <x:c r="D296" s="46" t="str">
        <x:v>Given the applicable Government Document Requirements preconditions and a valid Local Profile</x:v>
      </x:c>
      <x:c r="E296" s="46" t="str">
        <x:v>When the user performs the relevant action or the relevant system condition occurs</x:v>
      </x:c>
      <x:c r="F296" s="46" t="str">
        <x:v>Then obtained records shall support optional expiration or renewal dates.</x:v>
      </x:c>
      <x:c r="G296" s="46" t="str">
        <x:v>Yes</x:v>
      </x:c>
      <x:c r="H296" s="47" t="str">
        <x:v>Domain test</x:v>
      </x:c>
    </x:row>
    <x:row r="297" ht="42" customHeight="1">
      <x:c r="A297" s="45" t="str">
        <x:v>AC-O-012</x:v>
      </x:c>
      <x:c r="B297" s="46" t="str">
        <x:v>O. Government Document Requirements</x:v>
      </x:c>
      <x:c r="C297" s="46" t="str">
        <x:v>FR-O-012</x:v>
      </x:c>
      <x:c r="D297" s="46" t="str">
        <x:v>Given the applicable Government Document Requirements preconditions and a valid Local Profile</x:v>
      </x:c>
      <x:c r="E297" s="46" t="str">
        <x:v>When the user performs the relevant action or the relevant system condition occurs</x:v>
      </x:c>
      <x:c r="F297" s="46" t="str">
        <x:v>Then derive Renewal Due attention from explicit dates.</x:v>
      </x:c>
      <x:c r="G297" s="46" t="str">
        <x:v>No</x:v>
      </x:c>
      <x:c r="H297" s="47" t="str">
        <x:v>Domain test</x:v>
      </x:c>
    </x:row>
    <x:row r="298" ht="42" customHeight="1">
      <x:c r="A298" s="45" t="str">
        <x:v>AC-O-013</x:v>
      </x:c>
      <x:c r="B298" s="46" t="str">
        <x:v>O. Government Document Requirements</x:v>
      </x:c>
      <x:c r="C298" s="46" t="str">
        <x:v>FR-O-013</x:v>
      </x:c>
      <x:c r="D298" s="46" t="str">
        <x:v>Given the applicable Government Document Requirements preconditions and a valid Local Profile</x:v>
      </x:c>
      <x:c r="E298" s="46" t="str">
        <x:v>When the user performs the relevant action or the relevant system condition occurs</x:v>
      </x:c>
      <x:c r="F298" s="46" t="str">
        <x:v>Then be able to store an optional masked reference.</x:v>
      </x:c>
      <x:c r="G298" s="46" t="str">
        <x:v>Yes</x:v>
      </x:c>
      <x:c r="H298" s="47" t="str">
        <x:v>Widget test</x:v>
      </x:c>
    </x:row>
    <x:row r="299" ht="42" customHeight="1">
      <x:c r="A299" s="45" t="str">
        <x:v>AC-O-014</x:v>
      </x:c>
      <x:c r="B299" s="46" t="str">
        <x:v>O. Government Document Requirements</x:v>
      </x:c>
      <x:c r="C299" s="46" t="str">
        <x:v>FR-O-014</x:v>
      </x:c>
      <x:c r="D299" s="46" t="str">
        <x:v>Given the applicable Government Document Requirements preconditions and a valid Local Profile</x:v>
      </x:c>
      <x:c r="E299" s="46" t="str">
        <x:v>When the user performs the relevant action or the relevant system condition occurs</x:v>
      </x:c>
      <x:c r="F299" s="46" t="str">
        <x:v>Then full document numbers shall not be required.</x:v>
      </x:c>
      <x:c r="G299" s="46" t="str">
        <x:v>Yes</x:v>
      </x:c>
      <x:c r="H299" s="47" t="str">
        <x:v>Domain test</x:v>
      </x:c>
    </x:row>
    <x:row r="300" ht="42" customHeight="1">
      <x:c r="A300" s="45" t="str">
        <x:v>AC-O-015</x:v>
      </x:c>
      <x:c r="B300" s="46" t="str">
        <x:v>O. Government Document Requirements</x:v>
      </x:c>
      <x:c r="C300" s="46" t="str">
        <x:v>FR-O-015</x:v>
      </x:c>
      <x:c r="D300" s="46" t="str">
        <x:v>Given the applicable Government Document Requirements preconditions and a valid Local Profile</x:v>
      </x:c>
      <x:c r="E300" s="46" t="str">
        <x:v>When the user performs the relevant action or the relevant system condition occurs</x:v>
      </x:c>
      <x:c r="F300" s="46" t="str">
        <x:v>Then document images shall not be required or stored in V1.</x:v>
      </x:c>
      <x:c r="G300" s="46" t="str">
        <x:v>Yes</x:v>
      </x:c>
      <x:c r="H300" s="47" t="str">
        <x:v>Domain test</x:v>
      </x:c>
    </x:row>
    <x:row r="301" ht="42" customHeight="1">
      <x:c r="A301" s="45" t="str">
        <x:v>AC-O-016</x:v>
      </x:c>
      <x:c r="B301" s="46" t="str">
        <x:v>O. Government Document Requirements</x:v>
      </x:c>
      <x:c r="C301" s="46" t="str">
        <x:v>FR-O-016</x:v>
      </x:c>
      <x:c r="D301" s="46" t="str">
        <x:v>Given the applicable Government Document Requirements preconditions and a valid Local Profile</x:v>
      </x:c>
      <x:c r="E301" s="46" t="str">
        <x:v>When the user performs the relevant action or the relevant system condition occurs</x:v>
      </x:c>
      <x:c r="F301" s="46" t="str">
        <x:v>Then content updates shall preserve user state and history.</x:v>
      </x:c>
      <x:c r="G301" s="46" t="str">
        <x:v>Yes</x:v>
      </x:c>
      <x:c r="H301" s="47" t="str">
        <x:v>Domain test</x:v>
      </x:c>
    </x:row>
    <x:row r="302" ht="42" customHeight="1">
      <x:c r="A302" s="45" t="str">
        <x:v>AC-O-017</x:v>
      </x:c>
      <x:c r="B302" s="46" t="str">
        <x:v>O. Government Document Requirements</x:v>
      </x:c>
      <x:c r="C302" s="46" t="str">
        <x:v>FR-O-017</x:v>
      </x:c>
      <x:c r="D302" s="46" t="str">
        <x:v>Given the applicable Government Document Requirements preconditions and a valid Local Profile</x:v>
      </x:c>
      <x:c r="E302" s="46" t="str">
        <x:v>When the user performs the relevant action or the relevant system condition occurs</x:v>
      </x:c>
      <x:c r="F302" s="46" t="str">
        <x:v>Then provide content version context.</x:v>
      </x:c>
      <x:c r="G302" s="46" t="str">
        <x:v>No</x:v>
      </x:c>
      <x:c r="H302" s="47" t="str">
        <x:v>Domain test</x:v>
      </x:c>
    </x:row>
    <x:row r="303" ht="42" customHeight="1">
      <x:c r="A303" s="45" t="str">
        <x:v>AC-O-018</x:v>
      </x:c>
      <x:c r="B303" s="46" t="str">
        <x:v>O. Government Document Requirements</x:v>
      </x:c>
      <x:c r="C303" s="46" t="str">
        <x:v>FR-O-018</x:v>
      </x:c>
      <x:c r="D303" s="46" t="str">
        <x:v>Given the applicable Government Document Requirements preconditions and a valid Local Profile</x:v>
      </x:c>
      <x:c r="E303" s="46" t="str">
        <x:v>When the user performs the relevant action or the relevant system condition occurs</x:v>
      </x:c>
      <x:c r="F303" s="46" t="str">
        <x:v>Then be able to archive and restore requirements.</x:v>
      </x:c>
      <x:c r="G303" s="46" t="str">
        <x:v>Yes</x:v>
      </x:c>
      <x:c r="H303" s="47" t="str">
        <x:v>Database test / Widget test</x:v>
      </x:c>
    </x:row>
    <x:row r="304" ht="42" customHeight="1">
      <x:c r="A304" s="45" t="str">
        <x:v>AC-O-019</x:v>
      </x:c>
      <x:c r="B304" s="46" t="str">
        <x:v>O. Government Document Requirements</x:v>
      </x:c>
      <x:c r="C304" s="46" t="str">
        <x:v>FR-O-019</x:v>
      </x:c>
      <x:c r="D304" s="46" t="str">
        <x:v>Given the applicable Government Document Requirements preconditions and a valid Local Profile</x:v>
      </x:c>
      <x:c r="E304" s="46" t="str">
        <x:v>When the user performs the relevant action or the relevant system condition occurs</x:v>
      </x:c>
      <x:c r="F304" s="46" t="str">
        <x:v>Then the feature shall operate offline.</x:v>
      </x:c>
      <x:c r="G304" s="46" t="str">
        <x:v>Yes</x:v>
      </x:c>
      <x:c r="H304" s="47" t="str">
        <x:v>Domain test</x:v>
      </x:c>
    </x:row>
    <x:row r="305" ht="42" customHeight="1">
      <x:c r="A305" s="45" t="str">
        <x:v>AC-O-020</x:v>
      </x:c>
      <x:c r="B305" s="46" t="str">
        <x:v>O. Government Document Requirements</x:v>
      </x:c>
      <x:c r="C305" s="46" t="str">
        <x:v>FR-O-020</x:v>
      </x:c>
      <x:c r="D305" s="46" t="str">
        <x:v>Given the applicable Government Document Requirements preconditions and a valid Local Profile</x:v>
      </x:c>
      <x:c r="E305" s="46" t="str">
        <x:v>When the user performs the relevant action or the relevant system condition occurs</x:v>
      </x:c>
      <x:c r="F305" s="46" t="str">
        <x:v>Then external official links shall not block local use.</x:v>
      </x:c>
      <x:c r="G305" s="46" t="str">
        <x:v>Yes</x:v>
      </x:c>
      <x:c r="H305" s="47" t="str">
        <x:v>Integration test / Manual review</x:v>
      </x:c>
    </x:row>
    <x:row r="306" ht="42" customHeight="1">
      <x:c r="A306" s="45" t="str">
        <x:v>AC-P-001</x:v>
      </x:c>
      <x:c r="B306" s="46" t="str">
        <x:v>P. Maps and Locations</x:v>
      </x:c>
      <x:c r="C306" s="46" t="str">
        <x:v>FR-P-001</x:v>
      </x:c>
      <x:c r="D306" s="46" t="str">
        <x:v>Given the applicable Maps and Locations preconditions and a valid Local Profile</x:v>
      </x:c>
      <x:c r="E306" s="46" t="str">
        <x:v>When the user performs the relevant action or the relevant system condition occurs</x:v>
      </x:c>
      <x:c r="F306" s="46" t="str">
        <x:v>Then be able to enter and save typed location text without granting location permission.</x:v>
      </x:c>
      <x:c r="G306" s="46" t="str">
        <x:v>Yes</x:v>
      </x:c>
      <x:c r="H306" s="47" t="str">
        <x:v>Widget test</x:v>
      </x:c>
    </x:row>
    <x:row r="307" ht="42" customHeight="1">
      <x:c r="A307" s="45" t="str">
        <x:v>AC-P-002</x:v>
      </x:c>
      <x:c r="B307" s="46" t="str">
        <x:v>P. Maps and Locations</x:v>
      </x:c>
      <x:c r="C307" s="46" t="str">
        <x:v>FR-P-002</x:v>
      </x:c>
      <x:c r="D307" s="46" t="str">
        <x:v>Given the applicable Maps and Locations preconditions and a valid Local Profile</x:v>
      </x:c>
      <x:c r="E307" s="46" t="str">
        <x:v>When the user performs the relevant action or the relevant system condition occurs</x:v>
      </x:c>
      <x:c r="F307" s="46" t="str">
        <x:v>Then remain contextual and shall not be added to permanent bottom navigation.</x:v>
      </x:c>
      <x:c r="G307" s="46" t="str">
        <x:v>Yes</x:v>
      </x:c>
      <x:c r="H307" s="47" t="str">
        <x:v>Domain test</x:v>
      </x:c>
    </x:row>
    <x:row r="308" ht="42" customHeight="1">
      <x:c r="A308" s="45" t="str">
        <x:v>AC-P-003</x:v>
      </x:c>
      <x:c r="B308" s="46" t="str">
        <x:v>P. Maps and Locations</x:v>
      </x:c>
      <x:c r="C308" s="46" t="str">
        <x:v>FR-P-003</x:v>
      </x:c>
      <x:c r="D308" s="46" t="str">
        <x:v>Given the applicable Maps and Locations preconditions and a valid Local Profile</x:v>
      </x:c>
      <x:c r="E308" s="46" t="str">
        <x:v>When the user performs the relevant action or the relevant system condition occurs</x:v>
      </x:c>
      <x:c r="F308" s="46" t="str">
        <x:v>Then be able to hand a stored destination to a compatible Android maps application.</x:v>
      </x:c>
      <x:c r="G308" s="46" t="str">
        <x:v>Yes</x:v>
      </x:c>
      <x:c r="H308" s="47" t="str">
        <x:v>Widget test / Integration test</x:v>
      </x:c>
    </x:row>
    <x:row r="309" ht="42" customHeight="1">
      <x:c r="A309" s="45" t="str">
        <x:v>AC-P-004</x:v>
      </x:c>
      <x:c r="B309" s="46" t="str">
        <x:v>P. Maps and Locations</x:v>
      </x:c>
      <x:c r="C309" s="46" t="str">
        <x:v>FR-P-004</x:v>
      </x:c>
      <x:c r="D309" s="46" t="str">
        <x:v>Given the applicable Maps and Locations preconditions and a valid Local Profile</x:v>
      </x:c>
      <x:c r="E309" s="46" t="str">
        <x:v>When the user performs the relevant action or the relevant system condition occurs</x:v>
      </x:c>
      <x:c r="F309" s="46" t="str">
        <x:v>Then current-location permission shall be requested only after the user selects a feature that needs it.</x:v>
      </x:c>
      <x:c r="G309" s="46" t="str">
        <x:v>Yes</x:v>
      </x:c>
      <x:c r="H309" s="47" t="str">
        <x:v>Widget test</x:v>
      </x:c>
    </x:row>
    <x:row r="310" ht="42" customHeight="1">
      <x:c r="A310" s="45" t="str">
        <x:v>AC-P-005</x:v>
      </x:c>
      <x:c r="B310" s="46" t="str">
        <x:v>P. Maps and Locations</x:v>
      </x:c>
      <x:c r="C310" s="46" t="str">
        <x:v>FR-P-005</x:v>
      </x:c>
      <x:c r="D310" s="46" t="str">
        <x:v>Given the applicable Maps and Locations preconditions and a valid Local Profile</x:v>
      </x:c>
      <x:c r="E310" s="46" t="str">
        <x:v>When the user performs the relevant action or the relevant system condition occurs</x:v>
      </x:c>
      <x:c r="F310" s="46" t="str">
        <x:v>Then denial or revocation of location permission shall not block core domain workflows.</x:v>
      </x:c>
      <x:c r="G310" s="46" t="str">
        <x:v>Yes</x:v>
      </x:c>
      <x:c r="H310" s="47" t="str">
        <x:v>Widget test</x:v>
      </x:c>
    </x:row>
    <x:row r="311" ht="42" customHeight="1">
      <x:c r="A311" s="45" t="str">
        <x:v>AC-P-006</x:v>
      </x:c>
      <x:c r="B311" s="46" t="str">
        <x:v>P. Maps and Locations</x:v>
      </x:c>
      <x:c r="C311" s="46" t="str">
        <x:v>FR-P-006</x:v>
      </x:c>
      <x:c r="D311" s="46" t="str">
        <x:v>Given the applicable Maps and Locations preconditions and a valid Local Profile</x:v>
      </x:c>
      <x:c r="E311" s="46" t="str">
        <x:v>When the user performs the relevant action or the relevant system condition occurs</x:v>
      </x:c>
      <x:c r="F311" s="46" t="str">
        <x:v>Then be able to create, edit, and reuse private Saved Places locally.</x:v>
      </x:c>
      <x:c r="G311" s="46" t="str">
        <x:v>No</x:v>
      </x:c>
      <x:c r="H311" s="47" t="str">
        <x:v>Widget test</x:v>
      </x:c>
    </x:row>
    <x:row r="312" ht="42" customHeight="1">
      <x:c r="A312" s="45" t="str">
        <x:v>AC-P-007</x:v>
      </x:c>
      <x:c r="B312" s="46" t="str">
        <x:v>P. Maps and Locations</x:v>
      </x:c>
      <x:c r="C312" s="46" t="str">
        <x:v>FR-P-007</x:v>
      </x:c>
      <x:c r="D312" s="46" t="str">
        <x:v>Given the applicable Maps and Locations preconditions and a valid Local Profile</x:v>
      </x:c>
      <x:c r="E312" s="46" t="str">
        <x:v>When the user performs the relevant action or the relevant system condition occurs</x:v>
      </x:c>
      <x:c r="F312" s="46" t="str">
        <x:v>Then location text, optional coordinates, and the owning domain record shall retain separate identities.</x:v>
      </x:c>
      <x:c r="G312" s="46" t="str">
        <x:v>Yes</x:v>
      </x:c>
      <x:c r="H312" s="47" t="str">
        <x:v>Domain test</x:v>
      </x:c>
    </x:row>
    <x:row r="313" ht="42" customHeight="1">
      <x:c r="A313" s="45" t="str">
        <x:v>AC-P-008</x:v>
      </x:c>
      <x:c r="B313" s="46" t="str">
        <x:v>P. Maps and Locations</x:v>
      </x:c>
      <x:c r="C313" s="46" t="str">
        <x:v>FR-P-008</x:v>
      </x:c>
      <x:c r="D313" s="46" t="str">
        <x:v>Given the applicable Maps and Locations preconditions and a valid Local Profile</x:v>
      </x:c>
      <x:c r="E313" s="46" t="str">
        <x:v>When the user performs the relevant action or the relevant system condition occurs</x:v>
      </x:c>
      <x:c r="F313" s="46" t="str">
        <x:v>Then not require or collect background location for V1 location workflows.</x:v>
      </x:c>
      <x:c r="G313" s="46" t="str">
        <x:v>Yes</x:v>
      </x:c>
      <x:c r="H313" s="47" t="str">
        <x:v>Integration test</x:v>
      </x:c>
    </x:row>
    <x:row r="314" ht="42" customHeight="1">
      <x:c r="A314" s="45" t="str">
        <x:v>AC-P-009</x:v>
      </x:c>
      <x:c r="B314" s="46" t="str">
        <x:v>P. Maps and Locations</x:v>
      </x:c>
      <x:c r="C314" s="46" t="str">
        <x:v>FR-P-009</x:v>
      </x:c>
      <x:c r="D314" s="46" t="str">
        <x:v>Given the applicable Maps and Locations preconditions and a valid Local Profile</x:v>
      </x:c>
      <x:c r="E314" s="46" t="str">
        <x:v>When the user performs the relevant action or the relevant system condition occurs</x:v>
      </x:c>
      <x:c r="F314" s="46" t="str">
        <x:v>Then stored locations shall remain viewable and editable offline.</x:v>
      </x:c>
      <x:c r="G314" s="46" t="str">
        <x:v>Yes</x:v>
      </x:c>
      <x:c r="H314" s="47" t="str">
        <x:v>Domain test</x:v>
      </x:c>
    </x:row>
    <x:row r="315" ht="42" customHeight="1">
      <x:c r="A315" s="45" t="str">
        <x:v>AC-P-010</x:v>
      </x:c>
      <x:c r="B315" s="46" t="str">
        <x:v>P. Maps and Locations</x:v>
      </x:c>
      <x:c r="C315" s="46" t="str">
        <x:v>FR-P-010</x:v>
      </x:c>
      <x:c r="D315" s="46" t="str">
        <x:v>Given the applicable Maps and Locations preconditions and a valid Local Profile</x:v>
      </x:c>
      <x:c r="E315" s="46" t="str">
        <x:v>When the user performs the relevant action or the relevant system condition occurs</x:v>
      </x:c>
      <x:c r="F315" s="46" t="str">
        <x:v>Then map use, location lookup, and destination arrival shall not change outcomes or Actual.</x:v>
      </x:c>
      <x:c r="G315" s="46" t="str">
        <x:v>Yes</x:v>
      </x:c>
      <x:c r="H315" s="47" t="str">
        <x:v>Domain test</x:v>
      </x:c>
    </x:row>
    <x:row r="316" ht="42" customHeight="1">
      <x:c r="A316" s="45" t="str">
        <x:v>AC-P-011</x:v>
      </x:c>
      <x:c r="B316" s="46" t="str">
        <x:v>P. Maps and Locations</x:v>
      </x:c>
      <x:c r="C316" s="46" t="str">
        <x:v>FR-P-011</x:v>
      </x:c>
      <x:c r="D316" s="46" t="str">
        <x:v>Given the applicable Maps and Locations preconditions and a valid Local Profile</x:v>
      </x:c>
      <x:c r="E316" s="46" t="str">
        <x:v>When the user performs the relevant action or the relevant system condition occurs</x:v>
      </x:c>
      <x:c r="F316" s="46" t="str">
        <x:v>Then rescheduled Calendar Events shall preserve original and replacement location history.</x:v>
      </x:c>
      <x:c r="G316" s="46" t="str">
        <x:v>Yes</x:v>
      </x:c>
      <x:c r="H316" s="47" t="str">
        <x:v>Integration test</x:v>
      </x:c>
    </x:row>
    <x:row r="317" ht="42" customHeight="1">
      <x:c r="A317" s="45" t="str">
        <x:v>AC-P-012</x:v>
      </x:c>
      <x:c r="B317" s="46" t="str">
        <x:v>P. Maps and Locations</x:v>
      </x:c>
      <x:c r="C317" s="46" t="str">
        <x:v>FR-P-012</x:v>
      </x:c>
      <x:c r="D317" s="46" t="str">
        <x:v>Given the applicable Maps and Locations preconditions and a valid Local Profile</x:v>
      </x:c>
      <x:c r="E317" s="46" t="str">
        <x:v>When the user performs the relevant action or the relevant system condition occurs</x:v>
      </x:c>
      <x:c r="F317" s="46" t="str">
        <x:v>Then location-related diagnostics shall avoid exposing precise personal location by default.</x:v>
      </x:c>
      <x:c r="G317" s="46" t="str">
        <x:v>No</x:v>
      </x:c>
      <x:c r="H317" s="47" t="str">
        <x:v>Manual review</x:v>
      </x:c>
    </x:row>
    <x:row r="318" ht="42" customHeight="1">
      <x:c r="A318" s="45" t="str">
        <x:v>AC-P-013</x:v>
      </x:c>
      <x:c r="B318" s="46" t="str">
        <x:v>P. Maps and Locations</x:v>
      </x:c>
      <x:c r="C318" s="46" t="str">
        <x:v>FR-P-013</x:v>
      </x:c>
      <x:c r="D318" s="46" t="str">
        <x:v>Given the applicable Maps and Locations preconditions and a valid Local Profile</x:v>
      </x:c>
      <x:c r="E318" s="46" t="str">
        <x:v>When the user performs the relevant action or the relevant system condition occurs</x:v>
      </x:c>
      <x:c r="F318" s="46" t="str">
        <x:v>Then when no compatible map provider is available, the app shall retain and expose a copyable location fallback.</x:v>
      </x:c>
      <x:c r="G318" s="46" t="str">
        <x:v>No</x:v>
      </x:c>
      <x:c r="H318" s="47" t="str">
        <x:v>Domain test</x:v>
      </x:c>
    </x:row>
    <x:row r="319" ht="42" customHeight="1">
      <x:c r="A319" s="45" t="str">
        <x:v>AC-P-014</x:v>
      </x:c>
      <x:c r="B319" s="46" t="str">
        <x:v>P. Maps and Locations</x:v>
      </x:c>
      <x:c r="C319" s="46" t="str">
        <x:v>FR-P-014</x:v>
      </x:c>
      <x:c r="D319" s="46" t="str">
        <x:v>Given the applicable Maps and Locations preconditions and a valid Local Profile</x:v>
      </x:c>
      <x:c r="E319" s="46" t="str">
        <x:v>When the user performs the relevant action or the relevant system condition occurs</x:v>
      </x:c>
      <x:c r="F319" s="46" t="str">
        <x:v>Then be able to select a Saved Place while preserving a snapshot of the location used by the owning record.</x:v>
      </x:c>
      <x:c r="G319" s="46" t="str">
        <x:v>No</x:v>
      </x:c>
      <x:c r="H319" s="47" t="str">
        <x:v>Widget test</x:v>
      </x:c>
    </x:row>
    <x:row r="320" ht="42" customHeight="1">
      <x:c r="A320" s="45" t="str">
        <x:v>AC-P-015</x:v>
      </x:c>
      <x:c r="B320" s="46" t="str">
        <x:v>P. Maps and Locations</x:v>
      </x:c>
      <x:c r="C320" s="46" t="str">
        <x:v>FR-P-015</x:v>
      </x:c>
      <x:c r="D320" s="46" t="str">
        <x:v>Given the applicable Maps and Locations preconditions and a valid Local Profile</x:v>
      </x:c>
      <x:c r="E320" s="46" t="str">
        <x:v>When the user performs the relevant action or the relevant system condition occurs</x:v>
      </x:c>
      <x:c r="F320" s="46" t="str">
        <x:v>Then not retain continuous route or movement history.</x:v>
      </x:c>
      <x:c r="G320" s="46" t="str">
        <x:v>Yes</x:v>
      </x:c>
      <x:c r="H320" s="47" t="str">
        <x:v>Domain test</x:v>
      </x:c>
    </x:row>
    <x:row r="321" ht="42" customHeight="1">
      <x:c r="A321" s="45" t="str">
        <x:v>AC-Q-001</x:v>
      </x:c>
      <x:c r="B321" s="46" t="str">
        <x:v>Q. Notifications and Reminders</x:v>
      </x:c>
      <x:c r="C321" s="46" t="str">
        <x:v>FR-Q-001</x:v>
      </x:c>
      <x:c r="D321" s="46" t="str">
        <x:v>Given the applicable Notifications and Reminders preconditions and a valid Local Profile</x:v>
      </x:c>
      <x:c r="E321" s="46" t="str">
        <x:v>When the user performs the relevant action or the relevant system condition occurs</x:v>
      </x:c>
      <x:c r="F321" s="46" t="str">
        <x:v>Then be requested only when the user enables a system-notification feature.</x:v>
      </x:c>
      <x:c r="G321" s="46" t="str">
        <x:v>Yes</x:v>
      </x:c>
      <x:c r="H321" s="47" t="str">
        <x:v>Widget test</x:v>
      </x:c>
    </x:row>
    <x:row r="322" ht="42" customHeight="1">
      <x:c r="A322" s="45" t="str">
        <x:v>AC-Q-002</x:v>
      </x:c>
      <x:c r="B322" s="46" t="str">
        <x:v>Q. Notifications and Reminders</x:v>
      </x:c>
      <x:c r="C322" s="46" t="str">
        <x:v>FR-Q-002</x:v>
      </x:c>
      <x:c r="D322" s="46" t="str">
        <x:v>Given the applicable Notifications and Reminders preconditions and a valid Local Profile</x:v>
      </x:c>
      <x:c r="E322" s="46" t="str">
        <x:v>When the user performs the relevant action or the relevant system condition occurs</x:v>
      </x:c>
      <x:c r="F322" s="46" t="str">
        <x:v>Then be able to create local reminders without creating an account.</x:v>
      </x:c>
      <x:c r="G322" s="46" t="str">
        <x:v>Yes</x:v>
      </x:c>
      <x:c r="H322" s="47" t="str">
        <x:v>Widget test</x:v>
      </x:c>
    </x:row>
    <x:row r="323" ht="42" customHeight="1">
      <x:c r="A323" s="45" t="str">
        <x:v>AC-Q-003</x:v>
      </x:c>
      <x:c r="B323" s="46" t="str">
        <x:v>Q. Notifications and Reminders</x:v>
      </x:c>
      <x:c r="C323" s="46" t="str">
        <x:v>FR-Q-003</x:v>
      </x:c>
      <x:c r="D323" s="46" t="str">
        <x:v>Given the applicable Notifications and Reminders preconditions and a valid Local Profile</x:v>
      </x:c>
      <x:c r="E323" s="46" t="str">
        <x:v>When the user performs the relevant action or the relevant system condition occurs</x:v>
      </x:c>
      <x:c r="F323" s="46" t="str">
        <x:v>Then reminder creation, delivery, dismissal, or opening shall not change source outcomes or Actual.</x:v>
      </x:c>
      <x:c r="G323" s="46" t="str">
        <x:v>Yes</x:v>
      </x:c>
      <x:c r="H323" s="47" t="str">
        <x:v>Domain test</x:v>
      </x:c>
    </x:row>
    <x:row r="324" ht="42" customHeight="1">
      <x:c r="A324" s="45" t="str">
        <x:v>AC-Q-004</x:v>
      </x:c>
      <x:c r="B324" s="46" t="str">
        <x:v>Q. Notifications and Reminders</x:v>
      </x:c>
      <x:c r="C324" s="46" t="str">
        <x:v>FR-Q-004</x:v>
      </x:c>
      <x:c r="D324" s="46" t="str">
        <x:v>Given the applicable Notifications and Reminders preconditions and a valid Local Profile</x:v>
      </x:c>
      <x:c r="E324" s="46" t="str">
        <x:v>When the user performs the relevant action or the relevant system condition occurs</x:v>
      </x:c>
      <x:c r="F324" s="46" t="str">
        <x:v>Then task reminders and Calendar Event reminders shall remain linked to their separate source records.</x:v>
      </x:c>
      <x:c r="G324" s="46" t="str">
        <x:v>Yes</x:v>
      </x:c>
      <x:c r="H324" s="47" t="str">
        <x:v>Integration test</x:v>
      </x:c>
    </x:row>
    <x:row r="325" ht="42" customHeight="1">
      <x:c r="A325" s="45" t="str">
        <x:v>AC-Q-005</x:v>
      </x:c>
      <x:c r="B325" s="46" t="str">
        <x:v>Q. Notifications and Reminders</x:v>
      </x:c>
      <x:c r="C325" s="46" t="str">
        <x:v>FR-Q-005</x:v>
      </x:c>
      <x:c r="D325" s="46" t="str">
        <x:v>Given the applicable Notifications and Reminders preconditions and a valid Local Profile</x:v>
      </x:c>
      <x:c r="E325" s="46" t="str">
        <x:v>When the user performs the relevant action or the relevant system condition occurs</x:v>
      </x:c>
      <x:c r="F325" s="46" t="str">
        <x:v>Then recurring Calendar Event occurrences shall support independently scheduled reminders.</x:v>
      </x:c>
      <x:c r="G325" s="46" t="str">
        <x:v>Yes</x:v>
      </x:c>
      <x:c r="H325" s="47" t="str">
        <x:v>Integration test</x:v>
      </x:c>
    </x:row>
    <x:row r="326" ht="42" customHeight="1">
      <x:c r="A326" s="45" t="str">
        <x:v>AC-Q-006</x:v>
      </x:c>
      <x:c r="B326" s="46" t="str">
        <x:v>Q. Notifications and Reminders</x:v>
      </x:c>
      <x:c r="C326" s="46" t="str">
        <x:v>FR-Q-006</x:v>
      </x:c>
      <x:c r="D326" s="46" t="str">
        <x:v>Given the applicable Notifications and Reminders preconditions and a valid Local Profile</x:v>
      </x:c>
      <x:c r="E326" s="46" t="str">
        <x:v>When the user performs the relevant action or the relevant system condition occurs</x:v>
      </x:c>
      <x:c r="F326" s="46" t="str">
        <x:v>Then ended report-required events may generate Awaiting Report reminders without assigning outcomes.</x:v>
      </x:c>
      <x:c r="G326" s="46" t="str">
        <x:v>Yes</x:v>
      </x:c>
      <x:c r="H326" s="47" t="str">
        <x:v>Domain test</x:v>
      </x:c>
    </x:row>
    <x:row r="327" ht="42" customHeight="1">
      <x:c r="A327" s="45" t="str">
        <x:v>AC-Q-007</x:v>
      </x:c>
      <x:c r="B327" s="46" t="str">
        <x:v>Q. Notifications and Reminders</x:v>
      </x:c>
      <x:c r="C327" s="46" t="str">
        <x:v>FR-Q-007</x:v>
      </x:c>
      <x:c r="D327" s="46" t="str">
        <x:v>Given the applicable Notifications and Reminders preconditions and a valid Local Profile</x:v>
      </x:c>
      <x:c r="E327" s="46" t="str">
        <x:v>When the user performs the relevant action or the relevant system condition occurs</x:v>
      </x:c>
      <x:c r="F327" s="46" t="str">
        <x:v>Then weekly Plans may generate Review Due reminders without completing the review.</x:v>
      </x:c>
      <x:c r="G327" s="46" t="str">
        <x:v>Yes</x:v>
      </x:c>
      <x:c r="H327" s="47" t="str">
        <x:v>Domain test</x:v>
      </x:c>
    </x:row>
    <x:row r="328" ht="42" customHeight="1">
      <x:c r="A328" s="45" t="str">
        <x:v>AC-Q-008</x:v>
      </x:c>
      <x:c r="B328" s="46" t="str">
        <x:v>Q. Notifications and Reminders</x:v>
      </x:c>
      <x:c r="C328" s="46" t="str">
        <x:v>FR-Q-008</x:v>
      </x:c>
      <x:c r="D328" s="46" t="str">
        <x:v>Given the applicable Notifications and Reminders preconditions and a valid Local Profile</x:v>
      </x:c>
      <x:c r="E328" s="46" t="str">
        <x:v>When the user performs the relevant action or the relevant system condition occurs</x:v>
      </x:c>
      <x:c r="F328" s="46" t="str">
        <x:v>Then be able to configure quiet hours for reminder delivery.</x:v>
      </x:c>
      <x:c r="G328" s="46" t="str">
        <x:v>Yes</x:v>
      </x:c>
      <x:c r="H328" s="47" t="str">
        <x:v>Widget test</x:v>
      </x:c>
    </x:row>
    <x:row r="329" ht="42" customHeight="1">
      <x:c r="A329" s="45" t="str">
        <x:v>AC-Q-009</x:v>
      </x:c>
      <x:c r="B329" s="46" t="str">
        <x:v>Q. Notifications and Reminders</x:v>
      </x:c>
      <x:c r="C329" s="46" t="str">
        <x:v>FR-Q-009</x:v>
      </x:c>
      <x:c r="D329" s="46" t="str">
        <x:v>Given the applicable Notifications and Reminders preconditions and a valid Local Profile</x:v>
      </x:c>
      <x:c r="E329" s="46" t="str">
        <x:v>When the user performs the relevant action or the relevant system condition occurs</x:v>
      </x:c>
      <x:c r="F329" s="46" t="str">
        <x:v>Then notification previews shall support privacy-safe content levels.</x:v>
      </x:c>
      <x:c r="G329" s="46" t="str">
        <x:v>Yes</x:v>
      </x:c>
      <x:c r="H329" s="47" t="str">
        <x:v>Widget test</x:v>
      </x:c>
    </x:row>
    <x:row r="330" ht="42" customHeight="1">
      <x:c r="A330" s="45" t="str">
        <x:v>AC-Q-010</x:v>
      </x:c>
      <x:c r="B330" s="46" t="str">
        <x:v>Q. Notifications and Reminders</x:v>
      </x:c>
      <x:c r="C330" s="46" t="str">
        <x:v>FR-Q-010</x:v>
      </x:c>
      <x:c r="D330" s="46" t="str">
        <x:v>Given the applicable Notifications and Reminders preconditions and a valid Local Profile</x:v>
      </x:c>
      <x:c r="E330" s="46" t="str">
        <x:v>When the user performs the relevant action or the relevant system condition occurs</x:v>
      </x:c>
      <x:c r="F330" s="46" t="str">
        <x:v>Then applicable reminder schedules shall recover after device restart or app update.</x:v>
      </x:c>
      <x:c r="G330" s="46" t="str">
        <x:v>No</x:v>
      </x:c>
      <x:c r="H330" s="47" t="str">
        <x:v>Integration test</x:v>
      </x:c>
    </x:row>
    <x:row r="331" ht="42" customHeight="1">
      <x:c r="A331" s="45" t="str">
        <x:v>AC-Q-011</x:v>
      </x:c>
      <x:c r="B331" s="46" t="str">
        <x:v>Q. Notifications and Reminders</x:v>
      </x:c>
      <x:c r="C331" s="46" t="str">
        <x:v>FR-Q-011</x:v>
      </x:c>
      <x:c r="D331" s="46" t="str">
        <x:v>Given the applicable Notifications and Reminders preconditions and a valid Local Profile</x:v>
      </x:c>
      <x:c r="E331" s="46" t="str">
        <x:v>When the user performs the relevant action or the relevant system condition occurs</x:v>
      </x:c>
      <x:c r="F331" s="46" t="str">
        <x:v>Then reminder scheduling and recovery shall prevent duplicate active reminders.</x:v>
      </x:c>
      <x:c r="G331" s="46" t="str">
        <x:v>Yes</x:v>
      </x:c>
      <x:c r="H331" s="47" t="str">
        <x:v>Domain test / Integration test</x:v>
      </x:c>
    </x:row>
    <x:row r="332" ht="42" customHeight="1">
      <x:c r="A332" s="45" t="str">
        <x:v>AC-Q-012</x:v>
      </x:c>
      <x:c r="B332" s="46" t="str">
        <x:v>Q. Notifications and Reminders</x:v>
      </x:c>
      <x:c r="C332" s="46" t="str">
        <x:v>FR-Q-012</x:v>
      </x:c>
      <x:c r="D332" s="46" t="str">
        <x:v>Given the applicable Notifications and Reminders preconditions and a valid Local Profile</x:v>
      </x:c>
      <x:c r="E332" s="46" t="str">
        <x:v>When the user performs the relevant action or the relevant system condition occurs</x:v>
      </x:c>
      <x:c r="F332" s="46" t="str">
        <x:v>Then permission denial shall not alter Tasks, events, reports, targets, Actual, or Scheduled Potential.</x:v>
      </x:c>
      <x:c r="G332" s="46" t="str">
        <x:v>Yes</x:v>
      </x:c>
      <x:c r="H332" s="47" t="str">
        <x:v>Domain test / Widget test</x:v>
      </x:c>
    </x:row>
    <x:row r="333" ht="42" customHeight="1">
      <x:c r="A333" s="45" t="str">
        <x:v>AC-Q-013</x:v>
      </x:c>
      <x:c r="B333" s="46" t="str">
        <x:v>Q. Notifications and Reminders</x:v>
      </x:c>
      <x:c r="C333" s="46" t="str">
        <x:v>FR-Q-013</x:v>
      </x:c>
      <x:c r="D333" s="46" t="str">
        <x:v>Given the applicable Notifications and Reminders preconditions and a valid Local Profile</x:v>
      </x:c>
      <x:c r="E333" s="46" t="str">
        <x:v>When the user performs the relevant action or the relevant system condition occurs</x:v>
      </x:c>
      <x:c r="F333" s="46" t="str">
        <x:v>Then be stored locally and remain available offline.</x:v>
      </x:c>
      <x:c r="G333" s="46" t="str">
        <x:v>Yes</x:v>
      </x:c>
      <x:c r="H333" s="47" t="str">
        <x:v>Database test</x:v>
      </x:c>
    </x:row>
    <x:row r="334" ht="42" customHeight="1">
      <x:c r="A334" s="45" t="str">
        <x:v>AC-Q-014</x:v>
      </x:c>
      <x:c r="B334" s="46" t="str">
        <x:v>Q. Notifications and Reminders</x:v>
      </x:c>
      <x:c r="C334" s="46" t="str">
        <x:v>FR-Q-014</x:v>
      </x:c>
      <x:c r="D334" s="46" t="str">
        <x:v>Given the applicable Notifications and Reminders preconditions and a valid Local Profile</x:v>
      </x:c>
      <x:c r="E334" s="46" t="str">
        <x:v>When the user performs the relevant action or the relevant system condition occurs</x:v>
      </x:c>
      <x:c r="F334" s="46" t="str">
        <x:v>Then be reconciled after relevant date, time, or timezone changes.</x:v>
      </x:c>
      <x:c r="G334" s="46" t="str">
        <x:v>No</x:v>
      </x:c>
      <x:c r="H334" s="47" t="str">
        <x:v>Domain test</x:v>
      </x:c>
    </x:row>
    <x:row r="335" ht="42" customHeight="1">
      <x:c r="A335" s="45" t="str">
        <x:v>AC-Q-015</x:v>
      </x:c>
      <x:c r="B335" s="46" t="str">
        <x:v>Q. Notifications and Reminders</x:v>
      </x:c>
      <x:c r="C335" s="46" t="str">
        <x:v>FR-Q-015</x:v>
      </x:c>
      <x:c r="D335" s="46" t="str">
        <x:v>Given the applicable Notifications and Reminders preconditions and a valid Local Profile</x:v>
      </x:c>
      <x:c r="E335" s="46" t="str">
        <x:v>When the user performs the relevant action or the relevant system condition occurs</x:v>
      </x:c>
      <x:c r="F335" s="46" t="str">
        <x:v>Then reminder preferences and quiet hours shall be private to the Local Profile.</x:v>
      </x:c>
      <x:c r="G335" s="46" t="str">
        <x:v>Yes</x:v>
      </x:c>
      <x:c r="H335" s="47" t="str">
        <x:v>Domain test</x:v>
      </x:c>
    </x:row>
    <x:row r="336" ht="42" customHeight="1">
      <x:c r="A336" s="45" t="str">
        <x:v>AC-Q-016</x:v>
      </x:c>
      <x:c r="B336" s="46" t="str">
        <x:v>Q. Notifications and Reminders</x:v>
      </x:c>
      <x:c r="C336" s="46" t="str">
        <x:v>FR-Q-016</x:v>
      </x:c>
      <x:c r="D336" s="46" t="str">
        <x:v>Given the applicable Notifications and Reminders preconditions and a valid Local Profile</x:v>
      </x:c>
      <x:c r="E336" s="46" t="str">
        <x:v>When the user performs the relevant action or the relevant system condition occurs</x:v>
      </x:c>
      <x:c r="F336" s="46" t="str">
        <x:v>Then be cancelled when their source is cancelled, rescheduled, deleted, or archived as applicable.</x:v>
      </x:c>
      <x:c r="G336" s="46" t="str">
        <x:v>No</x:v>
      </x:c>
      <x:c r="H336" s="47" t="str">
        <x:v>Domain test</x:v>
      </x:c>
    </x:row>
    <x:row r="337" ht="42" customHeight="1">
      <x:c r="A337" s="45" t="str">
        <x:v>AC-R-001</x:v>
      </x:c>
      <x:c r="B337" s="46" t="str">
        <x:v>R. BetterCalendar Import</x:v>
      </x:c>
      <x:c r="C337" s="46" t="str">
        <x:v>FR-R-001</x:v>
      </x:c>
      <x:c r="D337" s="46" t="str">
        <x:v>Given the applicable BetterCalendar Import preconditions and a valid Local Profile</x:v>
      </x:c>
      <x:c r="E337" s="46" t="str">
        <x:v>When the user performs the relevant action or the relevant system condition occurs</x:v>
      </x:c>
      <x:c r="F337" s="46" t="str">
        <x:v>Then guest and signed-in users shall be able to select a BetterCalendar JSON backup without requiring account creation.</x:v>
      </x:c>
      <x:c r="G337" s="46" t="str">
        <x:v>Yes</x:v>
      </x:c>
      <x:c r="H337" s="47" t="str">
        <x:v>Database test / Widget test / Integration test</x:v>
      </x:c>
    </x:row>
    <x:row r="338" ht="42" customHeight="1">
      <x:c r="A338" s="45" t="str">
        <x:v>AC-R-002</x:v>
      </x:c>
      <x:c r="B338" s="46" t="str">
        <x:v>R. BetterCalendar Import</x:v>
      </x:c>
      <x:c r="C338" s="46" t="str">
        <x:v>FR-R-002</x:v>
      </x:c>
      <x:c r="D338" s="46" t="str">
        <x:v>Given the applicable BetterCalendar Import preconditions and a valid Local Profile</x:v>
      </x:c>
      <x:c r="E338" s="46" t="str">
        <x:v>When the user performs the relevant action or the relevant system condition occurs</x:v>
      </x:c>
      <x:c r="F338" s="46" t="str">
        <x:v>Then validate JSON structure, source version, and recognized top-level fields before import.</x:v>
      </x:c>
      <x:c r="G338" s="46" t="str">
        <x:v>Yes</x:v>
      </x:c>
      <x:c r="H338" s="47" t="str">
        <x:v>Integration test</x:v>
      </x:c>
    </x:row>
    <x:row r="339" ht="42" customHeight="1">
      <x:c r="A339" s="45" t="str">
        <x:v>AC-R-003</x:v>
      </x:c>
      <x:c r="B339" s="46" t="str">
        <x:v>R. BetterCalendar Import</x:v>
      </x:c>
      <x:c r="C339" s="46" t="str">
        <x:v>FR-R-003</x:v>
      </x:c>
      <x:c r="D339" s="46" t="str">
        <x:v>Given the applicable BetterCalendar Import preconditions and a valid Local Profile</x:v>
      </x:c>
      <x:c r="E339" s="46" t="str">
        <x:v>When the user performs the relevant action or the relevant system condition occurs</x:v>
      </x:c>
      <x:c r="F339" s="46" t="str">
        <x:v>Then the importer shall recognize supported contacts, events, tasks, settings, appVersion, and exportDate content.</x:v>
      </x:c>
      <x:c r="G339" s="46" t="str">
        <x:v>Yes</x:v>
      </x:c>
      <x:c r="H339" s="47" t="str">
        <x:v>Integration test</x:v>
      </x:c>
    </x:row>
    <x:row r="340" ht="42" customHeight="1">
      <x:c r="A340" s="45" t="str">
        <x:v>AC-R-004</x:v>
      </x:c>
      <x:c r="B340" s="46" t="str">
        <x:v>R. BetterCalendar Import</x:v>
      </x:c>
      <x:c r="C340" s="46" t="str">
        <x:v>FR-R-004</x:v>
      </x:c>
      <x:c r="D340" s="46" t="str">
        <x:v>Given the applicable BetterCalendar Import preconditions and a valid Local Profile</x:v>
      </x:c>
      <x:c r="E340" s="46" t="str">
        <x:v>When the user performs the relevant action or the relevant system condition occurs</x:v>
      </x:c>
      <x:c r="F340" s="46" t="str">
        <x:v>Then present an import preview with counts, warnings, duplicates, unsupported fields, and category selections.</x:v>
      </x:c>
      <x:c r="G340" s="46" t="str">
        <x:v>Yes</x:v>
      </x:c>
      <x:c r="H340" s="47" t="str">
        <x:v>Domain test / Widget test / Integration test</x:v>
      </x:c>
    </x:row>
    <x:row r="341" ht="42" customHeight="1">
      <x:c r="A341" s="45" t="str">
        <x:v>AC-R-005</x:v>
      </x:c>
      <x:c r="B341" s="46" t="str">
        <x:v>R. BetterCalendar Import</x:v>
      </x:c>
      <x:c r="C341" s="46" t="str">
        <x:v>FR-R-005</x:v>
      </x:c>
      <x:c r="D341" s="46" t="str">
        <x:v>Given the applicable BetterCalendar Import preconditions and a valid Local Profile</x:v>
      </x:c>
      <x:c r="E341" s="46" t="str">
        <x:v>When the user performs the relevant action or the relevant system condition occurs</x:v>
      </x:c>
      <x:c r="F341" s="46" t="str">
        <x:v>Then duplicate Task representations with the same source ID and eventType TASK shall be imported as one Task.</x:v>
      </x:c>
      <x:c r="G341" s="46" t="str">
        <x:v>Yes</x:v>
      </x:c>
      <x:c r="H341" s="47" t="str">
        <x:v>Domain test / Integration test</x:v>
      </x:c>
    </x:row>
    <x:row r="342" ht="42" customHeight="1">
      <x:c r="A342" s="45" t="str">
        <x:v>AC-R-006</x:v>
      </x:c>
      <x:c r="B342" s="46" t="str">
        <x:v>R. BetterCalendar Import</x:v>
      </x:c>
      <x:c r="C342" s="46" t="str">
        <x:v>FR-R-006</x:v>
      </x:c>
      <x:c r="D342" s="46" t="str">
        <x:v>Given the applicable BetterCalendar Import preconditions and a valid Local Profile</x:v>
      </x:c>
      <x:c r="E342" s="46" t="str">
        <x:v>When the user performs the relevant action or the relevant system condition occurs</x:v>
      </x:c>
      <x:c r="F342" s="46" t="str">
        <x:v>Then imported Tasks and Calendar Events shall remain separate domain entities.</x:v>
      </x:c>
      <x:c r="G342" s="46" t="str">
        <x:v>Yes</x:v>
      </x:c>
      <x:c r="H342" s="47" t="str">
        <x:v>Integration test</x:v>
      </x:c>
    </x:row>
    <x:row r="343" ht="42" customHeight="1">
      <x:c r="A343" s="45" t="str">
        <x:v>AC-R-007</x:v>
      </x:c>
      <x:c r="B343" s="46" t="str">
        <x:v>R. BetterCalendar Import</x:v>
      </x:c>
      <x:c r="C343" s="46" t="str">
        <x:v>FR-R-007</x:v>
      </x:c>
      <x:c r="D343" s="46" t="str">
        <x:v>Given the applicable BetterCalendar Import preconditions and a valid Local Profile</x:v>
      </x:c>
      <x:c r="E343" s="46" t="str">
        <x:v>When the user performs the relevant action or the relevant system condition occurs</x:v>
      </x:c>
      <x:c r="F343" s="46" t="str">
        <x:v>Then import shall not create Actual or Activity Ledger contributions from imported schedule or completion fields alone.</x:v>
      </x:c>
      <x:c r="G343" s="46" t="str">
        <x:v>Yes</x:v>
      </x:c>
      <x:c r="H343" s="47" t="str">
        <x:v>Domain test / Database test / Integration test</x:v>
      </x:c>
    </x:row>
    <x:row r="344" ht="42" customHeight="1">
      <x:c r="A344" s="45" t="str">
        <x:v>AC-R-008</x:v>
      </x:c>
      <x:c r="B344" s="46" t="str">
        <x:v>R. BetterCalendar Import</x:v>
      </x:c>
      <x:c r="C344" s="46" t="str">
        <x:v>FR-R-008</x:v>
      </x:c>
      <x:c r="D344" s="46" t="str">
        <x:v>Given the applicable BetterCalendar Import preconditions and a valid Local Profile</x:v>
      </x:c>
      <x:c r="E344" s="46" t="str">
        <x:v>When the user performs the relevant action or the relevant system condition occurs</x:v>
      </x:c>
      <x:c r="F344" s="46" t="str">
        <x:v>Then imported scheduled Calendar Events shall not receive happened outcomes from elapsed source dates.</x:v>
      </x:c>
      <x:c r="G344" s="46" t="str">
        <x:v>Yes</x:v>
      </x:c>
      <x:c r="H344" s="47" t="str">
        <x:v>Domain test / Integration test</x:v>
      </x:c>
    </x:row>
    <x:row r="345" ht="42" customHeight="1">
      <x:c r="A345" s="45" t="str">
        <x:v>AC-R-009</x:v>
      </x:c>
      <x:c r="B345" s="46" t="str">
        <x:v>R. BetterCalendar Import</x:v>
      </x:c>
      <x:c r="C345" s="46" t="str">
        <x:v>FR-R-009</x:v>
      </x:c>
      <x:c r="D345" s="46" t="str">
        <x:v>Given the applicable BetterCalendar Import preconditions and a valid Local Profile</x:v>
      </x:c>
      <x:c r="E345" s="46" t="str">
        <x:v>When the user performs the relevant action or the relevant system condition occurs</x:v>
      </x:c>
      <x:c r="F345" s="46" t="str">
        <x:v>Then every imported record shall retain import-batch and source provenance sufficient for deduplication and support.</x:v>
      </x:c>
      <x:c r="G345" s="46" t="str">
        <x:v>No</x:v>
      </x:c>
      <x:c r="H345" s="47" t="str">
        <x:v>Domain test / Integration test</x:v>
      </x:c>
    </x:row>
    <x:row r="346" ht="42" customHeight="1">
      <x:c r="A346" s="45" t="str">
        <x:v>AC-R-010</x:v>
      </x:c>
      <x:c r="B346" s="46" t="str">
        <x:v>R. BetterCalendar Import</x:v>
      </x:c>
      <x:c r="C346" s="46" t="str">
        <x:v>FR-R-010</x:v>
      </x:c>
      <x:c r="D346" s="46" t="str">
        <x:v>Given the applicable BetterCalendar Import preconditions and a valid Local Profile</x:v>
      </x:c>
      <x:c r="E346" s="46" t="str">
        <x:v>When the user performs the relevant action or the relevant system condition occurs</x:v>
      </x:c>
      <x:c r="F346" s="46" t="str">
        <x:v>Then remain private records belonging to the Local Profile.</x:v>
      </x:c>
      <x:c r="G346" s="46" t="str">
        <x:v>Yes</x:v>
      </x:c>
      <x:c r="H346" s="47" t="str">
        <x:v>Integration test</x:v>
      </x:c>
    </x:row>
    <x:row r="347" ht="42" customHeight="1">
      <x:c r="A347" s="45" t="str">
        <x:v>AC-R-011</x:v>
      </x:c>
      <x:c r="B347" s="46" t="str">
        <x:v>R. BetterCalendar Import</x:v>
      </x:c>
      <x:c r="C347" s="46" t="str">
        <x:v>FR-R-011</x:v>
      </x:c>
      <x:c r="D347" s="46" t="str">
        <x:v>Given the applicable BetterCalendar Import preconditions and a valid Local Profile</x:v>
      </x:c>
      <x:c r="E347" s="46" t="str">
        <x:v>When the user performs the relevant action or the relevant system condition occurs</x:v>
      </x:c>
      <x:c r="F347" s="46" t="str">
        <x:v>Then supported recurrence information shall map into Next Transfer recurrence without merging occurrence identities.</x:v>
      </x:c>
      <x:c r="G347" s="46" t="str">
        <x:v>Yes</x:v>
      </x:c>
      <x:c r="H347" s="47" t="str">
        <x:v>Domain test</x:v>
      </x:c>
    </x:row>
    <x:row r="348" ht="42" customHeight="1">
      <x:c r="A348" s="45" t="str">
        <x:v>AC-R-012</x:v>
      </x:c>
      <x:c r="B348" s="46" t="str">
        <x:v>R. BetterCalendar Import</x:v>
      </x:c>
      <x:c r="C348" s="46" t="str">
        <x:v>FR-R-012</x:v>
      </x:c>
      <x:c r="D348" s="46" t="str">
        <x:v>Given the applicable BetterCalendar Import preconditions and a valid Local Profile</x:v>
      </x:c>
      <x:c r="E348" s="46" t="str">
        <x:v>When the user performs the relevant action or the relevant system condition occurs</x:v>
      </x:c>
      <x:c r="F348" s="46" t="str">
        <x:v>Then unsupported source fields shall be listed in the import report and shall not be silently reclassified.</x:v>
      </x:c>
      <x:c r="G348" s="46" t="str">
        <x:v>Yes</x:v>
      </x:c>
      <x:c r="H348" s="47" t="str">
        <x:v>Integration test</x:v>
      </x:c>
    </x:row>
    <x:row r="349" ht="42" customHeight="1">
      <x:c r="A349" s="45" t="str">
        <x:v>AC-R-013</x:v>
      </x:c>
      <x:c r="B349" s="46" t="str">
        <x:v>R. BetterCalendar Import</x:v>
      </x:c>
      <x:c r="C349" s="46" t="str">
        <x:v>FR-R-013</x:v>
      </x:c>
      <x:c r="D349" s="46" t="str">
        <x:v>Given the applicable BetterCalendar Import preconditions and a valid Local Profile</x:v>
      </x:c>
      <x:c r="E349" s="46" t="str">
        <x:v>When the user performs the relevant action or the relevant system condition occurs</x:v>
      </x:c>
      <x:c r="F349" s="46" t="str">
        <x:v>Then be able to select supported import categories when dependency rules permit partial import.</x:v>
      </x:c>
      <x:c r="G349" s="46" t="str">
        <x:v>No</x:v>
      </x:c>
      <x:c r="H349" s="47" t="str">
        <x:v>Widget test / Integration test</x:v>
      </x:c>
    </x:row>
    <x:row r="350" ht="42" customHeight="1">
      <x:c r="A350" s="45" t="str">
        <x:v>AC-R-014</x:v>
      </x:c>
      <x:c r="B350" s="46" t="str">
        <x:v>R. BetterCalendar Import</x:v>
      </x:c>
      <x:c r="C350" s="46" t="str">
        <x:v>FR-R-014</x:v>
      </x:c>
      <x:c r="D350" s="46" t="str">
        <x:v>Given the applicable BetterCalendar Import preconditions and a valid Local Profile</x:v>
      </x:c>
      <x:c r="E350" s="46" t="str">
        <x:v>When the user performs the relevant action or the relevant system condition occurs</x:v>
      </x:c>
      <x:c r="F350" s="46" t="str">
        <x:v>Then a recoverable checkpoint shall be created before import changes live local data.</x:v>
      </x:c>
      <x:c r="G350" s="46" t="str">
        <x:v>No</x:v>
      </x:c>
      <x:c r="H350" s="47" t="str">
        <x:v>Integration test</x:v>
      </x:c>
    </x:row>
    <x:row r="351" ht="42" customHeight="1">
      <x:c r="A351" s="45" t="str">
        <x:v>AC-R-015</x:v>
      </x:c>
      <x:c r="B351" s="46" t="str">
        <x:v>R. BetterCalendar Import</x:v>
      </x:c>
      <x:c r="C351" s="46" t="str">
        <x:v>FR-R-015</x:v>
      </x:c>
      <x:c r="D351" s="46" t="str">
        <x:v>Given the applicable BetterCalendar Import preconditions and a valid Local Profile</x:v>
      </x:c>
      <x:c r="E351" s="46" t="str">
        <x:v>When the user performs the relevant action or the relevant system condition occurs</x:v>
      </x:c>
      <x:c r="F351" s="46" t="str">
        <x:v>Then import retries shall not duplicate previously committed records from the same batch or source identity.</x:v>
      </x:c>
      <x:c r="G351" s="46" t="str">
        <x:v>Yes</x:v>
      </x:c>
      <x:c r="H351" s="47" t="str">
        <x:v>Domain test / Integration test</x:v>
      </x:c>
    </x:row>
    <x:row r="352" ht="42" customHeight="1">
      <x:c r="A352" s="45" t="str">
        <x:v>AC-R-016</x:v>
      </x:c>
      <x:c r="B352" s="46" t="str">
        <x:v>R. BetterCalendar Import</x:v>
      </x:c>
      <x:c r="C352" s="46" t="str">
        <x:v>FR-R-016</x:v>
      </x:c>
      <x:c r="D352" s="46" t="str">
        <x:v>Given the applicable BetterCalendar Import preconditions and a valid Local Profile</x:v>
      </x:c>
      <x:c r="E352" s="46" t="str">
        <x:v>When the user performs the relevant action or the relevant system condition occurs</x:v>
      </x:c>
      <x:c r="F352" s="46" t="str">
        <x:v>Then existing local records shall not be overwritten solely because titles or visible fields match imported records.</x:v>
      </x:c>
      <x:c r="G352" s="46" t="str">
        <x:v>Yes</x:v>
      </x:c>
      <x:c r="H352" s="47" t="str">
        <x:v>Database test / Integration test</x:v>
      </x:c>
    </x:row>
    <x:row r="353" ht="42" customHeight="1">
      <x:c r="A353" s="45" t="str">
        <x:v>AC-R-017</x:v>
      </x:c>
      <x:c r="B353" s="46" t="str">
        <x:v>R. BetterCalendar Import</x:v>
      </x:c>
      <x:c r="C353" s="46" t="str">
        <x:v>FR-R-017</x:v>
      </x:c>
      <x:c r="D353" s="46" t="str">
        <x:v>Given the applicable BetterCalendar Import preconditions and a valid Local Profile</x:v>
      </x:c>
      <x:c r="E353" s="46" t="str">
        <x:v>When the user performs the relevant action or the relevant system condition occurs</x:v>
      </x:c>
      <x:c r="F353" s="46" t="str">
        <x:v>Then only explicitly supported and safe BetterCalendar settings shall be eligible for import.</x:v>
      </x:c>
      <x:c r="G353" s="46" t="str">
        <x:v>No</x:v>
      </x:c>
      <x:c r="H353" s="47" t="str">
        <x:v>Integration test</x:v>
      </x:c>
    </x:row>
    <x:row r="354" ht="42" customHeight="1">
      <x:c r="A354" s="45" t="str">
        <x:v>AC-R-018</x:v>
      </x:c>
      <x:c r="B354" s="46" t="str">
        <x:v>R. BetterCalendar Import</x:v>
      </x:c>
      <x:c r="C354" s="46" t="str">
        <x:v>FR-R-018</x:v>
      </x:c>
      <x:c r="D354" s="46" t="str">
        <x:v>Given the applicable BetterCalendar Import preconditions and a valid Local Profile</x:v>
      </x:c>
      <x:c r="E354" s="46" t="str">
        <x:v>When the user performs the relevant action or the relevant system condition occurs</x:v>
      </x:c>
      <x:c r="F354" s="46" t="str">
        <x:v>Then validation, preview, commit, and supported rollback shall operate offline using Drift.</x:v>
      </x:c>
      <x:c r="G354" s="46" t="str">
        <x:v>Yes</x:v>
      </x:c>
      <x:c r="H354" s="47" t="str">
        <x:v>Database test / Widget test</x:v>
      </x:c>
    </x:row>
    <x:row r="355" ht="42" customHeight="1">
      <x:c r="A355" s="45" t="str">
        <x:v>AC-R-019</x:v>
      </x:c>
      <x:c r="B355" s="46" t="str">
        <x:v>R. BetterCalendar Import</x:v>
      </x:c>
      <x:c r="C355" s="46" t="str">
        <x:v>FR-R-019</x:v>
      </x:c>
      <x:c r="D355" s="46" t="str">
        <x:v>Given the applicable BetterCalendar Import preconditions and a valid Local Profile</x:v>
      </x:c>
      <x:c r="E355" s="46" t="str">
        <x:v>When the user performs the relevant action or the relevant system condition occurs</x:v>
      </x:c>
      <x:c r="F355" s="46" t="str">
        <x:v>Then import shall not silently overwrite existing reports, ledger history, or user-edited records.</x:v>
      </x:c>
      <x:c r="G355" s="46" t="str">
        <x:v>Yes</x:v>
      </x:c>
      <x:c r="H355" s="47" t="str">
        <x:v>Database test / Integration test</x:v>
      </x:c>
    </x:row>
    <x:row r="356" ht="42" customHeight="1">
      <x:c r="A356" s="45" t="str">
        <x:v>AC-R-020</x:v>
      </x:c>
      <x:c r="B356" s="46" t="str">
        <x:v>R. BetterCalendar Import</x:v>
      </x:c>
      <x:c r="C356" s="46" t="str">
        <x:v>FR-R-020</x:v>
      </x:c>
      <x:c r="D356" s="46" t="str">
        <x:v>Given the applicable BetterCalendar Import preconditions and a valid Local Profile</x:v>
      </x:c>
      <x:c r="E356" s="46" t="str">
        <x:v>When the user performs the relevant action or the relevant system condition occurs</x:v>
      </x:c>
      <x:c r="F356" s="46" t="str">
        <x:v>Then provide an import summary distinguishing imported, skipped, deduplicated, unsupported, and failed records.</x:v>
      </x:c>
      <x:c r="G356" s="46" t="str">
        <x:v>No</x:v>
      </x:c>
      <x:c r="H356" s="47" t="str">
        <x:v>Domain test / Integration test</x:v>
      </x:c>
    </x:row>
    <x:row r="357" ht="42" customHeight="1">
      <x:c r="A357" s="45" t="str">
        <x:v>AC-S-001</x:v>
      </x:c>
      <x:c r="B357" s="46" t="str">
        <x:v>S. Backup, Export, and Restore</x:v>
      </x:c>
      <x:c r="C357" s="46" t="str">
        <x:v>FR-S-001</x:v>
      </x:c>
      <x:c r="D357" s="46" t="str">
        <x:v>Given the applicable Backup, Export, and Restore preconditions and a valid Local Profile</x:v>
      </x:c>
      <x:c r="E357" s="46" t="str">
        <x:v>When the user performs the relevant action or the relevant system condition occurs</x:v>
      </x:c>
      <x:c r="F357" s="46" t="str">
        <x:v>Then clearly distinguish backup, export, restore, external import, and synchronization.</x:v>
      </x:c>
      <x:c r="G357" s="46" t="str">
        <x:v>Yes</x:v>
      </x:c>
      <x:c r="H357" s="47" t="str">
        <x:v>Database test / Integration test</x:v>
      </x:c>
    </x:row>
    <x:row r="358" ht="42" customHeight="1">
      <x:c r="A358" s="45" t="str">
        <x:v>AC-S-002</x:v>
      </x:c>
      <x:c r="B358" s="46" t="str">
        <x:v>S. Backup, Export, and Restore</x:v>
      </x:c>
      <x:c r="C358" s="46" t="str">
        <x:v>FR-S-002</x:v>
      </x:c>
      <x:c r="D358" s="46" t="str">
        <x:v>Given the applicable Backup, Export, and Restore preconditions and a valid Local Profile</x:v>
      </x:c>
      <x:c r="E358" s="46" t="str">
        <x:v>When the user performs the relevant action or the relevant system condition occurs</x:v>
      </x:c>
      <x:c r="F358" s="46" t="str">
        <x:v>Then guest users shall be able to create and restore native local backups.</x:v>
      </x:c>
      <x:c r="G358" s="46" t="str">
        <x:v>Yes</x:v>
      </x:c>
      <x:c r="H358" s="47" t="str">
        <x:v>Database test / Widget test</x:v>
      </x:c>
    </x:row>
    <x:row r="359" ht="42" customHeight="1">
      <x:c r="A359" s="45" t="str">
        <x:v>AC-S-003</x:v>
      </x:c>
      <x:c r="B359" s="46" t="str">
        <x:v>S. Backup, Export, and Restore</x:v>
      </x:c>
      <x:c r="C359" s="46" t="str">
        <x:v>FR-S-003</x:v>
      </x:c>
      <x:c r="D359" s="46" t="str">
        <x:v>Given the applicable Backup, Export, and Restore preconditions and a valid Local Profile</x:v>
      </x:c>
      <x:c r="E359" s="46" t="str">
        <x:v>When the user performs the relevant action or the relevant system condition occurs</x:v>
      </x:c>
      <x:c r="F359" s="46" t="str">
        <x:v>Then preserve domain identities and relationships required for full recovery.</x:v>
      </x:c>
      <x:c r="G359" s="46" t="str">
        <x:v>Yes</x:v>
      </x:c>
      <x:c r="H359" s="47" t="str">
        <x:v>Database test / Integration test</x:v>
      </x:c>
    </x:row>
    <x:row r="360" ht="42" customHeight="1">
      <x:c r="A360" s="45" t="str">
        <x:v>AC-S-004</x:v>
      </x:c>
      <x:c r="B360" s="46" t="str">
        <x:v>S. Backup, Export, and Restore</x:v>
      </x:c>
      <x:c r="C360" s="46" t="str">
        <x:v>FR-S-004</x:v>
      </x:c>
      <x:c r="D360" s="46" t="str">
        <x:v>Given the applicable Backup, Export, and Restore preconditions and a valid Local Profile</x:v>
      </x:c>
      <x:c r="E360" s="46" t="str">
        <x:v>When the user performs the relevant action or the relevant system condition occurs</x:v>
      </x:c>
      <x:c r="F360" s="46" t="str">
        <x:v>Then preserve reports, Activity Ledger entries, reversals, replacements, and source lineage.</x:v>
      </x:c>
      <x:c r="G360" s="46" t="str">
        <x:v>Yes</x:v>
      </x:c>
      <x:c r="H360" s="47" t="str">
        <x:v>Database test</x:v>
      </x:c>
    </x:row>
    <x:row r="361" ht="42" customHeight="1">
      <x:c r="A361" s="45" t="str">
        <x:v>AC-S-005</x:v>
      </x:c>
      <x:c r="B361" s="46" t="str">
        <x:v>S. Backup, Export, and Restore</x:v>
      </x:c>
      <x:c r="C361" s="46" t="str">
        <x:v>FR-S-005</x:v>
      </x:c>
      <x:c r="D361" s="46" t="str">
        <x:v>Given the applicable Backup, Export, and Restore preconditions and a valid Local Profile</x:v>
      </x:c>
      <x:c r="E361" s="46" t="str">
        <x:v>When the user performs the relevant action or the relevant system condition occurs</x:v>
      </x:c>
      <x:c r="F361" s="46" t="str">
        <x:v>Then preserve recurrence occurrence identities and Task–Event links.</x:v>
      </x:c>
      <x:c r="G361" s="46" t="str">
        <x:v>Yes</x:v>
      </x:c>
      <x:c r="H361" s="47" t="str">
        <x:v>Database test</x:v>
      </x:c>
    </x:row>
    <x:row r="362" ht="42" customHeight="1">
      <x:c r="A362" s="45" t="str">
        <x:v>AC-S-006</x:v>
      </x:c>
      <x:c r="B362" s="46" t="str">
        <x:v>S. Backup, Export, and Restore</x:v>
      </x:c>
      <x:c r="C362" s="46" t="str">
        <x:v>FR-S-006</x:v>
      </x:c>
      <x:c r="D362" s="46" t="str">
        <x:v>Given the applicable Backup, Export, and Restore preconditions and a valid Local Profile</x:v>
      </x:c>
      <x:c r="E362" s="46" t="str">
        <x:v>When the user performs the relevant action or the relevant system condition occurs</x:v>
      </x:c>
      <x:c r="F362" s="46" t="str">
        <x:v>Then backup files shall support approved protection appropriate to their sensitivity.</x:v>
      </x:c>
      <x:c r="G362" s="46" t="str">
        <x:v>Yes</x:v>
      </x:c>
      <x:c r="H362" s="47" t="str">
        <x:v>Database test</x:v>
      </x:c>
    </x:row>
    <x:row r="363" ht="42" customHeight="1">
      <x:c r="A363" s="45" t="str">
        <x:v>AC-S-007</x:v>
      </x:c>
      <x:c r="B363" s="46" t="str">
        <x:v>S. Backup, Export, and Restore</x:v>
      </x:c>
      <x:c r="C363" s="46" t="str">
        <x:v>FR-S-007</x:v>
      </x:c>
      <x:c r="D363" s="46" t="str">
        <x:v>Given the applicable Backup, Export, and Restore preconditions and a valid Local Profile</x:v>
      </x:c>
      <x:c r="E363" s="46" t="str">
        <x:v>When the user performs the relevant action or the relevant system condition occurs</x:v>
      </x:c>
      <x:c r="F363" s="46" t="str">
        <x:v>Then user-readable export shall state that it is not necessarily a restorable native backup.</x:v>
      </x:c>
      <x:c r="G363" s="46" t="str">
        <x:v>Yes</x:v>
      </x:c>
      <x:c r="H363" s="47" t="str">
        <x:v>Database test / Integration test</x:v>
      </x:c>
    </x:row>
    <x:row r="364" ht="42" customHeight="1">
      <x:c r="A364" s="45" t="str">
        <x:v>AC-S-008</x:v>
      </x:c>
      <x:c r="B364" s="46" t="str">
        <x:v>S. Backup, Export, and Restore</x:v>
      </x:c>
      <x:c r="C364" s="46" t="str">
        <x:v>FR-S-008</x:v>
      </x:c>
      <x:c r="D364" s="46" t="str">
        <x:v>Given the applicable Backup, Export, and Restore preconditions and a valid Local Profile</x:v>
      </x:c>
      <x:c r="E364" s="46" t="str">
        <x:v>When the user performs the relevant action or the relevant system condition occurs</x:v>
      </x:c>
      <x:c r="F364" s="46" t="str">
        <x:v>Then validate format, integrity, version compatibility, and included categories before commit.</x:v>
      </x:c>
      <x:c r="G364" s="46" t="str">
        <x:v>Yes</x:v>
      </x:c>
      <x:c r="H364" s="47" t="str">
        <x:v>Database test</x:v>
      </x:c>
    </x:row>
    <x:row r="365" ht="42" customHeight="1">
      <x:c r="A365" s="45" t="str">
        <x:v>AC-S-009</x:v>
      </x:c>
      <x:c r="B365" s="46" t="str">
        <x:v>S. Backup, Export, and Restore</x:v>
      </x:c>
      <x:c r="C365" s="46" t="str">
        <x:v>FR-S-009</x:v>
      </x:c>
      <x:c r="D365" s="46" t="str">
        <x:v>Given the applicable Backup, Export, and Restore preconditions and a valid Local Profile</x:v>
      </x:c>
      <x:c r="E365" s="46" t="str">
        <x:v>When the user performs the relevant action or the relevant system condition occurs</x:v>
      </x:c>
      <x:c r="F365" s="46" t="str">
        <x:v>Then present a preview of affected data before modifying live local records.</x:v>
      </x:c>
      <x:c r="G365" s="46" t="str">
        <x:v>Yes</x:v>
      </x:c>
      <x:c r="H365" s="47" t="str">
        <x:v>Database test / Widget test</x:v>
      </x:c>
    </x:row>
    <x:row r="366" ht="42" customHeight="1">
      <x:c r="A366" s="45" t="str">
        <x:v>AC-S-010</x:v>
      </x:c>
      <x:c r="B366" s="46" t="str">
        <x:v>S. Backup, Export, and Restore</x:v>
      </x:c>
      <x:c r="C366" s="46" t="str">
        <x:v>FR-S-010</x:v>
      </x:c>
      <x:c r="D366" s="46" t="str">
        <x:v>Given the applicable Backup, Export, and Restore preconditions and a valid Local Profile</x:v>
      </x:c>
      <x:c r="E366" s="46" t="str">
        <x:v>When the user performs the relevant action or the relevant system condition occurs</x:v>
      </x:c>
      <x:c r="F366" s="46" t="str">
        <x:v>Then not silently overwrite newer local data.</x:v>
      </x:c>
      <x:c r="G366" s="46" t="str">
        <x:v>Yes</x:v>
      </x:c>
      <x:c r="H366" s="47" t="str">
        <x:v>Database test</x:v>
      </x:c>
    </x:row>
    <x:row r="367" ht="42" customHeight="1">
      <x:c r="A367" s="45" t="str">
        <x:v>AC-S-011</x:v>
      </x:c>
      <x:c r="B367" s="46" t="str">
        <x:v>S. Backup, Export, and Restore</x:v>
      </x:c>
      <x:c r="C367" s="46" t="str">
        <x:v>FR-S-011</x:v>
      </x:c>
      <x:c r="D367" s="46" t="str">
        <x:v>Given the applicable Backup, Export, and Restore preconditions and a valid Local Profile</x:v>
      </x:c>
      <x:c r="E367" s="46" t="str">
        <x:v>When the user performs the relevant action or the relevant system condition occurs</x:v>
      </x:c>
      <x:c r="F367" s="46" t="str">
        <x:v>Then a recoverable copy of current local data shall be created before destructive restore behavior.</x:v>
      </x:c>
      <x:c r="G367" s="46" t="str">
        <x:v>Yes</x:v>
      </x:c>
      <x:c r="H367" s="47" t="str">
        <x:v>Database test</x:v>
      </x:c>
    </x:row>
    <x:row r="368" ht="42" customHeight="1">
      <x:c r="A368" s="45" t="str">
        <x:v>AC-S-012</x:v>
      </x:c>
      <x:c r="B368" s="46" t="str">
        <x:v>S. Backup, Export, and Restore</x:v>
      </x:c>
      <x:c r="C368" s="46" t="str">
        <x:v>FR-S-012</x:v>
      </x:c>
      <x:c r="D368" s="46" t="str">
        <x:v>Given the applicable Backup, Export, and Restore preconditions and a valid Local Profile</x:v>
      </x:c>
      <x:c r="E368" s="46" t="str">
        <x:v>When the user performs the relevant action or the relevant system condition occurs</x:v>
      </x:c>
      <x:c r="F368" s="46" t="str">
        <x:v>Then restore modes shall preserve relationship integrity and prevent invalid partial recovery.</x:v>
      </x:c>
      <x:c r="G368" s="46" t="str">
        <x:v>Yes</x:v>
      </x:c>
      <x:c r="H368" s="47" t="str">
        <x:v>Database test / Integration test</x:v>
      </x:c>
    </x:row>
    <x:row r="369" ht="42" customHeight="1">
      <x:c r="A369" s="45" t="str">
        <x:v>AC-S-013</x:v>
      </x:c>
      <x:c r="B369" s="46" t="str">
        <x:v>S. Backup, Export, and Restore</x:v>
      </x:c>
      <x:c r="C369" s="46" t="str">
        <x:v>FR-S-013</x:v>
      </x:c>
      <x:c r="D369" s="46" t="str">
        <x:v>Given the applicable Backup, Export, and Restore preconditions and a valid Local Profile</x:v>
      </x:c>
      <x:c r="E369" s="46" t="str">
        <x:v>When the user performs the relevant action or the relevant system condition occurs</x:v>
      </x:c>
      <x:c r="F369" s="46" t="str">
        <x:v>Then restore and retry operations shall prevent duplicate stable records and ledger effects.</x:v>
      </x:c>
      <x:c r="G369" s="46" t="str">
        <x:v>Yes</x:v>
      </x:c>
      <x:c r="H369" s="47" t="str">
        <x:v>Domain test / Database test</x:v>
      </x:c>
    </x:row>
    <x:row r="370" ht="42" customHeight="1">
      <x:c r="A370" s="45" t="str">
        <x:v>AC-S-014</x:v>
      </x:c>
      <x:c r="B370" s="46" t="str">
        <x:v>S. Backup, Export, and Restore</x:v>
      </x:c>
      <x:c r="C370" s="46" t="str">
        <x:v>FR-S-014</x:v>
      </x:c>
      <x:c r="D370" s="46" t="str">
        <x:v>Given the applicable Backup, Export, and Restore preconditions and a valid Local Profile</x:v>
      </x:c>
      <x:c r="E370" s="46" t="str">
        <x:v>When the user performs the relevant action or the relevant system condition occurs</x:v>
      </x:c>
      <x:c r="F370" s="46" t="str">
        <x:v>Then derived projections shall be rebuilt from restored canonical records rather than imported as editable Actual.</x:v>
      </x:c>
      <x:c r="G370" s="46" t="str">
        <x:v>Yes</x:v>
      </x:c>
      <x:c r="H370" s="47" t="str">
        <x:v>Domain test / Database test / Integration test</x:v>
      </x:c>
    </x:row>
    <x:row r="371" ht="42" customHeight="1">
      <x:c r="A371" s="45" t="str">
        <x:v>AC-S-015</x:v>
      </x:c>
      <x:c r="B371" s="46" t="str">
        <x:v>S. Backup, Export, and Restore</x:v>
      </x:c>
      <x:c r="C371" s="46" t="str">
        <x:v>FR-S-015</x:v>
      </x:c>
      <x:c r="D371" s="46" t="str">
        <x:v>Given the applicable Backup, Export, and Restore preconditions and a valid Local Profile</x:v>
      </x:c>
      <x:c r="E371" s="46" t="str">
        <x:v>When the user performs the relevant action or the relevant system condition occurs</x:v>
      </x:c>
      <x:c r="F371" s="46" t="str">
        <x:v>Then unsupported or incompatible backups shall be rejected without changing local data.</x:v>
      </x:c>
      <x:c r="G371" s="46" t="str">
        <x:v>Yes</x:v>
      </x:c>
      <x:c r="H371" s="47" t="str">
        <x:v>Database test</x:v>
      </x:c>
    </x:row>
    <x:row r="372" ht="42" customHeight="1">
      <x:c r="A372" s="45" t="str">
        <x:v>AC-S-016</x:v>
      </x:c>
      <x:c r="B372" s="46" t="str">
        <x:v>S. Backup, Export, and Restore</x:v>
      </x:c>
      <x:c r="C372" s="46" t="str">
        <x:v>FR-S-016</x:v>
      </x:c>
      <x:c r="D372" s="46" t="str">
        <x:v>Given the applicable Backup, Export, and Restore preconditions and a valid Local Profile</x:v>
      </x:c>
      <x:c r="E372" s="46" t="str">
        <x:v>When the user performs the relevant action or the relevant system condition occurs</x:v>
      </x:c>
      <x:c r="F372" s="46" t="str">
        <x:v>Then partial or failed restore shall produce a detailed recovery result rather than silent omission.</x:v>
      </x:c>
      <x:c r="G372" s="46" t="str">
        <x:v>Yes</x:v>
      </x:c>
      <x:c r="H372" s="47" t="str">
        <x:v>Database test / Integration test</x:v>
      </x:c>
    </x:row>
    <x:row r="373" ht="42" customHeight="1">
      <x:c r="A373" s="45" t="str">
        <x:v>AC-S-017</x:v>
      </x:c>
      <x:c r="B373" s="46" t="str">
        <x:v>S. Backup, Export, and Restore</x:v>
      </x:c>
      <x:c r="C373" s="46" t="str">
        <x:v>FR-S-017</x:v>
      </x:c>
      <x:c r="D373" s="46" t="str">
        <x:v>Given the applicable Backup, Export, and Restore preconditions and a valid Local Profile</x:v>
      </x:c>
      <x:c r="E373" s="46" t="str">
        <x:v>When the user performs the relevant action or the relevant system condition occurs</x:v>
      </x:c>
      <x:c r="F373" s="46" t="str">
        <x:v>Then backup, export, restore preview, and restore shall operate offline.</x:v>
      </x:c>
      <x:c r="G373" s="46" t="str">
        <x:v>Yes</x:v>
      </x:c>
      <x:c r="H373" s="47" t="str">
        <x:v>Database test / Widget test / Integration test</x:v>
      </x:c>
    </x:row>
    <x:row r="374" ht="42" customHeight="1">
      <x:c r="A374" s="45" t="str">
        <x:v>AC-S-018</x:v>
      </x:c>
      <x:c r="B374" s="46" t="str">
        <x:v>S. Backup, Export, and Restore</x:v>
      </x:c>
      <x:c r="C374" s="46" t="str">
        <x:v>FR-S-018</x:v>
      </x:c>
      <x:c r="D374" s="46" t="str">
        <x:v>Given the applicable Backup, Export, and Restore preconditions and a valid Local Profile</x:v>
      </x:c>
      <x:c r="E374" s="46" t="str">
        <x:v>When the user performs the relevant action or the relevant system condition occurs</x:v>
      </x:c>
      <x:c r="F374" s="46" t="str">
        <x:v>Then not modify or delete the selected source backup or export file.</x:v>
      </x:c>
      <x:c r="G374" s="46" t="str">
        <x:v>Yes</x:v>
      </x:c>
      <x:c r="H374" s="47" t="str">
        <x:v>Database test / Integration test</x:v>
      </x:c>
    </x:row>
    <x:row r="375" ht="42" customHeight="1">
      <x:c r="A375" s="45" t="str">
        <x:v>AC-S-019</x:v>
      </x:c>
      <x:c r="B375" s="46" t="str">
        <x:v>S. Backup, Export, and Restore</x:v>
      </x:c>
      <x:c r="C375" s="46" t="str">
        <x:v>FR-S-019</x:v>
      </x:c>
      <x:c r="D375" s="46" t="str">
        <x:v>Given the applicable Backup, Export, and Restore preconditions and a valid Local Profile</x:v>
      </x:c>
      <x:c r="E375" s="46" t="str">
        <x:v>When the user performs the relevant action or the relevant system condition occurs</x:v>
      </x:c>
      <x:c r="F375" s="46" t="str">
        <x:v>Then include integrity and compatibility metadata sufficient for safe restore decisions.</x:v>
      </x:c>
      <x:c r="G375" s="46" t="str">
        <x:v>Yes</x:v>
      </x:c>
      <x:c r="H375" s="47" t="str">
        <x:v>Database test</x:v>
      </x:c>
    </x:row>
    <x:row r="376" ht="42" customHeight="1">
      <x:c r="A376" s="45" t="str">
        <x:v>AC-S-020</x:v>
      </x:c>
      <x:c r="B376" s="46" t="str">
        <x:v>S. Backup, Export, and Restore</x:v>
      </x:c>
      <x:c r="C376" s="46" t="str">
        <x:v>FR-S-020</x:v>
      </x:c>
      <x:c r="D376" s="46" t="str">
        <x:v>Given the applicable Backup, Export, and Restore preconditions and a valid Local Profile</x:v>
      </x:c>
      <x:c r="E376" s="46" t="str">
        <x:v>When the user performs the relevant action or the relevant system condition occurs</x:v>
      </x:c>
      <x:c r="F376" s="46" t="str">
        <x:v>Then users may configure scheduled local backup reminders or automatic backups when an approved destination remains available.</x:v>
      </x:c>
      <x:c r="G376" s="46" t="str">
        <x:v>No</x:v>
      </x:c>
      <x:c r="H376" s="47" t="str">
        <x:v>Database test</x:v>
      </x:c>
    </x:row>
    <x:row r="377" ht="42" customHeight="1">
      <x:c r="A377" s="45" t="str">
        <x:v>AC-T-001</x:v>
      </x:c>
      <x:c r="B377" s="46" t="str">
        <x:v>T. Account and Synchronization</x:v>
      </x:c>
      <x:c r="C377" s="46" t="str">
        <x:v>FR-T-001</x:v>
      </x:c>
      <x:c r="D377" s="46" t="str">
        <x:v>Given the applicable Account and Synchronization preconditions and a valid Local Profile</x:v>
      </x:c>
      <x:c r="E377" s="46" t="str">
        <x:v>When the user performs the relevant action or the relevant system condition occurs</x:v>
      </x:c>
      <x:c r="F377" s="46" t="str">
        <x:v>Then be able to use the complete core application without creating an account.</x:v>
      </x:c>
      <x:c r="G377" s="46" t="str">
        <x:v>Yes</x:v>
      </x:c>
      <x:c r="H377" s="47" t="str">
        <x:v>Widget test</x:v>
      </x:c>
    </x:row>
    <x:row r="378" ht="42" customHeight="1">
      <x:c r="A378" s="45" t="str">
        <x:v>AC-T-002</x:v>
      </x:c>
      <x:c r="B378" s="46" t="str">
        <x:v>T. Account and Synchronization</x:v>
      </x:c>
      <x:c r="C378" s="46" t="str">
        <x:v>FR-T-002</x:v>
      </x:c>
      <x:c r="D378" s="46" t="str">
        <x:v>Given the applicable Account and Synchronization preconditions and a valid Local Profile</x:v>
      </x:c>
      <x:c r="E378" s="46" t="str">
        <x:v>When the user performs the relevant action or the relevant system condition occurs</x:v>
      </x:c>
      <x:c r="F378" s="46" t="str">
        <x:v>Then be able to link an existing guest Local Profile to an optional account.</x:v>
      </x:c>
      <x:c r="G378" s="46" t="str">
        <x:v>Yes</x:v>
      </x:c>
      <x:c r="H378" s="47" t="str">
        <x:v>Widget test</x:v>
      </x:c>
    </x:row>
    <x:row r="379" ht="42" customHeight="1">
      <x:c r="A379" s="45" t="str">
        <x:v>AC-T-003</x:v>
      </x:c>
      <x:c r="B379" s="46" t="str">
        <x:v>T. Account and Synchronization</x:v>
      </x:c>
      <x:c r="C379" s="46" t="str">
        <x:v>FR-T-003</x:v>
      </x:c>
      <x:c r="D379" s="46" t="str">
        <x:v>Given the applicable Account and Synchronization preconditions and a valid Local Profile</x:v>
      </x:c>
      <x:c r="E379" s="46" t="str">
        <x:v>When the user performs the relevant action or the relevant system condition occurs</x:v>
      </x:c>
      <x:c r="F379" s="46" t="str">
        <x:v>Then account linking shall retain the existing Local Profile rather than creating a replacement profile silently.</x:v>
      </x:c>
      <x:c r="G379" s="46" t="str">
        <x:v>Yes</x:v>
      </x:c>
      <x:c r="H379" s="47" t="str">
        <x:v>Integration test</x:v>
      </x:c>
    </x:row>
    <x:row r="380" ht="42" customHeight="1">
      <x:c r="A380" s="45" t="str">
        <x:v>AC-T-004</x:v>
      </x:c>
      <x:c r="B380" s="46" t="str">
        <x:v>T. Account and Synchronization</x:v>
      </x:c>
      <x:c r="C380" s="46" t="str">
        <x:v>FR-T-004</x:v>
      </x:c>
      <x:c r="D380" s="46" t="str">
        <x:v>Given the applicable Account and Synchronization preconditions and a valid Local Profile</x:v>
      </x:c>
      <x:c r="E380" s="46" t="str">
        <x:v>When the user performs the relevant action or the relevant system condition occurs</x:v>
      </x:c>
      <x:c r="F380" s="46" t="str">
        <x:v>Then drift-backed local state shall become usable before synchronization completes.</x:v>
      </x:c>
      <x:c r="G380" s="46" t="str">
        <x:v>Yes</x:v>
      </x:c>
      <x:c r="H380" s="47" t="str">
        <x:v>Database test / Integration test</x:v>
      </x:c>
    </x:row>
    <x:row r="381" ht="42" customHeight="1">
      <x:c r="A381" s="45" t="str">
        <x:v>AC-T-005</x:v>
      </x:c>
      <x:c r="B381" s="46" t="str">
        <x:v>T. Account and Synchronization</x:v>
      </x:c>
      <x:c r="C381" s="46" t="str">
        <x:v>FR-T-005</x:v>
      </x:c>
      <x:c r="D381" s="46" t="str">
        <x:v>Given the applicable Account and Synchronization preconditions and a valid Local Profile</x:v>
      </x:c>
      <x:c r="E381" s="46" t="str">
        <x:v>When the user performs the relevant action or the relevant system condition occurs</x:v>
      </x:c>
      <x:c r="F381" s="46" t="str">
        <x:v>Then offline local changes shall enter a durable synchronization outbox.</x:v>
      </x:c>
      <x:c r="G381" s="46" t="str">
        <x:v>Yes</x:v>
      </x:c>
      <x:c r="H381" s="47" t="str">
        <x:v>Database test / Integration test</x:v>
      </x:c>
    </x:row>
    <x:row r="382" ht="42" customHeight="1">
      <x:c r="A382" s="45" t="str">
        <x:v>AC-T-006</x:v>
      </x:c>
      <x:c r="B382" s="46" t="str">
        <x:v>T. Account and Synchronization</x:v>
      </x:c>
      <x:c r="C382" s="46" t="str">
        <x:v>FR-T-006</x:v>
      </x:c>
      <x:c r="D382" s="46" t="str">
        <x:v>Given the applicable Account and Synchronization preconditions and a valid Local Profile</x:v>
      </x:c>
      <x:c r="E382" s="46" t="str">
        <x:v>When the user performs the relevant action or the relevant system condition occurs</x:v>
      </x:c>
      <x:c r="F382" s="46" t="str">
        <x:v>Then first sync to an empty cloud account shall upload the existing Local Profile without duplicating it.</x:v>
      </x:c>
      <x:c r="G382" s="46" t="str">
        <x:v>Yes</x:v>
      </x:c>
      <x:c r="H382" s="47" t="str">
        <x:v>Integration test</x:v>
      </x:c>
    </x:row>
    <x:row r="383" ht="42" customHeight="1">
      <x:c r="A383" s="45" t="str">
        <x:v>AC-T-007</x:v>
      </x:c>
      <x:c r="B383" s="46" t="str">
        <x:v>T. Account and Synchronization</x:v>
      </x:c>
      <x:c r="C383" s="46" t="str">
        <x:v>FR-T-007</x:v>
      </x:c>
      <x:c r="D383" s="46" t="str">
        <x:v>Given the applicable Account and Synchronization preconditions and a valid Local Profile</x:v>
      </x:c>
      <x:c r="E383" s="46" t="str">
        <x:v>When the user performs the relevant action or the relevant system condition occurs</x:v>
      </x:c>
      <x:c r="F383" s="46" t="str">
        <x:v>Then first sync with existing cloud data shall present a safe reconciliation before applying destructive choices.</x:v>
      </x:c>
      <x:c r="G383" s="46" t="str">
        <x:v>Yes</x:v>
      </x:c>
      <x:c r="H383" s="47" t="str">
        <x:v>Integration test</x:v>
      </x:c>
    </x:row>
    <x:row r="384" ht="42" customHeight="1">
      <x:c r="A384" s="45" t="str">
        <x:v>AC-T-008</x:v>
      </x:c>
      <x:c r="B384" s="46" t="str">
        <x:v>T. Account and Synchronization</x:v>
      </x:c>
      <x:c r="C384" s="46" t="str">
        <x:v>FR-T-008</x:v>
      </x:c>
      <x:c r="D384" s="46" t="str">
        <x:v>Given the applicable Account and Synchronization preconditions and a valid Local Profile</x:v>
      </x:c>
      <x:c r="E384" s="46" t="str">
        <x:v>When the user performs the relevant action or the relevant system condition occurs</x:v>
      </x:c>
      <x:c r="F384" s="46" t="str">
        <x:v>Then remote synchronization shall not silently overwrite newer or pending local records.</x:v>
      </x:c>
      <x:c r="G384" s="46" t="str">
        <x:v>Yes</x:v>
      </x:c>
      <x:c r="H384" s="47" t="str">
        <x:v>Database test / Integration test</x:v>
      </x:c>
    </x:row>
    <x:row r="385" ht="42" customHeight="1">
      <x:c r="A385" s="45" t="str">
        <x:v>AC-T-009</x:v>
      </x:c>
      <x:c r="B385" s="46" t="str">
        <x:v>T. Account and Synchronization</x:v>
      </x:c>
      <x:c r="C385" s="46" t="str">
        <x:v>FR-T-009</x:v>
      </x:c>
      <x:c r="D385" s="46" t="str">
        <x:v>Given the applicable Account and Synchronization preconditions and a valid Local Profile</x:v>
      </x:c>
      <x:c r="E385" s="46" t="str">
        <x:v>When the user performs the relevant action or the relevant system condition occurs</x:v>
      </x:c>
      <x:c r="F385" s="46" t="str">
        <x:v>Then supabase data access shall enforce private single-user ownership through Row Level Security.</x:v>
      </x:c>
      <x:c r="G385" s="46" t="str">
        <x:v>Yes</x:v>
      </x:c>
      <x:c r="H385" s="47" t="str">
        <x:v>RLS test</x:v>
      </x:c>
    </x:row>
    <x:row r="386" ht="42" customHeight="1">
      <x:c r="A386" s="45" t="str">
        <x:v>AC-T-010</x:v>
      </x:c>
      <x:c r="B386" s="46" t="str">
        <x:v>T. Account and Synchronization</x:v>
      </x:c>
      <x:c r="C386" s="46" t="str">
        <x:v>FR-T-010</x:v>
      </x:c>
      <x:c r="D386" s="46" t="str">
        <x:v>Given the applicable Account and Synchronization preconditions and a valid Local Profile</x:v>
      </x:c>
      <x:c r="E386" s="46" t="str">
        <x:v>When the user performs the relevant action or the relevant system condition occurs</x:v>
      </x:c>
      <x:c r="F386" s="46" t="str">
        <x:v>Then session expiration shall preserve local access and queue new local changes.</x:v>
      </x:c>
      <x:c r="G386" s="46" t="str">
        <x:v>Yes</x:v>
      </x:c>
      <x:c r="H386" s="47" t="str">
        <x:v>Domain test</x:v>
      </x:c>
    </x:row>
    <x:row r="387" ht="42" customHeight="1">
      <x:c r="A387" s="45" t="str">
        <x:v>AC-T-011</x:v>
      </x:c>
      <x:c r="B387" s="46" t="str">
        <x:v>T. Account and Synchronization</x:v>
      </x:c>
      <x:c r="C387" s="46" t="str">
        <x:v>FR-T-011</x:v>
      </x:c>
      <x:c r="D387" s="46" t="str">
        <x:v>Given the applicable Account and Synchronization preconditions and a valid Local Profile</x:v>
      </x:c>
      <x:c r="E387" s="46" t="str">
        <x:v>When the user performs the relevant action or the relevant system condition occurs</x:v>
      </x:c>
      <x:c r="F387" s="46" t="str">
        <x:v>Then signing out shall not automatically erase the Local Profile or its data.</x:v>
      </x:c>
      <x:c r="G387" s="46" t="str">
        <x:v>Yes</x:v>
      </x:c>
      <x:c r="H387" s="47" t="str">
        <x:v>Domain test</x:v>
      </x:c>
    </x:row>
    <x:row r="388" ht="42" customHeight="1">
      <x:c r="A388" s="45" t="str">
        <x:v>AC-T-012</x:v>
      </x:c>
      <x:c r="B388" s="46" t="str">
        <x:v>T. Account and Synchronization</x:v>
      </x:c>
      <x:c r="C388" s="46" t="str">
        <x:v>FR-T-012</x:v>
      </x:c>
      <x:c r="D388" s="46" t="str">
        <x:v>Given the applicable Account and Synchronization preconditions and a valid Local Profile</x:v>
      </x:c>
      <x:c r="E388" s="46" t="str">
        <x:v>When the user performs the relevant action or the relevant system condition occurs</x:v>
      </x:c>
      <x:c r="F388" s="46" t="str">
        <x:v>Then sign out, stop synchronization, unlink account, delete cloud data, and delete local data shall remain distinct user actions.</x:v>
      </x:c>
      <x:c r="G388" s="46" t="str">
        <x:v>No</x:v>
      </x:c>
      <x:c r="H388" s="47" t="str">
        <x:v>Integration test</x:v>
      </x:c>
    </x:row>
    <x:row r="389" ht="42" customHeight="1">
      <x:c r="A389" s="45" t="str">
        <x:v>AC-T-013</x:v>
      </x:c>
      <x:c r="B389" s="46" t="str">
        <x:v>T. Account and Synchronization</x:v>
      </x:c>
      <x:c r="C389" s="46" t="str">
        <x:v>FR-T-013</x:v>
      </x:c>
      <x:c r="D389" s="46" t="str">
        <x:v>Given the applicable Account and Synchronization preconditions and a valid Local Profile</x:v>
      </x:c>
      <x:c r="E389" s="46" t="str">
        <x:v>When the user performs the relevant action or the relevant system condition occurs</x:v>
      </x:c>
      <x:c r="F389" s="46" t="str">
        <x:v>Then cloud-account deletion shall require explicit confirmation and disclose its effect on cloud and local data.</x:v>
      </x:c>
      <x:c r="G389" s="46" t="str">
        <x:v>Yes</x:v>
      </x:c>
      <x:c r="H389" s="47" t="str">
        <x:v>Domain test</x:v>
      </x:c>
    </x:row>
    <x:row r="390" ht="42" customHeight="1">
      <x:c r="A390" s="45" t="str">
        <x:v>AC-T-014</x:v>
      </x:c>
      <x:c r="B390" s="46" t="str">
        <x:v>T. Account and Synchronization</x:v>
      </x:c>
      <x:c r="C390" s="46" t="str">
        <x:v>FR-T-014</x:v>
      </x:c>
      <x:c r="D390" s="46" t="str">
        <x:v>Given the applicable Account and Synchronization preconditions and a valid Local Profile</x:v>
      </x:c>
      <x:c r="E390" s="46" t="str">
        <x:v>When the user performs the relevant action or the relevant system condition occurs</x:v>
      </x:c>
      <x:c r="F390" s="46" t="str">
        <x:v>Then a signed-in user shall be able to recover private cloud data on a replacement device without silent local overwrite.</x:v>
      </x:c>
      <x:c r="G390" s="46" t="str">
        <x:v>Yes</x:v>
      </x:c>
      <x:c r="H390" s="47" t="str">
        <x:v>Widget test</x:v>
      </x:c>
    </x:row>
    <x:row r="391" ht="42" customHeight="1">
      <x:c r="A391" s="45" t="str">
        <x:v>AC-T-015</x:v>
      </x:c>
      <x:c r="B391" s="46" t="str">
        <x:v>T. Account and Synchronization</x:v>
      </x:c>
      <x:c r="C391" s="46" t="str">
        <x:v>FR-T-015</x:v>
      </x:c>
      <x:c r="D391" s="46" t="str">
        <x:v>Given the applicable Account and Synchronization preconditions and a valid Local Profile</x:v>
      </x:c>
      <x:c r="E391" s="46" t="str">
        <x:v>When the user performs the relevant action or the relevant system condition occurs</x:v>
      </x:c>
      <x:c r="F391" s="46" t="str">
        <x:v>Then display whether data is local-only, pending upload, synchronized, paused, expired, or Action Required.</x:v>
      </x:c>
      <x:c r="G391" s="46" t="str">
        <x:v>No</x:v>
      </x:c>
      <x:c r="H391" s="47" t="str">
        <x:v>Widget test / Integration test</x:v>
      </x:c>
    </x:row>
    <x:row r="392" ht="42" customHeight="1">
      <x:c r="A392" s="45" t="str">
        <x:v>AC-T-016</x:v>
      </x:c>
      <x:c r="B392" s="46" t="str">
        <x:v>T. Account and Synchronization</x:v>
      </x:c>
      <x:c r="C392" s="46" t="str">
        <x:v>FR-T-016</x:v>
      </x:c>
      <x:c r="D392" s="46" t="str">
        <x:v>Given the applicable Account and Synchronization preconditions and a valid Local Profile</x:v>
      </x:c>
      <x:c r="E392" s="46" t="str">
        <x:v>When the user performs the relevant action or the relevant system condition occurs</x:v>
      </x:c>
      <x:c r="F392" s="46" t="str">
        <x:v>Then synchronization retries shall be idempotent and shall not duplicate domain records or contribution effects.</x:v>
      </x:c>
      <x:c r="G392" s="46" t="str">
        <x:v>Yes</x:v>
      </x:c>
      <x:c r="H392" s="47" t="str">
        <x:v>Domain test / Integration test</x:v>
      </x:c>
    </x:row>
    <x:row r="393" ht="42" customHeight="1">
      <x:c r="A393" s="45" t="str">
        <x:v>AC-T-017</x:v>
      </x:c>
      <x:c r="B393" s="46" t="str">
        <x:v>T. Account and Synchronization</x:v>
      </x:c>
      <x:c r="C393" s="46" t="str">
        <x:v>FR-T-017</x:v>
      </x:c>
      <x:c r="D393" s="46" t="str">
        <x:v>Given the applicable Account and Synchronization preconditions and a valid Local Profile</x:v>
      </x:c>
      <x:c r="E393" s="46" t="str">
        <x:v>When the user performs the relevant action or the relevant system condition occurs</x:v>
      </x:c>
      <x:c r="F393" s="46" t="str">
        <x:v>Then conflict resolution shall preserve report history, ledger lineage, recurrence occurrences, and Task–Event relationships.</x:v>
      </x:c>
      <x:c r="G393" s="46" t="str">
        <x:v>Yes</x:v>
      </x:c>
      <x:c r="H393" s="47" t="str">
        <x:v>Database test</x:v>
      </x:c>
    </x:row>
    <x:row r="394" ht="42" customHeight="1">
      <x:c r="A394" s="45" t="str">
        <x:v>AC-T-018</x:v>
      </x:c>
      <x:c r="B394" s="46" t="str">
        <x:v>T. Account and Synchronization</x:v>
      </x:c>
      <x:c r="C394" s="46" t="str">
        <x:v>FR-T-018</x:v>
      </x:c>
      <x:c r="D394" s="46" t="str">
        <x:v>Given the applicable Account and Synchronization preconditions and a valid Local Profile</x:v>
      </x:c>
      <x:c r="E394" s="46" t="str">
        <x:v>When the user performs the relevant action or the relevant system condition occurs</x:v>
      </x:c>
      <x:c r="F394" s="46" t="str">
        <x:v>Then not provide sharing, collaboration, leader, family, or mentor access.</x:v>
      </x:c>
      <x:c r="G394" s="46" t="str">
        <x:v>Yes</x:v>
      </x:c>
      <x:c r="H394" s="47" t="str">
        <x:v>Integration test</x:v>
      </x:c>
    </x:row>
    <x:row r="395" ht="42" customHeight="1">
      <x:c r="A395" s="45" t="str">
        <x:v>AC-T-019</x:v>
      </x:c>
      <x:c r="B395" s="46" t="str">
        <x:v>T. Account and Synchronization</x:v>
      </x:c>
      <x:c r="C395" s="46" t="str">
        <x:v>FR-T-019</x:v>
      </x:c>
      <x:c r="D395" s="46" t="str">
        <x:v>Given the applicable Account and Synchronization preconditions and a valid Local Profile</x:v>
      </x:c>
      <x:c r="E395" s="46" t="str">
        <x:v>When the user performs the relevant action or the relevant system condition occurs</x:v>
      </x:c>
      <x:c r="F395" s="46" t="str">
        <x:v>Then privacy lock shall remain enforceable independently of account authentication state.</x:v>
      </x:c>
      <x:c r="G395" s="46" t="str">
        <x:v>Yes</x:v>
      </x:c>
      <x:c r="H395" s="47" t="str">
        <x:v>Domain test</x:v>
      </x:c>
    </x:row>
    <x:row r="396" ht="42" customHeight="1">
      <x:c r="A396" s="45" t="str">
        <x:v>AC-T-020</x:v>
      </x:c>
      <x:c r="B396" s="46" t="str">
        <x:v>T. Account and Synchronization</x:v>
      </x:c>
      <x:c r="C396" s="46" t="str">
        <x:v>FR-T-020</x:v>
      </x:c>
      <x:c r="D396" s="46" t="str">
        <x:v>Given the applicable Account and Synchronization preconditions and a valid Local Profile</x:v>
      </x:c>
      <x:c r="E396" s="46" t="str">
        <x:v>When the user performs the relevant action or the relevant system condition occurs</x:v>
      </x:c>
      <x:c r="F396" s="46" t="str">
        <x:v>Then failed or cancelled authentication shall return the user to usable local-only operation.</x:v>
      </x:c>
      <x:c r="G396" s="46" t="str">
        <x:v>No</x:v>
      </x:c>
      <x:c r="H396" s="47" t="str">
        <x:v>Domain test</x:v>
      </x:c>
    </x:row>
    <x:row r="397" ht="42" customHeight="1">
      <x:c r="A397" s="45" t="str">
        <x:v>AC-T-021</x:v>
      </x:c>
      <x:c r="B397" s="46" t="str">
        <x:v>T. Account and Synchronization</x:v>
      </x:c>
      <x:c r="C397" s="46" t="str">
        <x:v>FR-T-021</x:v>
      </x:c>
      <x:c r="D397" s="46" t="str">
        <x:v>Given the applicable Account and Synchronization preconditions and a valid Local Profile</x:v>
      </x:c>
      <x:c r="E397" s="46" t="str">
        <x:v>When the user performs the relevant action or the relevant system condition occurs</x:v>
      </x:c>
      <x:c r="F397" s="46" t="str">
        <x:v>Then synchronization diagnostics shall minimize user content and avoid exposing authentication secrets.</x:v>
      </x:c>
      <x:c r="G397" s="46" t="str">
        <x:v>No</x:v>
      </x:c>
      <x:c r="H397" s="47" t="str">
        <x:v>Integration test</x:v>
      </x:c>
    </x:row>
    <x:row r="398" ht="42" customHeight="1">
      <x:c r="A398" s="45" t="str">
        <x:v>AC-T-022</x:v>
      </x:c>
      <x:c r="B398" s="46" t="str">
        <x:v>T. Account and Synchronization</x:v>
      </x:c>
      <x:c r="C398" s="46" t="str">
        <x:v>FR-T-022</x:v>
      </x:c>
      <x:c r="D398" s="46" t="str">
        <x:v>Given the applicable Account and Synchronization preconditions and a valid Local Profile</x:v>
      </x:c>
      <x:c r="E398" s="46" t="str">
        <x:v>When the user performs the relevant action or the relevant system condition occurs</x:v>
      </x:c>
      <x:c r="F398" s="46" t="str">
        <x:v>Then a user may pause synchronization without disabling local application workflows.</x:v>
      </x:c>
      <x:c r="G398" s="46" t="str">
        <x:v>No</x:v>
      </x:c>
      <x:c r="H398" s="47" t="str">
        <x:v>Integration test</x:v>
      </x:c>
    </x:row>
    <x:row r="399" ht="42" customHeight="1">
      <x:c r="A399" s="45" t="str">
        <x:v>AC-U-001</x:v>
      </x:c>
      <x:c r="B399" s="46" t="str">
        <x:v>U. Notifications and Background Work</x:v>
      </x:c>
      <x:c r="C399" s="46" t="str">
        <x:v>FR-U-001</x:v>
      </x:c>
      <x:c r="D399" s="46" t="str">
        <x:v>Given the applicable Notifications and Background Work preconditions and a valid Local Profile</x:v>
      </x:c>
      <x:c r="E399" s="46" t="str">
        <x:v>When the user performs the relevant action or the relevant system condition occurs</x:v>
      </x:c>
      <x:c r="F399" s="46" t="str">
        <x:v>Then provide a durable local background-work scheduler for approved V1 jobs.</x:v>
      </x:c>
      <x:c r="G399" s="46" t="str">
        <x:v>Yes</x:v>
      </x:c>
      <x:c r="H399" s="47" t="str">
        <x:v>Integration test</x:v>
      </x:c>
    </x:row>
    <x:row r="400" ht="42" customHeight="1">
      <x:c r="A400" s="45" t="str">
        <x:v>AC-U-002</x:v>
      </x:c>
      <x:c r="B400" s="46" t="str">
        <x:v>U. Notifications and Background Work</x:v>
      </x:c>
      <x:c r="C400" s="46" t="str">
        <x:v>FR-U-002</x:v>
      </x:c>
      <x:c r="D400" s="46" t="str">
        <x:v>Given the applicable Notifications and Background Work preconditions and a valid Local Profile</x:v>
      </x:c>
      <x:c r="E400" s="46" t="str">
        <x:v>When the user performs the relevant action or the relevant system condition occurs</x:v>
      </x:c>
      <x:c r="F400" s="46" t="str">
        <x:v>Then background work shall never create Task completion, Calendar Event outcomes, reports, Actual, or Activity Ledger contributions without a valid canonical source.</x:v>
      </x:c>
      <x:c r="G400" s="46" t="str">
        <x:v>Yes</x:v>
      </x:c>
      <x:c r="H400" s="47" t="str">
        <x:v>Domain test / Database test / Integration test</x:v>
      </x:c>
    </x:row>
    <x:row r="401" ht="42" customHeight="1">
      <x:c r="A401" s="45" t="str">
        <x:v>AC-U-003</x:v>
      </x:c>
      <x:c r="B401" s="46" t="str">
        <x:v>U. Notifications and Background Work</x:v>
      </x:c>
      <x:c r="C401" s="46" t="str">
        <x:v>FR-U-003</x:v>
      </x:c>
      <x:c r="D401" s="46" t="str">
        <x:v>Given the applicable Notifications and Background Work preconditions and a valid Local Profile</x:v>
      </x:c>
      <x:c r="E401" s="46" t="str">
        <x:v>When the user performs the relevant action or the relevant system condition occurs</x:v>
      </x:c>
      <x:c r="F401" s="46" t="str">
        <x:v>Then background jobs shall be idempotent and safe to retry after process death, device restart, or uncertain completion.</x:v>
      </x:c>
      <x:c r="G401" s="46" t="str">
        <x:v>Yes</x:v>
      </x:c>
      <x:c r="H401" s="47" t="str">
        <x:v>Domain test / Integration test</x:v>
      </x:c>
    </x:row>
    <x:row r="402" ht="42" customHeight="1">
      <x:c r="A402" s="45" t="str">
        <x:v>AC-U-004</x:v>
      </x:c>
      <x:c r="B402" s="46" t="str">
        <x:v>U. Notifications and Background Work</x:v>
      </x:c>
      <x:c r="C402" s="46" t="str">
        <x:v>FR-U-004</x:v>
      </x:c>
      <x:c r="D402" s="46" t="str">
        <x:v>Given the applicable Notifications and Background Work preconditions and a valid Local Profile</x:v>
      </x:c>
      <x:c r="E402" s="46" t="str">
        <x:v>When the user performs the relevant action or the relevant system condition occurs</x:v>
      </x:c>
      <x:c r="F402" s="46" t="str">
        <x:v>Then background jobs shall declare and respect required connectivity, charging, battery, and storage constraints where applicable.</x:v>
      </x:c>
      <x:c r="G402" s="46" t="str">
        <x:v>Yes</x:v>
      </x:c>
      <x:c r="H402" s="47" t="str">
        <x:v>Integration test</x:v>
      </x:c>
    </x:row>
    <x:row r="403" ht="42" customHeight="1">
      <x:c r="A403" s="45" t="str">
        <x:v>AC-U-005</x:v>
      </x:c>
      <x:c r="B403" s="46" t="str">
        <x:v>U. Notifications and Background Work</x:v>
      </x:c>
      <x:c r="C403" s="46" t="str">
        <x:v>FR-U-005</x:v>
      </x:c>
      <x:c r="D403" s="46" t="str">
        <x:v>Given the applicable Notifications and Background Work preconditions and a valid Local Profile</x:v>
      </x:c>
      <x:c r="E403" s="46" t="str">
        <x:v>When the user performs the relevant action or the relevant system condition occurs</x:v>
      </x:c>
      <x:c r="F403" s="46" t="str">
        <x:v>Then recover eligible reminder schedules and pending background work after device restart or app update.</x:v>
      </x:c>
      <x:c r="G403" s="46" t="str">
        <x:v>Yes</x:v>
      </x:c>
      <x:c r="H403" s="47" t="str">
        <x:v>Integration test</x:v>
      </x:c>
    </x:row>
    <x:row r="404" ht="42" customHeight="1">
      <x:c r="A404" s="45" t="str">
        <x:v>AC-U-006</x:v>
      </x:c>
      <x:c r="B404" s="46" t="str">
        <x:v>U. Notifications and Background Work</x:v>
      </x:c>
      <x:c r="C404" s="46" t="str">
        <x:v>FR-U-006</x:v>
      </x:c>
      <x:c r="D404" s="46" t="str">
        <x:v>Given the applicable Notifications and Background Work preconditions and a valid Local Profile</x:v>
      </x:c>
      <x:c r="E404" s="46" t="str">
        <x:v>When the user performs the relevant action or the relevant system condition occurs</x:v>
      </x:c>
      <x:c r="F404" s="46" t="str">
        <x:v>Then process synchronization outbox work without blocking foreground local workflows.</x:v>
      </x:c>
      <x:c r="G404" s="46" t="str">
        <x:v>Yes</x:v>
      </x:c>
      <x:c r="H404" s="47" t="str">
        <x:v>Database test / Integration test</x:v>
      </x:c>
    </x:row>
    <x:row r="405" ht="42" customHeight="1">
      <x:c r="A405" s="45" t="str">
        <x:v>AC-U-007</x:v>
      </x:c>
      <x:c r="B405" s="46" t="str">
        <x:v>U. Notifications and Background Work</x:v>
      </x:c>
      <x:c r="C405" s="46" t="str">
        <x:v>FR-U-007</x:v>
      </x:c>
      <x:c r="D405" s="46" t="str">
        <x:v>Given the applicable Notifications and Background Work preconditions and a valid Local Profile</x:v>
      </x:c>
      <x:c r="E405" s="46" t="str">
        <x:v>When the user performs the relevant action or the relevant system condition occurs</x:v>
      </x:c>
      <x:c r="F405" s="46" t="str">
        <x:v>Then background synchronization failure shall preserve pending local operations and expose factual status.</x:v>
      </x:c>
      <x:c r="G405" s="46" t="str">
        <x:v>Yes</x:v>
      </x:c>
      <x:c r="H405" s="47" t="str">
        <x:v>Domain test / Integration test</x:v>
      </x:c>
    </x:row>
    <x:row r="406" ht="42" customHeight="1">
      <x:c r="A406" s="45" t="str">
        <x:v>AC-U-008</x:v>
      </x:c>
      <x:c r="B406" s="46" t="str">
        <x:v>U. Notifications and Background Work</x:v>
      </x:c>
      <x:c r="C406" s="46" t="str">
        <x:v>FR-U-008</x:v>
      </x:c>
      <x:c r="D406" s="46" t="str">
        <x:v>Given the applicable Notifications and Background Work preconditions and a valid Local Profile</x:v>
      </x:c>
      <x:c r="E406" s="46" t="str">
        <x:v>When the user performs the relevant action or the relevant system condition occurs</x:v>
      </x:c>
      <x:c r="F406" s="46" t="str">
        <x:v>Then support periodic official-content update checks without blocking bundled or last-known-valid content.</x:v>
      </x:c>
      <x:c r="G406" s="46" t="str">
        <x:v>Yes</x:v>
      </x:c>
      <x:c r="H406" s="47" t="str">
        <x:v>Manual review</x:v>
      </x:c>
    </x:row>
    <x:row r="407" ht="42" customHeight="1">
      <x:c r="A407" s="45" t="str">
        <x:v>AC-U-009</x:v>
      </x:c>
      <x:c r="B407" s="46" t="str">
        <x:v>U. Notifications and Background Work</x:v>
      </x:c>
      <x:c r="C407" s="46" t="str">
        <x:v>FR-U-009</x:v>
      </x:c>
      <x:c r="D407" s="46" t="str">
        <x:v>Given the applicable Notifications and Background Work preconditions and a valid Local Profile</x:v>
      </x:c>
      <x:c r="E407" s="46" t="str">
        <x:v>When the user performs the relevant action or the relevant system condition occurs</x:v>
      </x:c>
      <x:c r="F407" s="46" t="str">
        <x:v>Then background content checks shall not overwrite user-created state or verified historical content.</x:v>
      </x:c>
      <x:c r="G407" s="46" t="str">
        <x:v>Yes</x:v>
      </x:c>
      <x:c r="H407" s="47" t="str">
        <x:v>Integration test</x:v>
      </x:c>
    </x:row>
    <x:row r="408" ht="42" customHeight="1">
      <x:c r="A408" s="45" t="str">
        <x:v>AC-U-010</x:v>
      </x:c>
      <x:c r="B408" s="46" t="str">
        <x:v>U. Notifications and Background Work</x:v>
      </x:c>
      <x:c r="C408" s="46" t="str">
        <x:v>FR-U-010</x:v>
      </x:c>
      <x:c r="D408" s="46" t="str">
        <x:v>Given the applicable Notifications and Background Work preconditions and a valid Local Profile</x:v>
      </x:c>
      <x:c r="E408" s="46" t="str">
        <x:v>When the user performs the relevant action or the relevant system condition occurs</x:v>
      </x:c>
      <x:c r="F408" s="46" t="str">
        <x:v>Then not use background location permission or continuous background location work in V1.</x:v>
      </x:c>
      <x:c r="G408" s="46" t="str">
        <x:v>Yes</x:v>
      </x:c>
      <x:c r="H408" s="47" t="str">
        <x:v>Widget test / Integration test</x:v>
      </x:c>
    </x:row>
    <x:row r="409" ht="42" customHeight="1">
      <x:c r="A409" s="45" t="str">
        <x:v>AC-U-011</x:v>
      </x:c>
      <x:c r="B409" s="46" t="str">
        <x:v>U. Notifications and Background Work</x:v>
      </x:c>
      <x:c r="C409" s="46" t="str">
        <x:v>FR-U-011</x:v>
      </x:c>
      <x:c r="D409" s="46" t="str">
        <x:v>Given the applicable Notifications and Background Work preconditions and a valid Local Profile</x:v>
      </x:c>
      <x:c r="E409" s="46" t="str">
        <x:v>When the user performs the relevant action or the relevant system condition occurs</x:v>
      </x:c>
      <x:c r="F409" s="46" t="str">
        <x:v>Then long-running user-initiated work shall use an appropriate visible progress experience when Android requires it.</x:v>
      </x:c>
      <x:c r="G409" s="46" t="str">
        <x:v>No</x:v>
      </x:c>
      <x:c r="H409" s="47" t="str">
        <x:v>Domain test</x:v>
      </x:c>
    </x:row>
    <x:row r="410" ht="42" customHeight="1">
      <x:c r="A410" s="45" t="str">
        <x:v>AC-U-012</x:v>
      </x:c>
      <x:c r="B410" s="46" t="str">
        <x:v>U. Notifications and Background Work</x:v>
      </x:c>
      <x:c r="C410" s="46" t="str">
        <x:v>FR-U-012</x:v>
      </x:c>
      <x:c r="D410" s="46" t="str">
        <x:v>Given the applicable Notifications and Background Work preconditions and a valid Local Profile</x:v>
      </x:c>
      <x:c r="E410" s="46" t="str">
        <x:v>When the user performs the relevant action or the relevant system condition occurs</x:v>
      </x:c>
      <x:c r="F410" s="46" t="str">
        <x:v>Then background jobs shall not contain private record titles, notes, reflections, document references, or precise locations in logs or analytics.</x:v>
      </x:c>
      <x:c r="G410" s="46" t="str">
        <x:v>Yes</x:v>
      </x:c>
      <x:c r="H410" s="47" t="str">
        <x:v>Integration test</x:v>
      </x:c>
    </x:row>
    <x:row r="411" ht="42" customHeight="1">
      <x:c r="A411" s="45" t="str">
        <x:v>AC-U-013</x:v>
      </x:c>
      <x:c r="B411" s="46" t="str">
        <x:v>U. Notifications and Background Work</x:v>
      </x:c>
      <x:c r="C411" s="46" t="str">
        <x:v>FR-U-013</x:v>
      </x:c>
      <x:c r="D411" s="46" t="str">
        <x:v>Given the applicable Notifications and Background Work preconditions and a valid Local Profile</x:v>
      </x:c>
      <x:c r="E411" s="46" t="str">
        <x:v>When the user performs the relevant action or the relevant system condition occurs</x:v>
      </x:c>
      <x:c r="F411" s="46" t="str">
        <x:v>Then provide privacy-safe diagnostic status for failed, delayed, cancelled, and retried background jobs.</x:v>
      </x:c>
      <x:c r="G411" s="46" t="str">
        <x:v>Yes</x:v>
      </x:c>
      <x:c r="H411" s="47" t="str">
        <x:v>Domain test / Integration test</x:v>
      </x:c>
    </x:row>
    <x:row r="412" ht="42" customHeight="1">
      <x:c r="A412" s="45" t="str">
        <x:v>AC-U-014</x:v>
      </x:c>
      <x:c r="B412" s="46" t="str">
        <x:v>U. Notifications and Background Work</x:v>
      </x:c>
      <x:c r="C412" s="46" t="str">
        <x:v>FR-U-014</x:v>
      </x:c>
      <x:c r="D412" s="46" t="str">
        <x:v>Given the applicable Notifications and Background Work preconditions and a valid Local Profile</x:v>
      </x:c>
      <x:c r="E412" s="46" t="str">
        <x:v>When the user performs the relevant action or the relevant system condition occurs</x:v>
      </x:c>
      <x:c r="F412" s="46" t="str">
        <x:v>Then duplicate scheduled work for the same stable job identity shall be coalesced or safely deduplicated.</x:v>
      </x:c>
      <x:c r="G412" s="46" t="str">
        <x:v>No</x:v>
      </x:c>
      <x:c r="H412" s="47" t="str">
        <x:v>Domain test</x:v>
      </x:c>
    </x:row>
    <x:row r="413" ht="42" customHeight="1">
      <x:c r="A413" s="45" t="str">
        <x:v>AC-U-015</x:v>
      </x:c>
      <x:c r="B413" s="46" t="str">
        <x:v>U. Notifications and Background Work</x:v>
      </x:c>
      <x:c r="C413" s="46" t="str">
        <x:v>FR-U-015</x:v>
      </x:c>
      <x:c r="D413" s="46" t="str">
        <x:v>Given the applicable Notifications and Background Work preconditions and a valid Local Profile</x:v>
      </x:c>
      <x:c r="E413" s="46" t="str">
        <x:v>When the user performs the relevant action or the relevant system condition occurs</x:v>
      </x:c>
      <x:c r="F413" s="46" t="str">
        <x:v>Then expired or obsolete background jobs shall be cancelled when their owning record is cancelled, rescheduled, deleted, or archived.</x:v>
      </x:c>
      <x:c r="G413" s="46" t="str">
        <x:v>No</x:v>
      </x:c>
      <x:c r="H413" s="47" t="str">
        <x:v>Integration test</x:v>
      </x:c>
    </x:row>
    <x:row r="414" ht="42" customHeight="1">
      <x:c r="A414" s="45" t="str">
        <x:v>AC-U-016</x:v>
      </x:c>
      <x:c r="B414" s="46" t="str">
        <x:v>U. Notifications and Background Work</x:v>
      </x:c>
      <x:c r="C414" s="46" t="str">
        <x:v>FR-U-016</x:v>
      </x:c>
      <x:c r="D414" s="46" t="str">
        <x:v>Given the applicable Notifications and Background Work preconditions and a valid Local Profile</x:v>
      </x:c>
      <x:c r="E414" s="46" t="str">
        <x:v>When the user performs the relevant action or the relevant system condition occurs</x:v>
      </x:c>
      <x:c r="F414" s="46" t="str">
        <x:v>Then background work shall preserve Local Profile ownership and shall not operate across user profiles.</x:v>
      </x:c>
      <x:c r="G414" s="46" t="str">
        <x:v>Yes</x:v>
      </x:c>
      <x:c r="H414" s="47" t="str">
        <x:v>Integration test</x:v>
      </x:c>
    </x:row>
    <x:row r="415" ht="42" customHeight="1">
      <x:c r="A415" s="45" t="str">
        <x:v>AC-U-017</x:v>
      </x:c>
      <x:c r="B415" s="46" t="str">
        <x:v>U. Notifications and Background Work</x:v>
      </x:c>
      <x:c r="C415" s="46" t="str">
        <x:v>FR-U-017</x:v>
      </x:c>
      <x:c r="D415" s="46" t="str">
        <x:v>Given the applicable Notifications and Background Work preconditions and a valid Local Profile</x:v>
      </x:c>
      <x:c r="E415" s="46" t="str">
        <x:v>When the user performs the relevant action or the relevant system condition occurs</x:v>
      </x:c>
      <x:c r="F415" s="46" t="str">
        <x:v>Then core V1 background functions shall remain usable for guest users where no account is required.</x:v>
      </x:c>
      <x:c r="G415" s="46" t="str">
        <x:v>Yes</x:v>
      </x:c>
      <x:c r="H415" s="47" t="str">
        <x:v>Integration test</x:v>
      </x:c>
    </x:row>
    <x:row r="416" ht="42" customHeight="1">
      <x:c r="A416" s="45" t="str">
        <x:v>AC-U-018</x:v>
      </x:c>
      <x:c r="B416" s="46" t="str">
        <x:v>U. Notifications and Background Work</x:v>
      </x:c>
      <x:c r="C416" s="46" t="str">
        <x:v>FR-U-018</x:v>
      </x:c>
      <x:c r="D416" s="46" t="str">
        <x:v>Given the applicable Notifications and Background Work preconditions and a valid Local Profile</x:v>
      </x:c>
      <x:c r="E416" s="46" t="str">
        <x:v>When the user performs the relevant action or the relevant system condition occurs</x:v>
      </x:c>
      <x:c r="F416" s="46" t="str">
        <x:v>Then avoid exact-alarm or foreground-service use unless an approved user-facing function genuinely requires it.</x:v>
      </x:c>
      <x:c r="G416" s="46" t="str">
        <x:v>No</x:v>
      </x:c>
      <x:c r="H416" s="47" t="str">
        <x:v>Domain test</x:v>
      </x:c>
    </x:row>
    <x:row r="417" ht="42" customHeight="1">
      <x:c r="A417" s="45" t="str">
        <x:v>AC-U-019</x:v>
      </x:c>
      <x:c r="B417" s="46" t="str">
        <x:v>U. Notifications and Background Work</x:v>
      </x:c>
      <x:c r="C417" s="46" t="str">
        <x:v>FR-U-019</x:v>
      </x:c>
      <x:c r="D417" s="46" t="str">
        <x:v>Given the applicable Notifications and Background Work preconditions and a valid Local Profile</x:v>
      </x:c>
      <x:c r="E417" s="46" t="str">
        <x:v>When the user performs the relevant action or the relevant system condition occurs</x:v>
      </x:c>
      <x:c r="F417" s="46" t="str">
        <x:v>Then background execution limitations imposed by Android shall be communicated without implying that domain work was completed.</x:v>
      </x:c>
      <x:c r="G417" s="46" t="str">
        <x:v>Yes</x:v>
      </x:c>
      <x:c r="H417" s="47" t="str">
        <x:v>Integration test</x:v>
      </x:c>
    </x:row>
    <x:row r="418" ht="42" customHeight="1">
      <x:c r="A418" s="45" t="str">
        <x:v>AC-U-020</x:v>
      </x:c>
      <x:c r="B418" s="46" t="str">
        <x:v>U. Notifications and Background Work</x:v>
      </x:c>
      <x:c r="C418" s="46" t="str">
        <x:v>FR-U-020</x:v>
      </x:c>
      <x:c r="D418" s="46" t="str">
        <x:v>Given the applicable Notifications and Background Work preconditions and a valid Local Profile</x:v>
      </x:c>
      <x:c r="E418" s="46" t="str">
        <x:v>When the user performs the relevant action or the relevant system condition occurs</x:v>
      </x:c>
      <x:c r="F418" s="46" t="str">
        <x:v>Then expose last-run and next-eligible-run information for support-relevant background categories where useful.</x:v>
      </x:c>
      <x:c r="G418" s="46" t="str">
        <x:v>No</x:v>
      </x:c>
      <x:c r="H418" s="47" t="str">
        <x:v>Integration test</x:v>
      </x:c>
    </x:row>
    <x:row r="419" ht="42" customHeight="1">
      <x:c r="A419" s="45" t="str">
        <x:v>AC-V-001</x:v>
      </x:c>
      <x:c r="B419" s="46" t="str">
        <x:v>V. Device-Calendar Manual Import and Export</x:v>
      </x:c>
      <x:c r="C419" s="46" t="str">
        <x:v>FR-V-001</x:v>
      </x:c>
      <x:c r="D419" s="46" t="str">
        <x:v>Given the applicable Device-Calendar Manual Import and Export preconditions and a valid Local Profile</x:v>
      </x:c>
      <x:c r="E419" s="46" t="str">
        <x:v>When the user performs the relevant action or the relevant system condition occurs</x:v>
      </x:c>
      <x:c r="F419" s="46" t="str">
        <x:v>Then be able to manually import selected device-calendar events after an explicit calendar-permission request.</x:v>
      </x:c>
      <x:c r="G419" s="46" t="str">
        <x:v>Yes</x:v>
      </x:c>
      <x:c r="H419" s="47" t="str">
        <x:v>Widget test / Integration test</x:v>
      </x:c>
    </x:row>
    <x:row r="420" ht="42" customHeight="1">
      <x:c r="A420" s="45" t="str">
        <x:v>AC-V-002</x:v>
      </x:c>
      <x:c r="B420" s="46" t="str">
        <x:v>V. Device-Calendar Manual Import and Export</x:v>
      </x:c>
      <x:c r="C420" s="46" t="str">
        <x:v>FR-V-002</x:v>
      </x:c>
      <x:c r="D420" s="46" t="str">
        <x:v>Given the applicable Device-Calendar Manual Import and Export preconditions and a valid Local Profile</x:v>
      </x:c>
      <x:c r="E420" s="46" t="str">
        <x:v>When the user performs the relevant action or the relevant system condition occurs</x:v>
      </x:c>
      <x:c r="F420" s="46" t="str">
        <x:v>Then be able to manually export selected Next Transfer Calendar Events to a chosen device calendar.</x:v>
      </x:c>
      <x:c r="G420" s="46" t="str">
        <x:v>Yes</x:v>
      </x:c>
      <x:c r="H420" s="47" t="str">
        <x:v>Widget test / Integration test</x:v>
      </x:c>
    </x:row>
    <x:row r="421" ht="42" customHeight="1">
      <x:c r="A421" s="45" t="str">
        <x:v>AC-V-003</x:v>
      </x:c>
      <x:c r="B421" s="46" t="str">
        <x:v>V. Device-Calendar Manual Import and Export</x:v>
      </x:c>
      <x:c r="C421" s="46" t="str">
        <x:v>FR-V-003</x:v>
      </x:c>
      <x:c r="D421" s="46" t="str">
        <x:v>Given the applicable Device-Calendar Manual Import and Export preconditions and a valid Local Profile</x:v>
      </x:c>
      <x:c r="E421" s="46" t="str">
        <x:v>When the user performs the relevant action or the relevant system condition occurs</x:v>
      </x:c>
      <x:c r="F421" s="46" t="str">
        <x:v>Then the internal Next Transfer Planner shall remain authoritative after import or export.</x:v>
      </x:c>
      <x:c r="G421" s="46" t="str">
        <x:v>Yes</x:v>
      </x:c>
      <x:c r="H421" s="47" t="str">
        <x:v>Integration test</x:v>
      </x:c>
    </x:row>
    <x:row r="422" ht="42" customHeight="1">
      <x:c r="A422" s="45" t="str">
        <x:v>AC-V-004</x:v>
      </x:c>
      <x:c r="B422" s="46" t="str">
        <x:v>V. Device-Calendar Manual Import and Export</x:v>
      </x:c>
      <x:c r="C422" s="46" t="str">
        <x:v>FR-V-004</x:v>
      </x:c>
      <x:c r="D422" s="46" t="str">
        <x:v>Given the applicable Device-Calendar Manual Import and Export preconditions and a valid Local Profile</x:v>
      </x:c>
      <x:c r="E422" s="46" t="str">
        <x:v>When the user performs the relevant action or the relevant system condition occurs</x:v>
      </x:c>
      <x:c r="F422" s="46" t="str">
        <x:v>Then be requested only after the user selects an external-calendar action.</x:v>
      </x:c>
      <x:c r="G422" s="46" t="str">
        <x:v>Yes</x:v>
      </x:c>
      <x:c r="H422" s="47" t="str">
        <x:v>Widget test / Integration test</x:v>
      </x:c>
    </x:row>
    <x:row r="423" ht="42" customHeight="1">
      <x:c r="A423" s="45" t="str">
        <x:v>AC-V-005</x:v>
      </x:c>
      <x:c r="B423" s="46" t="str">
        <x:v>V. Device-Calendar Manual Import and Export</x:v>
      </x:c>
      <x:c r="C423" s="46" t="str">
        <x:v>FR-V-005</x:v>
      </x:c>
      <x:c r="D423" s="46" t="str">
        <x:v>Given the applicable Device-Calendar Manual Import and Export preconditions and a valid Local Profile</x:v>
      </x:c>
      <x:c r="E423" s="46" t="str">
        <x:v>When the user performs the relevant action or the relevant system condition occurs</x:v>
      </x:c>
      <x:c r="F423" s="46" t="str">
        <x:v>Then external events shall be previewed before import.</x:v>
      </x:c>
      <x:c r="G423" s="46" t="str">
        <x:v>Yes</x:v>
      </x:c>
      <x:c r="H423" s="47" t="str">
        <x:v>Widget test / Integration test</x:v>
      </x:c>
    </x:row>
    <x:row r="424" ht="42" customHeight="1">
      <x:c r="A424" s="45" t="str">
        <x:v>AC-V-006</x:v>
      </x:c>
      <x:c r="B424" s="46" t="str">
        <x:v>V. Device-Calendar Manual Import and Export</x:v>
      </x:c>
      <x:c r="C424" s="46" t="str">
        <x:v>FR-V-006</x:v>
      </x:c>
      <x:c r="D424" s="46" t="str">
        <x:v>Given the applicable Device-Calendar Manual Import and Export preconditions and a valid Local Profile</x:v>
      </x:c>
      <x:c r="E424" s="46" t="str">
        <x:v>When the user performs the relevant action or the relevant system condition occurs</x:v>
      </x:c>
      <x:c r="F424" s="46" t="str">
        <x:v>Then imported external events shall receive new Next Transfer UUIDs as primary identities.</x:v>
      </x:c>
      <x:c r="G424" s="46" t="str">
        <x:v>Yes</x:v>
      </x:c>
      <x:c r="H424" s="47" t="str">
        <x:v>Integration test</x:v>
      </x:c>
    </x:row>
    <x:row r="425" ht="42" customHeight="1">
      <x:c r="A425" s="45" t="str">
        <x:v>AC-V-007</x:v>
      </x:c>
      <x:c r="B425" s="46" t="str">
        <x:v>V. Device-Calendar Manual Import and Export</x:v>
      </x:c>
      <x:c r="C425" s="46" t="str">
        <x:v>FR-V-007</x:v>
      </x:c>
      <x:c r="D425" s="46" t="str">
        <x:v>Given the applicable Device-Calendar Manual Import and Export preconditions and a valid Local Profile</x:v>
      </x:c>
      <x:c r="E425" s="46" t="str">
        <x:v>When the user performs the relevant action or the relevant system condition occurs</x:v>
      </x:c>
      <x:c r="F425" s="46" t="str">
        <x:v>Then external event IDs and iCal UIDs shall be retained only as mapping and duplicate-detection metadata.</x:v>
      </x:c>
      <x:c r="G425" s="46" t="str">
        <x:v>Yes</x:v>
      </x:c>
      <x:c r="H425" s="47" t="str">
        <x:v>Domain test / Integration test</x:v>
      </x:c>
    </x:row>
    <x:row r="426" ht="42" customHeight="1">
      <x:c r="A426" s="45" t="str">
        <x:v>AC-V-008</x:v>
      </x:c>
      <x:c r="B426" s="46" t="str">
        <x:v>V. Device-Calendar Manual Import and Export</x:v>
      </x:c>
      <x:c r="C426" s="46" t="str">
        <x:v>FR-V-008</x:v>
      </x:c>
      <x:c r="D426" s="46" t="str">
        <x:v>Given the applicable Device-Calendar Manual Import and Export preconditions and a valid Local Profile</x:v>
      </x:c>
      <x:c r="E426" s="46" t="str">
        <x:v>When the user performs the relevant action or the relevant system condition occurs</x:v>
      </x:c>
      <x:c r="F426" s="46" t="str">
        <x:v>Then external provider IDs shall never become Next Transfer primary keys.</x:v>
      </x:c>
      <x:c r="G426" s="46" t="str">
        <x:v>Yes</x:v>
      </x:c>
      <x:c r="H426" s="47" t="str">
        <x:v>Integration test</x:v>
      </x:c>
    </x:row>
    <x:row r="427" ht="42" customHeight="1">
      <x:c r="A427" s="45" t="str">
        <x:v>AC-V-009</x:v>
      </x:c>
      <x:c r="B427" s="46" t="str">
        <x:v>V. Device-Calendar Manual Import and Export</x:v>
      </x:c>
      <x:c r="C427" s="46" t="str">
        <x:v>FR-V-009</x:v>
      </x:c>
      <x:c r="D427" s="46" t="str">
        <x:v>Given the applicable Device-Calendar Manual Import and Export preconditions and a valid Local Profile</x:v>
      </x:c>
      <x:c r="E427" s="46" t="str">
        <x:v>When the user performs the relevant action or the relevant system condition occurs</x:v>
      </x:c>
      <x:c r="F427" s="46" t="str">
        <x:v>Then a past imported external event shall remain without a happened outcome until valid Next Transfer reporting occurs.</x:v>
      </x:c>
      <x:c r="G427" s="46" t="str">
        <x:v>Yes</x:v>
      </x:c>
      <x:c r="H427" s="47" t="str">
        <x:v>Domain test / Integration test</x:v>
      </x:c>
    </x:row>
    <x:row r="428" ht="42" customHeight="1">
      <x:c r="A428" s="45" t="str">
        <x:v>AC-V-010</x:v>
      </x:c>
      <x:c r="B428" s="46" t="str">
        <x:v>V. Device-Calendar Manual Import and Export</x:v>
      </x:c>
      <x:c r="C428" s="46" t="str">
        <x:v>FR-V-010</x:v>
      </x:c>
      <x:c r="D428" s="46" t="str">
        <x:v>Given the applicable Device-Calendar Manual Import and Export preconditions and a valid Local Profile</x:v>
      </x:c>
      <x:c r="E428" s="46" t="str">
        <x:v>When the user performs the relevant action or the relevant system condition occurs</x:v>
      </x:c>
      <x:c r="F428" s="46" t="str">
        <x:v>Then manual import or export shall not create Actual or Activity Ledger contributions.</x:v>
      </x:c>
      <x:c r="G428" s="46" t="str">
        <x:v>Yes</x:v>
      </x:c>
      <x:c r="H428" s="47" t="str">
        <x:v>Domain test / Database test / Integration test</x:v>
      </x:c>
    </x:row>
    <x:row r="429" ht="42" customHeight="1">
      <x:c r="A429" s="45" t="str">
        <x:v>AC-V-011</x:v>
      </x:c>
      <x:c r="B429" s="46" t="str">
        <x:v>V. Device-Calendar Manual Import and Export</x:v>
      </x:c>
      <x:c r="C429" s="46" t="str">
        <x:v>FR-V-011</x:v>
      </x:c>
      <x:c r="D429" s="46" t="str">
        <x:v>Given the applicable Device-Calendar Manual Import and Export preconditions and a valid Local Profile</x:v>
      </x:c>
      <x:c r="E429" s="46" t="str">
        <x:v>When the user performs the relevant action or the relevant system condition occurs</x:v>
      </x:c>
      <x:c r="F429" s="46" t="str">
        <x:v>Then duplicate detection shall prioritize external event ID, iCal UID, recurring-series identity and occurrence date, then exact event fingerprints.</x:v>
      </x:c>
      <x:c r="G429" s="46" t="str">
        <x:v>No</x:v>
      </x:c>
      <x:c r="H429" s="47" t="str">
        <x:v>Domain test / Integration test</x:v>
      </x:c>
    </x:row>
    <x:row r="430" ht="42" customHeight="1">
      <x:c r="A430" s="45" t="str">
        <x:v>AC-V-012</x:v>
      </x:c>
      <x:c r="B430" s="46" t="str">
        <x:v>V. Device-Calendar Manual Import and Export</x:v>
      </x:c>
      <x:c r="C430" s="46" t="str">
        <x:v>FR-V-012</x:v>
      </x:c>
      <x:c r="D430" s="46" t="str">
        <x:v>Given the applicable Device-Calendar Manual Import and Export preconditions and a valid Local Profile</x:v>
      </x:c>
      <x:c r="E430" s="46" t="str">
        <x:v>When the user performs the relevant action or the relevant system condition occurs</x:v>
      </x:c>
      <x:c r="F430" s="46" t="str">
        <x:v>Then deleting or modifying an external event shall not automatically delete or modify its internal Next Transfer copy.</x:v>
      </x:c>
      <x:c r="G430" s="46" t="str">
        <x:v>Yes</x:v>
      </x:c>
      <x:c r="H430" s="47" t="str">
        <x:v>Integration test</x:v>
      </x:c>
    </x:row>
    <x:row r="431" ht="42" customHeight="1">
      <x:c r="A431" s="45" t="str">
        <x:v>AC-V-013</x:v>
      </x:c>
      <x:c r="B431" s="46" t="str">
        <x:v>V. Device-Calendar Manual Import and Export</x:v>
      </x:c>
      <x:c r="C431" s="46" t="str">
        <x:v>FR-V-013</x:v>
      </x:c>
      <x:c r="D431" s="46" t="str">
        <x:v>Given the applicable Device-Calendar Manual Import and Export preconditions and a valid Local Profile</x:v>
      </x:c>
      <x:c r="E431" s="46" t="str">
        <x:v>When the user performs the relevant action or the relevant system condition occurs</x:v>
      </x:c>
      <x:c r="F431" s="46" t="str">
        <x:v>Then deleting or modifying an internal event shall not silently delete or modify its external copy.</x:v>
      </x:c>
      <x:c r="G431" s="46" t="str">
        <x:v>Yes</x:v>
      </x:c>
      <x:c r="H431" s="47" t="str">
        <x:v>Integration test</x:v>
      </x:c>
    </x:row>
    <x:row r="432" ht="42" customHeight="1">
      <x:c r="A432" s="45" t="str">
        <x:v>AC-V-014</x:v>
      </x:c>
      <x:c r="B432" s="46" t="str">
        <x:v>V. Device-Calendar Manual Import and Export</x:v>
      </x:c>
      <x:c r="C432" s="46" t="str">
        <x:v>FR-V-014</x:v>
      </x:c>
      <x:c r="D432" s="46" t="str">
        <x:v>Given the applicable Device-Calendar Manual Import and Export preconditions and a valid Local Profile</x:v>
      </x:c>
      <x:c r="E432" s="46" t="str">
        <x:v>When the user performs the relevant action or the relevant system condition occurs</x:v>
      </x:c>
      <x:c r="F432" s="46" t="str">
        <x:v>Then revoking calendar permission shall preserve all internal Planner records and mapping metadata already stored locally.</x:v>
      </x:c>
      <x:c r="G432" s="46" t="str">
        <x:v>Yes</x:v>
      </x:c>
      <x:c r="H432" s="47" t="str">
        <x:v>Database test / Widget test / Integration test</x:v>
      </x:c>
    </x:row>
    <x:row r="433" ht="42" customHeight="1">
      <x:c r="A433" s="45" t="str">
        <x:v>AC-V-015</x:v>
      </x:c>
      <x:c r="B433" s="46" t="str">
        <x:v>V. Device-Calendar Manual Import and Export</x:v>
      </x:c>
      <x:c r="C433" s="46" t="str">
        <x:v>FR-V-015</x:v>
      </x:c>
      <x:c r="D433" s="46" t="str">
        <x:v>Given the applicable Device-Calendar Manual Import and Export preconditions and a valid Local Profile</x:v>
      </x:c>
      <x:c r="E433" s="46" t="str">
        <x:v>When the user performs the relevant action or the relevant system condition occurs</x:v>
      </x:c>
      <x:c r="F433" s="46" t="str">
        <x:v>Then sensitive descriptions, private reflections, and Extra Private fields shall be excluded from export by default.</x:v>
      </x:c>
      <x:c r="G433" s="46" t="str">
        <x:v>No</x:v>
      </x:c>
      <x:c r="H433" s="47" t="str">
        <x:v>Integration test</x:v>
      </x:c>
    </x:row>
    <x:row r="434" ht="42" customHeight="1">
      <x:c r="A434" s="45" t="str">
        <x:v>AC-V-016</x:v>
      </x:c>
      <x:c r="B434" s="46" t="str">
        <x:v>V. Device-Calendar Manual Import and Export</x:v>
      </x:c>
      <x:c r="C434" s="46" t="str">
        <x:v>FR-V-016</x:v>
      </x:c>
      <x:c r="D434" s="46" t="str">
        <x:v>Given the applicable Device-Calendar Manual Import and Export preconditions and a valid Local Profile</x:v>
      </x:c>
      <x:c r="E434" s="46" t="str">
        <x:v>When the user performs the relevant action or the relevant system condition occurs</x:v>
      </x:c>
      <x:c r="F434" s="46" t="str">
        <x:v>Then be able to review which fields will be exported before commit.</x:v>
      </x:c>
      <x:c r="G434" s="46" t="str">
        <x:v>No</x:v>
      </x:c>
      <x:c r="H434" s="47" t="str">
        <x:v>Widget test / Integration test</x:v>
      </x:c>
    </x:row>
    <x:row r="435" ht="42" customHeight="1">
      <x:c r="A435" s="45" t="str">
        <x:v>AC-V-017</x:v>
      </x:c>
      <x:c r="B435" s="46" t="str">
        <x:v>V. Device-Calendar Manual Import and Export</x:v>
      </x:c>
      <x:c r="C435" s="46" t="str">
        <x:v>FR-V-017</x:v>
      </x:c>
      <x:c r="D435" s="46" t="str">
        <x:v>Given the applicable Device-Calendar Manual Import and Export preconditions and a valid Local Profile</x:v>
      </x:c>
      <x:c r="E435" s="46" t="str">
        <x:v>When the user performs the relevant action or the relevant system condition occurs</x:v>
      </x:c>
      <x:c r="F435" s="46" t="str">
        <x:v>Then recurring external events shall be imported with stable series and occurrence mapping where supported.</x:v>
      </x:c>
      <x:c r="G435" s="46" t="str">
        <x:v>No</x:v>
      </x:c>
      <x:c r="H435" s="47" t="str">
        <x:v>Integration test</x:v>
      </x:c>
    </x:row>
    <x:row r="436" ht="42" customHeight="1">
      <x:c r="A436" s="45" t="str">
        <x:v>AC-V-018</x:v>
      </x:c>
      <x:c r="B436" s="46" t="str">
        <x:v>V. Device-Calendar Manual Import and Export</x:v>
      </x:c>
      <x:c r="C436" s="46" t="str">
        <x:v>FR-V-018</x:v>
      </x:c>
      <x:c r="D436" s="46" t="str">
        <x:v>Given the applicable Device-Calendar Manual Import and Export preconditions and a valid Local Profile</x:v>
      </x:c>
      <x:c r="E436" s="46" t="str">
        <x:v>When the user performs the relevant action or the relevant system condition occurs</x:v>
      </x:c>
      <x:c r="F436" s="46" t="str">
        <x:v>Then manual re-import and re-export shall avoid duplicate internal or external copies when stable mapping exists.</x:v>
      </x:c>
      <x:c r="G436" s="46" t="str">
        <x:v>No</x:v>
      </x:c>
      <x:c r="H436" s="47" t="str">
        <x:v>Domain test / Integration test</x:v>
      </x:c>
    </x:row>
    <x:row r="437" ht="42" customHeight="1">
      <x:c r="A437" s="45" t="str">
        <x:v>AC-V-019</x:v>
      </x:c>
      <x:c r="B437" s="46" t="str">
        <x:v>V. Device-Calendar Manual Import and Export</x:v>
      </x:c>
      <x:c r="C437" s="46" t="str">
        <x:v>FR-V-019</x:v>
      </x:c>
      <x:c r="D437" s="46" t="str">
        <x:v>Given the applicable Device-Calendar Manual Import and Export preconditions and a valid Local Profile</x:v>
      </x:c>
      <x:c r="E437" s="46" t="str">
        <x:v>When the user performs the relevant action or the relevant system condition occurs</x:v>
      </x:c>
      <x:c r="F437" s="46" t="str">
        <x:v>Then unsupported provider fields or recurrence patterns shall be disclosed before import.</x:v>
      </x:c>
      <x:c r="G437" s="46" t="str">
        <x:v>No</x:v>
      </x:c>
      <x:c r="H437" s="47" t="str">
        <x:v>Integration test</x:v>
      </x:c>
    </x:row>
    <x:row r="438" ht="42" customHeight="1">
      <x:c r="A438" s="45" t="str">
        <x:v>AC-V-020</x:v>
      </x:c>
      <x:c r="B438" s="46" t="str">
        <x:v>V. Device-Calendar Manual Import and Export</x:v>
      </x:c>
      <x:c r="C438" s="46" t="str">
        <x:v>FR-V-020</x:v>
      </x:c>
      <x:c r="D438" s="46" t="str">
        <x:v>Given the applicable Device-Calendar Manual Import and Export preconditions and a valid Local Profile</x:v>
      </x:c>
      <x:c r="E438" s="46" t="str">
        <x:v>When the user performs the relevant action or the relevant system condition occurs</x:v>
      </x:c>
      <x:c r="F438" s="46" t="str">
        <x:v>Then continuous or automatic two-way device-calendar synchronization shall remain deferred.</x:v>
      </x:c>
      <x:c r="G438" s="46" t="str">
        <x:v>No</x:v>
      </x:c>
      <x:c r="H438" s="47" t="str">
        <x:v>Integration test</x:v>
      </x:c>
    </x:row>
    <x:row r="439" ht="42" customHeight="1">
      <x:c r="A439" s="45" t="str">
        <x:v>AC-W-001</x:v>
      </x:c>
      <x:c r="B439" s="46" t="str">
        <x:v>W. Privacy Lock, Permissions, and Privacy Center</x:v>
      </x:c>
      <x:c r="C439" s="46" t="str">
        <x:v>FR-W-001</x:v>
      </x:c>
      <x:c r="D439" s="46" t="str">
        <x:v>Given the applicable Privacy Lock, Permissions, and Privacy Center preconditions and a valid Local Profile</x:v>
      </x:c>
      <x:c r="E439" s="46" t="str">
        <x:v>When the user performs the relevant action or the relevant system condition occurs</x:v>
      </x:c>
      <x:c r="F439" s="46" t="str">
        <x:v>Then core V1 workflows shall remain usable when all optional Android permissions are denied.</x:v>
      </x:c>
      <x:c r="G439" s="46" t="str">
        <x:v>Yes</x:v>
      </x:c>
      <x:c r="H439" s="47" t="str">
        <x:v>Widget test</x:v>
      </x:c>
    </x:row>
    <x:row r="440" ht="42" customHeight="1">
      <x:c r="A440" s="45" t="str">
        <x:v>AC-W-002</x:v>
      </x:c>
      <x:c r="B440" s="46" t="str">
        <x:v>W. Privacy Lock, Permissions, and Privacy Center</x:v>
      </x:c>
      <x:c r="C440" s="46" t="str">
        <x:v>FR-W-002</x:v>
      </x:c>
      <x:c r="D440" s="46" t="str">
        <x:v>Given the applicable Privacy Lock, Permissions, and Privacy Center preconditions and a valid Local Profile</x:v>
      </x:c>
      <x:c r="E440" s="46" t="str">
        <x:v>When the user performs the relevant action or the relevant system condition occurs</x:v>
      </x:c>
      <x:c r="F440" s="46" t="str">
        <x:v>Then permissions shall be requested just in time and only for the selected feature.</x:v>
      </x:c>
      <x:c r="G440" s="46" t="str">
        <x:v>Yes</x:v>
      </x:c>
      <x:c r="H440" s="47" t="str">
        <x:v>Widget test</x:v>
      </x:c>
    </x:row>
    <x:row r="441" ht="42" customHeight="1">
      <x:c r="A441" s="45" t="str">
        <x:v>AC-W-003</x:v>
      </x:c>
      <x:c r="B441" s="46" t="str">
        <x:v>W. Privacy Lock, Permissions, and Privacy Center</x:v>
      </x:c>
      <x:c r="C441" s="46" t="str">
        <x:v>FR-W-003</x:v>
      </x:c>
      <x:c r="D441" s="46" t="str">
        <x:v>Given the applicable Privacy Lock, Permissions, and Privacy Center preconditions and a valid Local Profile</x:v>
      </x:c>
      <x:c r="E441" s="46" t="str">
        <x:v>When the user performs the relevant action or the relevant system condition occurs</x:v>
      </x:c>
      <x:c r="F441" s="46" t="str">
        <x:v>Then privacy Lock shall use operating-system biometric or device-credential authentication where available.</x:v>
      </x:c>
      <x:c r="G441" s="46" t="str">
        <x:v>Yes</x:v>
      </x:c>
      <x:c r="H441" s="47" t="str">
        <x:v>Domain test</x:v>
      </x:c>
    </x:row>
    <x:row r="442" ht="42" customHeight="1">
      <x:c r="A442" s="45" t="str">
        <x:v>AC-W-004</x:v>
      </x:c>
      <x:c r="B442" s="46" t="str">
        <x:v>W. Privacy Lock, Permissions, and Privacy Center</x:v>
      </x:c>
      <x:c r="C442" s="46" t="str">
        <x:v>FR-W-004</x:v>
      </x:c>
      <x:c r="D442" s="46" t="str">
        <x:v>Given the applicable Privacy Lock, Permissions, and Privacy Center preconditions and a valid Local Profile</x:v>
      </x:c>
      <x:c r="E442" s="46" t="str">
        <x:v>When the user performs the relevant action or the relevant system condition occurs</x:v>
      </x:c>
      <x:c r="F442" s="46" t="str">
        <x:v>Then not store biometric data.</x:v>
      </x:c>
      <x:c r="G442" s="46" t="str">
        <x:v>Yes</x:v>
      </x:c>
      <x:c r="H442" s="47" t="str">
        <x:v>Domain test</x:v>
      </x:c>
    </x:row>
    <x:row r="443" ht="42" customHeight="1">
      <x:c r="A443" s="45" t="str">
        <x:v>AC-W-005</x:v>
      </x:c>
      <x:c r="B443" s="46" t="str">
        <x:v>W. Privacy Lock, Permissions, and Privacy Center</x:v>
      </x:c>
      <x:c r="C443" s="46" t="str">
        <x:v>FR-W-005</x:v>
      </x:c>
      <x:c r="D443" s="46" t="str">
        <x:v>Given the applicable Privacy Lock, Permissions, and Privacy Center preconditions and a valid Local Profile</x:v>
      </x:c>
      <x:c r="E443" s="46" t="str">
        <x:v>When the user performs the relevant action or the relevant system condition occurs</x:v>
      </x:c>
      <x:c r="F443" s="46" t="str">
        <x:v>Then privacy Lock failure shall not delete, reset, or corrupt local data.</x:v>
      </x:c>
      <x:c r="G443" s="46" t="str">
        <x:v>Yes</x:v>
      </x:c>
      <x:c r="H443" s="47" t="str">
        <x:v>Domain test</x:v>
      </x:c>
    </x:row>
    <x:row r="444" ht="42" customHeight="1">
      <x:c r="A444" s="45" t="str">
        <x:v>AC-W-006</x:v>
      </x:c>
      <x:c r="B444" s="46" t="str">
        <x:v>W. Privacy Lock, Permissions, and Privacy Center</x:v>
      </x:c>
      <x:c r="C444" s="46" t="str">
        <x:v>FR-W-006</x:v>
      </x:c>
      <x:c r="D444" s="46" t="str">
        <x:v>Given the applicable Privacy Lock, Permissions, and Privacy Center preconditions and a valid Local Profile</x:v>
      </x:c>
      <x:c r="E444" s="46" t="str">
        <x:v>When the user performs the relevant action or the relevant system condition occurs</x:v>
      </x:c>
      <x:c r="F444" s="46" t="str">
        <x:v>Then sensitive content shall be obscured in app-switcher previews where supported.</x:v>
      </x:c>
      <x:c r="G444" s="46" t="str">
        <x:v>Yes</x:v>
      </x:c>
      <x:c r="H444" s="47" t="str">
        <x:v>Widget test</x:v>
      </x:c>
    </x:row>
    <x:row r="445" ht="42" customHeight="1">
      <x:c r="A445" s="45" t="str">
        <x:v>AC-W-007</x:v>
      </x:c>
      <x:c r="B445" s="46" t="str">
        <x:v>W. Privacy Lock, Permissions, and Privacy Center</x:v>
      </x:c>
      <x:c r="C445" s="46" t="str">
        <x:v>FR-W-007</x:v>
      </x:c>
      <x:c r="D445" s="46" t="str">
        <x:v>Given the applicable Privacy Lock, Permissions, and Privacy Center preconditions and a valid Local Profile</x:v>
      </x:c>
      <x:c r="E445" s="46" t="str">
        <x:v>When the user performs the relevant action or the relevant system condition occurs</x:v>
      </x:c>
      <x:c r="F445" s="46" t="str">
        <x:v>Then notification previews shall follow the user’s privacy settings and obscure sensitive content where supported.</x:v>
      </x:c>
      <x:c r="G445" s="46" t="str">
        <x:v>Yes</x:v>
      </x:c>
      <x:c r="H445" s="47" t="str">
        <x:v>Widget test</x:v>
      </x:c>
    </x:row>
    <x:row r="446" ht="42" customHeight="1">
      <x:c r="A446" s="45" t="str">
        <x:v>AC-W-008</x:v>
      </x:c>
      <x:c r="B446" s="46" t="str">
        <x:v>W. Privacy Lock, Permissions, and Privacy Center</x:v>
      </x:c>
      <x:c r="C446" s="46" t="str">
        <x:v>FR-W-008</x:v>
      </x:c>
      <x:c r="D446" s="46" t="str">
        <x:v>Given the applicable Privacy Lock, Permissions, and Privacy Center preconditions and a valid Local Profile</x:v>
      </x:c>
      <x:c r="E446" s="46" t="str">
        <x:v>When the user performs the relevant action or the relevant system condition occurs</x:v>
      </x:c>
      <x:c r="F446" s="46" t="str">
        <x:v>Then the Privacy Center shall explain local storage, optional cloud synchronization, and local-only records.</x:v>
      </x:c>
      <x:c r="G446" s="46" t="str">
        <x:v>Yes</x:v>
      </x:c>
      <x:c r="H446" s="47" t="str">
        <x:v>Integration test</x:v>
      </x:c>
    </x:row>
    <x:row r="447" ht="42" customHeight="1">
      <x:c r="A447" s="45" t="str">
        <x:v>AC-W-009</x:v>
      </x:c>
      <x:c r="B447" s="46" t="str">
        <x:v>W. Privacy Lock, Permissions, and Privacy Center</x:v>
      </x:c>
      <x:c r="C447" s="46" t="str">
        <x:v>FR-W-009</x:v>
      </x:c>
      <x:c r="D447" s="46" t="str">
        <x:v>Given the applicable Privacy Lock, Permissions, and Privacy Center preconditions and a valid Local Profile</x:v>
      </x:c>
      <x:c r="E447" s="46" t="str">
        <x:v>When the user performs the relevant action or the relevant system condition occurs</x:v>
      </x:c>
      <x:c r="F447" s="46" t="str">
        <x:v>Then the Privacy Center shall explain imported contacts, attachments, permissions, diagnostics, export, backup, and deletion.</x:v>
      </x:c>
      <x:c r="G447" s="46" t="str">
        <x:v>Yes</x:v>
      </x:c>
      <x:c r="H447" s="47" t="str">
        <x:v>Database test / Widget test / Integration test</x:v>
      </x:c>
    </x:row>
    <x:row r="448" ht="42" customHeight="1">
      <x:c r="A448" s="45" t="str">
        <x:v>AC-W-010</x:v>
      </x:c>
      <x:c r="B448" s="46" t="str">
        <x:v>W. Privacy Lock, Permissions, and Privacy Center</x:v>
      </x:c>
      <x:c r="C448" s="46" t="str">
        <x:v>FR-W-010</x:v>
      </x:c>
      <x:c r="D448" s="46" t="str">
        <x:v>Given the applicable Privacy Lock, Permissions, and Privacy Center preconditions and a valid Local Profile</x:v>
      </x:c>
      <x:c r="E448" s="46" t="str">
        <x:v>When the user performs the relevant action or the relevant system condition occurs</x:v>
      </x:c>
      <x:c r="F448" s="46" t="str">
        <x:v>Then raw BetterCalendar backup files shall remain local and shall never enter Supabase, analytics, diagnostics, or the synchronization outbox.</x:v>
      </x:c>
      <x:c r="G448" s="46" t="str">
        <x:v>Yes</x:v>
      </x:c>
      <x:c r="H448" s="47" t="str">
        <x:v>Database test / Integration test / RLS test</x:v>
      </x:c>
    </x:row>
    <x:row r="449" ht="42" customHeight="1">
      <x:c r="A449" s="45" t="str">
        <x:v>AC-W-011</x:v>
      </x:c>
      <x:c r="B449" s="46" t="str">
        <x:v>W. Privacy Lock, Permissions, and Privacy Center</x:v>
      </x:c>
      <x:c r="C449" s="46" t="str">
        <x:v>FR-W-011</x:v>
      </x:c>
      <x:c r="D449" s="46" t="str">
        <x:v>Given the applicable Privacy Lock, Permissions, and Privacy Center preconditions and a valid Local Profile</x:v>
      </x:c>
      <x:c r="E449" s="46" t="str">
        <x:v>When the user performs the relevant action or the relevant system condition occurs</x:v>
      </x:c>
      <x:c r="F449" s="46" t="str">
        <x:v>Then authentication tokens shall use secure device storage and shall not be stored in Drift or portable backups.</x:v>
      </x:c>
      <x:c r="G449" s="46" t="str">
        <x:v>Yes</x:v>
      </x:c>
      <x:c r="H449" s="47" t="str">
        <x:v>Database test</x:v>
      </x:c>
    </x:row>
    <x:row r="450" ht="42" customHeight="1">
      <x:c r="A450" s="45" t="str">
        <x:v>AC-W-012</x:v>
      </x:c>
      <x:c r="B450" s="46" t="str">
        <x:v>W. Privacy Lock, Permissions, and Privacy Center</x:v>
      </x:c>
      <x:c r="C450" s="46" t="str">
        <x:v>FR-W-012</x:v>
      </x:c>
      <x:c r="D450" s="46" t="str">
        <x:v>Given the applicable Privacy Lock, Permissions, and Privacy Center preconditions and a valid Local Profile</x:v>
      </x:c>
      <x:c r="E450" s="46" t="str">
        <x:v>When the user performs the relevant action or the relevant system condition occurs</x:v>
      </x:c>
      <x:c r="F450" s="46" t="str">
        <x:v>Then private records and sensitive field values shall be excluded from logs and analytics.</x:v>
      </x:c>
      <x:c r="G450" s="46" t="str">
        <x:v>No</x:v>
      </x:c>
      <x:c r="H450" s="47" t="str">
        <x:v>Domain test</x:v>
      </x:c>
    </x:row>
    <x:row r="451" ht="42" customHeight="1">
      <x:c r="A451" s="45" t="str">
        <x:v>AC-W-013</x:v>
      </x:c>
      <x:c r="B451" s="46" t="str">
        <x:v>W. Privacy Lock, Permissions, and Privacy Center</x:v>
      </x:c>
      <x:c r="C451" s="46" t="str">
        <x:v>FR-W-013</x:v>
      </x:c>
      <x:c r="D451" s="46" t="str">
        <x:v>Given the applicable Privacy Lock, Permissions, and Privacy Center preconditions and a valid Local Profile</x:v>
      </x:c>
      <x:c r="E451" s="46" t="str">
        <x:v>When the user performs the relevant action or the relevant system condition occurs</x:v>
      </x:c>
      <x:c r="F451" s="46" t="str">
        <x:v>Then private reflections shall default to Extra Private or local-only behavior according to the approved privacy model.</x:v>
      </x:c>
      <x:c r="G451" s="46" t="str">
        <x:v>Yes</x:v>
      </x:c>
      <x:c r="H451" s="47" t="str">
        <x:v>Domain test</x:v>
      </x:c>
    </x:row>
    <x:row r="452" ht="42" customHeight="1">
      <x:c r="A452" s="45" t="str">
        <x:v>AC-W-014</x:v>
      </x:c>
      <x:c r="B452" s="46" t="str">
        <x:v>W. Privacy Lock, Permissions, and Privacy Center</x:v>
      </x:c>
      <x:c r="C452" s="46" t="str">
        <x:v>FR-W-014</x:v>
      </x:c>
      <x:c r="D452" s="46" t="str">
        <x:v>Given the applicable Privacy Lock, Permissions, and Privacy Center preconditions and a valid Local Profile</x:v>
      </x:c>
      <x:c r="E452" s="46" t="str">
        <x:v>When the user performs the relevant action or the relevant system condition occurs</x:v>
      </x:c>
      <x:c r="F452" s="46" t="str">
        <x:v>Then covenant Path records shall not be shared automatically with leaders, family, or mentors.</x:v>
      </x:c>
      <x:c r="G452" s="46" t="str">
        <x:v>Yes</x:v>
      </x:c>
      <x:c r="H452" s="47" t="str">
        <x:v>Domain test</x:v>
      </x:c>
    </x:row>
    <x:row r="453" ht="42" customHeight="1">
      <x:c r="A453" s="45" t="str">
        <x:v>AC-W-015</x:v>
      </x:c>
      <x:c r="B453" s="46" t="str">
        <x:v>W. Privacy Lock, Permissions, and Privacy Center</x:v>
      </x:c>
      <x:c r="C453" s="46" t="str">
        <x:v>FR-W-015</x:v>
      </x:c>
      <x:c r="D453" s="46" t="str">
        <x:v>Given the applicable Privacy Lock, Permissions, and Privacy Center preconditions and a valid Local Profile</x:v>
      </x:c>
      <x:c r="E453" s="46" t="str">
        <x:v>When the user performs the relevant action or the relevant system condition occurs</x:v>
      </x:c>
      <x:c r="F453" s="46" t="str">
        <x:v>Then not claim end-to-end encryption or a fully encrypted local database unless implemented and verified.</x:v>
      </x:c>
      <x:c r="G453" s="46" t="str">
        <x:v>Yes</x:v>
      </x:c>
      <x:c r="H453" s="47" t="str">
        <x:v>Database test / Manual review</x:v>
      </x:c>
    </x:row>
    <x:row r="454" ht="42" customHeight="1">
      <x:c r="A454" s="45" t="str">
        <x:v>AC-W-016</x:v>
      </x:c>
      <x:c r="B454" s="46" t="str">
        <x:v>W. Privacy Lock, Permissions, and Privacy Center</x:v>
      </x:c>
      <x:c r="C454" s="46" t="str">
        <x:v>FR-W-016</x:v>
      </x:c>
      <x:c r="D454" s="46" t="str">
        <x:v>Given the applicable Privacy Lock, Permissions, and Privacy Center preconditions and a valid Local Profile</x:v>
      </x:c>
      <x:c r="E454" s="46" t="str">
        <x:v>When the user performs the relevant action or the relevant system condition occurs</x:v>
      </x:c>
      <x:c r="F454" s="46" t="str">
        <x:v>Then file selection shall use scoped system pickers rather than broad storage permission.</x:v>
      </x:c>
      <x:c r="G454" s="46" t="str">
        <x:v>Yes</x:v>
      </x:c>
      <x:c r="H454" s="47" t="str">
        <x:v>Widget test</x:v>
      </x:c>
    </x:row>
    <x:row r="455" ht="42" customHeight="1">
      <x:c r="A455" s="45" t="str">
        <x:v>AC-W-017</x:v>
      </x:c>
      <x:c r="B455" s="46" t="str">
        <x:v>W. Privacy Lock, Permissions, and Privacy Center</x:v>
      </x:c>
      <x:c r="C455" s="46" t="str">
        <x:v>FR-W-017</x:v>
      </x:c>
      <x:c r="D455" s="46" t="str">
        <x:v>Given the applicable Privacy Lock, Permissions, and Privacy Center preconditions and a valid Local Profile</x:v>
      </x:c>
      <x:c r="E455" s="46" t="str">
        <x:v>When the user performs the relevant action or the relevant system condition occurs</x:v>
      </x:c>
      <x:c r="F455" s="46" t="str">
        <x:v>Then background location permission shall not be included in V1.</x:v>
      </x:c>
      <x:c r="G455" s="46" t="str">
        <x:v>Yes</x:v>
      </x:c>
      <x:c r="H455" s="47" t="str">
        <x:v>Widget test / Integration test</x:v>
      </x:c>
    </x:row>
    <x:row r="456" ht="42" customHeight="1">
      <x:c r="A456" s="45" t="str">
        <x:v>AC-W-018</x:v>
      </x:c>
      <x:c r="B456" s="46" t="str">
        <x:v>W. Privacy Lock, Permissions, and Privacy Center</x:v>
      </x:c>
      <x:c r="C456" s="46" t="str">
        <x:v>FR-W-018</x:v>
      </x:c>
      <x:c r="D456" s="46" t="str">
        <x:v>Given the applicable Privacy Lock, Permissions, and Privacy Center preconditions and a valid Local Profile</x:v>
      </x:c>
      <x:c r="E456" s="46" t="str">
        <x:v>When the user performs the relevant action or the relevant system condition occurs</x:v>
      </x:c>
      <x:c r="F456" s="46" t="str">
        <x:v>Then be able to review the current status and purpose of every optional permission.</x:v>
      </x:c>
      <x:c r="G456" s="46" t="str">
        <x:v>Yes</x:v>
      </x:c>
      <x:c r="H456" s="47" t="str">
        <x:v>Domain test / Widget test</x:v>
      </x:c>
    </x:row>
    <x:row r="457" ht="42" customHeight="1">
      <x:c r="A457" s="45" t="str">
        <x:v>AC-W-019</x:v>
      </x:c>
      <x:c r="B457" s="46" t="str">
        <x:v>W. Privacy Lock, Permissions, and Privacy Center</x:v>
      </x:c>
      <x:c r="C457" s="46" t="str">
        <x:v>FR-W-019</x:v>
      </x:c>
      <x:c r="D457" s="46" t="str">
        <x:v>Given the applicable Privacy Lock, Permissions, and Privacy Center preconditions and a valid Local Profile</x:v>
      </x:c>
      <x:c r="E457" s="46" t="str">
        <x:v>When the user performs the relevant action or the relevant system condition occurs</x:v>
      </x:c>
      <x:c r="F457" s="46" t="str">
        <x:v>Then be able to revoke or open system settings for optional permissions without losing internal records.</x:v>
      </x:c>
      <x:c r="G457" s="46" t="str">
        <x:v>Yes</x:v>
      </x:c>
      <x:c r="H457" s="47" t="str">
        <x:v>Widget test</x:v>
      </x:c>
    </x:row>
    <x:row r="458" ht="42" customHeight="1">
      <x:c r="A458" s="45" t="str">
        <x:v>AC-W-020</x:v>
      </x:c>
      <x:c r="B458" s="46" t="str">
        <x:v>W. Privacy Lock, Permissions, and Privacy Center</x:v>
      </x:c>
      <x:c r="C458" s="46" t="str">
        <x:v>FR-W-020</x:v>
      </x:c>
      <x:c r="D458" s="46" t="str">
        <x:v>Given the applicable Privacy Lock, Permissions, and Privacy Center preconditions and a valid Local Profile</x:v>
      </x:c>
      <x:c r="E458" s="46" t="str">
        <x:v>When the user performs the relevant action or the relevant system condition occurs</x:v>
      </x:c>
      <x:c r="F458" s="46" t="str">
        <x:v>Then privacy Lock and account authentication shall remain separate protections.</x:v>
      </x:c>
      <x:c r="G458" s="46" t="str">
        <x:v>Yes</x:v>
      </x:c>
      <x:c r="H458" s="47" t="str">
        <x:v>Domain test</x:v>
      </x:c>
    </x:row>
    <x:row r="459" ht="42" customHeight="1">
      <x:c r="A459" s="45" t="str">
        <x:v>AC-W-021</x:v>
      </x:c>
      <x:c r="B459" s="46" t="str">
        <x:v>W. Privacy Lock, Permissions, and Privacy Center</x:v>
      </x:c>
      <x:c r="C459" s="46" t="str">
        <x:v>FR-W-021</x:v>
      </x:c>
      <x:c r="D459" s="46" t="str">
        <x:v>Given the applicable Privacy Lock, Permissions, and Privacy Center preconditions and a valid Local Profile</x:v>
      </x:c>
      <x:c r="E459" s="46" t="str">
        <x:v>When the user performs the relevant action or the relevant system condition occurs</x:v>
      </x:c>
      <x:c r="F459" s="46" t="str">
        <x:v>Then destructive privacy and deletion actions shall explain the difference between local data, synchronized data, backups, and source files.</x:v>
      </x:c>
      <x:c r="G459" s="46" t="str">
        <x:v>Yes</x:v>
      </x:c>
      <x:c r="H459" s="47" t="str">
        <x:v>Database test / Integration test</x:v>
      </x:c>
    </x:row>
    <x:row r="460" ht="42" customHeight="1">
      <x:c r="A460" s="45" t="str">
        <x:v>AC-W-022</x:v>
      </x:c>
      <x:c r="B460" s="46" t="str">
        <x:v>W. Privacy Lock, Permissions, and Privacy Center</x:v>
      </x:c>
      <x:c r="C460" s="46" t="str">
        <x:v>FR-W-022</x:v>
      </x:c>
      <x:c r="D460" s="46" t="str">
        <x:v>Given the applicable Privacy Lock, Permissions, and Privacy Center preconditions and a valid Local Profile</x:v>
      </x:c>
      <x:c r="E460" s="46" t="str">
        <x:v>When the user performs the relevant action or the relevant system condition occurs</x:v>
      </x:c>
      <x:c r="F460" s="46" t="str">
        <x:v>Then privacy-safe diagnostics shall require explicit user review before exporting any optional detailed information.</x:v>
      </x:c>
      <x:c r="G460" s="46" t="str">
        <x:v>Yes</x:v>
      </x:c>
      <x:c r="H460" s="47" t="str">
        <x:v>Integration test</x:v>
      </x:c>
    </x:row>
    <x:row r="461" ht="42" customHeight="1">
      <x:c r="A461" s="45" t="str">
        <x:v>AC-X-001</x:v>
      </x:c>
      <x:c r="B461" s="46" t="str">
        <x:v>X. Settings, Account and Sync Center, and More Screen</x:v>
      </x:c>
      <x:c r="C461" s="46" t="str">
        <x:v>FR-X-001</x:v>
      </x:c>
      <x:c r="D461" s="46" t="str">
        <x:v>Given the applicable Settings, Account and Sync Center, and More Screen preconditions and a valid Local Profile</x:v>
      </x:c>
      <x:c r="E461" s="46" t="str">
        <x:v>When the user performs the relevant action or the relevant system condition occurs</x:v>
      </x:c>
      <x:c r="F461" s="46" t="str">
        <x:v>Then more shall remain the fifth permanent bottom-navigation destination.</x:v>
      </x:c>
      <x:c r="G461" s="46" t="str">
        <x:v>Yes</x:v>
      </x:c>
      <x:c r="H461" s="47" t="str">
        <x:v>Widget test</x:v>
      </x:c>
    </x:row>
    <x:row r="462" ht="42" customHeight="1">
      <x:c r="A462" s="45" t="str">
        <x:v>AC-X-002</x:v>
      </x:c>
      <x:c r="B462" s="46" t="str">
        <x:v>X. Settings, Account and Sync Center, and More Screen</x:v>
      </x:c>
      <x:c r="C462" s="46" t="str">
        <x:v>FR-X-002</x:v>
      </x:c>
      <x:c r="D462" s="46" t="str">
        <x:v>Given the applicable Settings, Account and Sync Center, and More Screen preconditions and a valid Local Profile</x:v>
      </x:c>
      <x:c r="E462" s="46" t="str">
        <x:v>When the user performs the relevant action or the relevant system condition occurs</x:v>
      </x:c>
      <x:c r="F462" s="46" t="str">
        <x:v>Then the More Screen shall provide a clear Account and Sync entry point.</x:v>
      </x:c>
      <x:c r="G462" s="46" t="str">
        <x:v>Yes</x:v>
      </x:c>
      <x:c r="H462" s="47" t="str">
        <x:v>Widget test / Integration test</x:v>
      </x:c>
    </x:row>
    <x:row r="463" ht="42" customHeight="1">
      <x:c r="A463" s="45" t="str">
        <x:v>AC-X-003</x:v>
      </x:c>
      <x:c r="B463" s="46" t="str">
        <x:v>X. Settings, Account and Sync Center, and More Screen</x:v>
      </x:c>
      <x:c r="C463" s="46" t="str">
        <x:v>FR-X-003</x:v>
      </x:c>
      <x:c r="D463" s="46" t="str">
        <x:v>Given the applicable Settings, Account and Sync Center, and More Screen preconditions and a valid Local Profile</x:v>
      </x:c>
      <x:c r="E463" s="46" t="str">
        <x:v>When the user performs the relevant action or the relevant system condition occurs</x:v>
      </x:c>
      <x:c r="F463" s="46" t="str">
        <x:v>Then the More Screen shall provide a clear Sync Center entry point.</x:v>
      </x:c>
      <x:c r="G463" s="46" t="str">
        <x:v>Yes</x:v>
      </x:c>
      <x:c r="H463" s="47" t="str">
        <x:v>Widget test / Integration test</x:v>
      </x:c>
    </x:row>
    <x:row r="464" ht="42" customHeight="1">
      <x:c r="A464" s="45" t="str">
        <x:v>AC-X-004</x:v>
      </x:c>
      <x:c r="B464" s="46" t="str">
        <x:v>X. Settings, Account and Sync Center, and More Screen</x:v>
      </x:c>
      <x:c r="C464" s="46" t="str">
        <x:v>FR-X-004</x:v>
      </x:c>
      <x:c r="D464" s="46" t="str">
        <x:v>Given the applicable Settings, Account and Sync Center, and More Screen preconditions and a valid Local Profile</x:v>
      </x:c>
      <x:c r="E464" s="46" t="str">
        <x:v>When the user performs the relevant action or the relevant system condition occurs</x:v>
      </x:c>
      <x:c r="F464" s="46" t="str">
        <x:v>Then the More Screen shall provide clear Import and Export and Backup and Recovery entry points.</x:v>
      </x:c>
      <x:c r="G464" s="46" t="str">
        <x:v>Yes</x:v>
      </x:c>
      <x:c r="H464" s="47" t="str">
        <x:v>Database test / Widget test / Integration test</x:v>
      </x:c>
    </x:row>
    <x:row r="465" ht="42" customHeight="1">
      <x:c r="A465" s="45" t="str">
        <x:v>AC-X-005</x:v>
      </x:c>
      <x:c r="B465" s="46" t="str">
        <x:v>X. Settings, Account and Sync Center, and More Screen</x:v>
      </x:c>
      <x:c r="C465" s="46" t="str">
        <x:v>FR-X-005</x:v>
      </x:c>
      <x:c r="D465" s="46" t="str">
        <x:v>Given the applicable Settings, Account and Sync Center, and More Screen preconditions and a valid Local Profile</x:v>
      </x:c>
      <x:c r="E465" s="46" t="str">
        <x:v>When the user performs the relevant action or the relevant system condition occurs</x:v>
      </x:c>
      <x:c r="F465" s="46" t="str">
        <x:v>Then the More Screen shall provide clear Notifications and Calendar and Philippine Content and Content Updates entry points.</x:v>
      </x:c>
      <x:c r="G465" s="46" t="str">
        <x:v>Yes</x:v>
      </x:c>
      <x:c r="H465" s="47" t="str">
        <x:v>Widget test / Integration test</x:v>
      </x:c>
    </x:row>
    <x:row r="466" ht="42" customHeight="1">
      <x:c r="A466" s="45" t="str">
        <x:v>AC-X-006</x:v>
      </x:c>
      <x:c r="B466" s="46" t="str">
        <x:v>X. Settings, Account and Sync Center, and More Screen</x:v>
      </x:c>
      <x:c r="C466" s="46" t="str">
        <x:v>FR-X-006</x:v>
      </x:c>
      <x:c r="D466" s="46" t="str">
        <x:v>Given the applicable Settings, Account and Sync Center, and More Screen preconditions and a valid Local Profile</x:v>
      </x:c>
      <x:c r="E466" s="46" t="str">
        <x:v>When the user performs the relevant action or the relevant system condition occurs</x:v>
      </x:c>
      <x:c r="F466" s="46" t="str">
        <x:v>Then the More Screen shall provide clear Privacy and Data, Permissions, Appearance and Language, and Help, About, and Legal entry points.</x:v>
      </x:c>
      <x:c r="G466" s="46" t="str">
        <x:v>Yes</x:v>
      </x:c>
      <x:c r="H466" s="47" t="str">
        <x:v>Widget test / Manual review</x:v>
      </x:c>
    </x:row>
    <x:row r="467" ht="42" customHeight="1">
      <x:c r="A467" s="45" t="str">
        <x:v>AC-X-007</x:v>
      </x:c>
      <x:c r="B467" s="46" t="str">
        <x:v>X. Settings, Account and Sync Center, and More Screen</x:v>
      </x:c>
      <x:c r="C467" s="46" t="str">
        <x:v>FR-X-007</x:v>
      </x:c>
      <x:c r="D467" s="46" t="str">
        <x:v>Given the applicable Settings, Account and Sync Center, and More Screen preconditions and a valid Local Profile</x:v>
      </x:c>
      <x:c r="E467" s="46" t="str">
        <x:v>When the user performs the relevant action or the relevant system condition occurs</x:v>
      </x:c>
      <x:c r="F467" s="46" t="str">
        <x:v>Then account creation shall remain optional throughout More and Account workflows.</x:v>
      </x:c>
      <x:c r="G467" s="46" t="str">
        <x:v>Yes</x:v>
      </x:c>
      <x:c r="H467" s="47" t="str">
        <x:v>Domain test</x:v>
      </x:c>
    </x:row>
    <x:row r="468" ht="42" customHeight="1">
      <x:c r="A468" s="45" t="str">
        <x:v>AC-X-008</x:v>
      </x:c>
      <x:c r="B468" s="46" t="str">
        <x:v>X. Settings, Account and Sync Center, and More Screen</x:v>
      </x:c>
      <x:c r="C468" s="46" t="str">
        <x:v>FR-X-008</x:v>
      </x:c>
      <x:c r="D468" s="46" t="str">
        <x:v>Given the applicable Settings, Account and Sync Center, and More Screen preconditions and a valid Local Profile</x:v>
      </x:c>
      <x:c r="E468" s="46" t="str">
        <x:v>When the user performs the relevant action or the relevant system condition occurs</x:v>
      </x:c>
      <x:c r="F468" s="46" t="str">
        <x:v>Then ordinary sign-out shall preserve the Local Profile, local records, and pending synchronization operations.</x:v>
      </x:c>
      <x:c r="G468" s="46" t="str">
        <x:v>Yes</x:v>
      </x:c>
      <x:c r="H468" s="47" t="str">
        <x:v>Database test / Integration test</x:v>
      </x:c>
    </x:row>
    <x:row r="469" ht="42" customHeight="1">
      <x:c r="A469" s="45" t="str">
        <x:v>AC-X-009</x:v>
      </x:c>
      <x:c r="B469" s="46" t="str">
        <x:v>X. Settings, Account and Sync Center, and More Screen</x:v>
      </x:c>
      <x:c r="C469" s="46" t="str">
        <x:v>FR-X-009</x:v>
      </x:c>
      <x:c r="D469" s="46" t="str">
        <x:v>Given the applicable Settings, Account and Sync Center, and More Screen preconditions and a valid Local Profile</x:v>
      </x:c>
      <x:c r="E469" s="46" t="str">
        <x:v>When the user performs the relevant action or the relevant system condition occurs</x:v>
      </x:c>
      <x:c r="F469" s="46" t="str">
        <x:v>Then sync pause shall preserve queued changes and full local functionality.</x:v>
      </x:c>
      <x:c r="G469" s="46" t="str">
        <x:v>Yes</x:v>
      </x:c>
      <x:c r="H469" s="47" t="str">
        <x:v>Integration test</x:v>
      </x:c>
    </x:row>
    <x:row r="470" ht="42" customHeight="1">
      <x:c r="A470" s="45" t="str">
        <x:v>AC-X-010</x:v>
      </x:c>
      <x:c r="B470" s="46" t="str">
        <x:v>X. Settings, Account and Sync Center, and More Screen</x:v>
      </x:c>
      <x:c r="C470" s="46" t="str">
        <x:v>FR-X-010</x:v>
      </x:c>
      <x:c r="D470" s="46" t="str">
        <x:v>Given the applicable Settings, Account and Sync Center, and More Screen preconditions and a valid Local Profile</x:v>
      </x:c>
      <x:c r="E470" s="46" t="str">
        <x:v>When the user performs the relevant action or the relevant system condition occurs</x:v>
      </x:c>
      <x:c r="F470" s="46" t="str">
        <x:v>Then account deletion shall remain separate from local-data deletion.</x:v>
      </x:c>
      <x:c r="G470" s="46" t="str">
        <x:v>Yes</x:v>
      </x:c>
      <x:c r="H470" s="47" t="str">
        <x:v>Domain test</x:v>
      </x:c>
    </x:row>
    <x:row r="471" ht="42" customHeight="1">
      <x:c r="A471" s="45" t="str">
        <x:v>AC-X-011</x:v>
      </x:c>
      <x:c r="B471" s="46" t="str">
        <x:v>X. Settings, Account and Sync Center, and More Screen</x:v>
      </x:c>
      <x:c r="C471" s="46" t="str">
        <x:v>FR-X-011</x:v>
      </x:c>
      <x:c r="D471" s="46" t="str">
        <x:v>Given the applicable Settings, Account and Sync Center, and More Screen preconditions and a valid Local Profile</x:v>
      </x:c>
      <x:c r="E471" s="46" t="str">
        <x:v>When the user performs the relevant action or the relevant system condition occurs</x:v>
      </x:c>
      <x:c r="F471" s="46" t="str">
        <x:v>Then removing synchronized data from the device shall require explicit confirmation and a warning about local-only records.</x:v>
      </x:c>
      <x:c r="G471" s="46" t="str">
        <x:v>No</x:v>
      </x:c>
      <x:c r="H471" s="47" t="str">
        <x:v>Integration test</x:v>
      </x:c>
    </x:row>
    <x:row r="472" ht="42" customHeight="1">
      <x:c r="A472" s="45" t="str">
        <x:v>AC-X-012</x:v>
      </x:c>
      <x:c r="B472" s="46" t="str">
        <x:v>X. Settings, Account and Sync Center, and More Screen</x:v>
      </x:c>
      <x:c r="C472" s="46" t="str">
        <x:v>FR-X-012</x:v>
      </x:c>
      <x:c r="D472" s="46" t="str">
        <x:v>Given the applicable Settings, Account and Sync Center, and More Screen preconditions and a valid Local Profile</x:v>
      </x:c>
      <x:c r="E472" s="46" t="str">
        <x:v>When the user performs the relevant action or the relevant system condition occurs</x:v>
      </x:c>
      <x:c r="F472" s="46" t="str">
        <x:v>Then the Sync Center shall show factual states including Up to Date, Waiting for Connection, Changes Waiting, Sign-In Required, Sync Paused, and Items Needing Review.</x:v>
      </x:c>
      <x:c r="G472" s="46" t="str">
        <x:v>Yes</x:v>
      </x:c>
      <x:c r="H472" s="47" t="str">
        <x:v>Domain test / Integration test</x:v>
      </x:c>
    </x:row>
    <x:row r="473" ht="42" customHeight="1">
      <x:c r="A473" s="45" t="str">
        <x:v>AC-X-013</x:v>
      </x:c>
      <x:c r="B473" s="46" t="str">
        <x:v>X. Settings, Account and Sync Center, and More Screen</x:v>
      </x:c>
      <x:c r="C473" s="46" t="str">
        <x:v>FR-X-013</x:v>
      </x:c>
      <x:c r="D473" s="46" t="str">
        <x:v>Given the applicable Settings, Account and Sync Center, and More Screen preconditions and a valid Local Profile</x:v>
      </x:c>
      <x:c r="E473" s="46" t="str">
        <x:v>When the user performs the relevant action or the relevant system condition occurs</x:v>
      </x:c>
      <x:c r="F473" s="46" t="str">
        <x:v>Then be able to review local-only categories and imported-contact upload choices.</x:v>
      </x:c>
      <x:c r="G473" s="46" t="str">
        <x:v>No</x:v>
      </x:c>
      <x:c r="H473" s="47" t="str">
        <x:v>Widget test / Integration test</x:v>
      </x:c>
    </x:row>
    <x:row r="474" ht="42" customHeight="1">
      <x:c r="A474" s="45" t="str">
        <x:v>AC-X-014</x:v>
      </x:c>
      <x:c r="B474" s="46" t="str">
        <x:v>X. Settings, Account and Sync Center, and More Screen</x:v>
      </x:c>
      <x:c r="C474" s="46" t="str">
        <x:v>FR-X-014</x:v>
      </x:c>
      <x:c r="D474" s="46" t="str">
        <x:v>Given the applicable Settings, Account and Sync Center, and More Screen preconditions and a valid Local Profile</x:v>
      </x:c>
      <x:c r="E474" s="46" t="str">
        <x:v>When the user performs the relevant action or the relevant system condition occurs</x:v>
      </x:c>
      <x:c r="F474" s="46" t="str">
        <x:v>Then be able to review attachment status, connected devices, conflicts, and the last successful synchronization.</x:v>
      </x:c>
      <x:c r="G474" s="46" t="str">
        <x:v>No</x:v>
      </x:c>
      <x:c r="H474" s="47" t="str">
        <x:v>Domain test / Widget test / Integration test</x:v>
      </x:c>
    </x:row>
    <x:row r="475" ht="42" customHeight="1">
      <x:c r="A475" s="45" t="str">
        <x:v>AC-X-015</x:v>
      </x:c>
      <x:c r="B475" s="46" t="str">
        <x:v>X. Settings, Account and Sync Center, and More Screen</x:v>
      </x:c>
      <x:c r="C475" s="46" t="str">
        <x:v>FR-X-015</x:v>
      </x:c>
      <x:c r="D475" s="46" t="str">
        <x:v>Given the applicable Settings, Account and Sync Center, and More Screen preconditions and a valid Local Profile</x:v>
      </x:c>
      <x:c r="E475" s="46" t="str">
        <x:v>When the user performs the relevant action or the relevant system condition occurs</x:v>
      </x:c>
      <x:c r="F475" s="46" t="str">
        <x:v>Then the Backup and Recovery area shall distinguish cloud synchronization from portable .ntbackup recovery.</x:v>
      </x:c>
      <x:c r="G475" s="46" t="str">
        <x:v>Yes</x:v>
      </x:c>
      <x:c r="H475" s="47" t="str">
        <x:v>Database test / Integration test</x:v>
      </x:c>
    </x:row>
    <x:row r="476" ht="42" customHeight="1">
      <x:c r="A476" s="45" t="str">
        <x:v>AC-X-016</x:v>
      </x:c>
      <x:c r="B476" s="46" t="str">
        <x:v>X. Settings, Account and Sync Center, and More Screen</x:v>
      </x:c>
      <x:c r="C476" s="46" t="str">
        <x:v>FR-X-016</x:v>
      </x:c>
      <x:c r="D476" s="46" t="str">
        <x:v>Given the applicable Settings, Account and Sync Center, and More Screen preconditions and a valid Local Profile</x:v>
      </x:c>
      <x:c r="E476" s="46" t="str">
        <x:v>When the user performs the relevant action or the relevant system condition occurs</x:v>
      </x:c>
      <x:c r="F476" s="46" t="str">
        <x:v>Then the More Screen shall avoid duplicate or conflicting settings entry points.</x:v>
      </x:c>
      <x:c r="G476" s="46" t="str">
        <x:v>No</x:v>
      </x:c>
      <x:c r="H476" s="47" t="str">
        <x:v>Domain test / Widget test</x:v>
      </x:c>
    </x:row>
    <x:row r="477" ht="42" customHeight="1">
      <x:c r="A477" s="45" t="str">
        <x:v>AC-X-017</x:v>
      </x:c>
      <x:c r="B477" s="46" t="str">
        <x:v>X. Settings, Account and Sync Center, and More Screen</x:v>
      </x:c>
      <x:c r="C477" s="46" t="str">
        <x:v>FR-X-017</x:v>
      </x:c>
      <x:c r="D477" s="46" t="str">
        <x:v>Given the applicable Settings, Account and Sync Center, and More Screen preconditions and a valid Local Profile</x:v>
      </x:c>
      <x:c r="E477" s="46" t="str">
        <x:v>When the user performs the relevant action or the relevant system condition occurs</x:v>
      </x:c>
      <x:c r="F477" s="46" t="str">
        <x:v>Then maps shall not be added as a permanent bottom-navigation tab.</x:v>
      </x:c>
      <x:c r="G477" s="46" t="str">
        <x:v>Yes</x:v>
      </x:c>
      <x:c r="H477" s="47" t="str">
        <x:v>Domain test</x:v>
      </x:c>
    </x:row>
    <x:row r="478" ht="42" customHeight="1">
      <x:c r="A478" s="45" t="str">
        <x:v>AC-X-018</x:v>
      </x:c>
      <x:c r="B478" s="46" t="str">
        <x:v>X. Settings, Account and Sync Center, and More Screen</x:v>
      </x:c>
      <x:c r="C478" s="46" t="str">
        <x:v>FR-X-018</x:v>
      </x:c>
      <x:c r="D478" s="46" t="str">
        <x:v>Given the applicable Settings, Account and Sync Center, and More Screen preconditions and a valid Local Profile</x:v>
      </x:c>
      <x:c r="E478" s="46" t="str">
        <x:v>When the user performs the relevant action or the relevant system condition occurs</x:v>
      </x:c>
      <x:c r="F478" s="46" t="str">
        <x:v>Then device-specific settings shall remain distinct from globally synchronized preferences.</x:v>
      </x:c>
      <x:c r="G478" s="46" t="str">
        <x:v>No</x:v>
      </x:c>
      <x:c r="H478" s="47" t="str">
        <x:v>Integration test</x:v>
      </x:c>
    </x:row>
    <x:row r="479" ht="42" customHeight="1">
      <x:c r="A479" s="45" t="str">
        <x:v>AC-X-019</x:v>
      </x:c>
      <x:c r="B479" s="46" t="str">
        <x:v>X. Settings, Account and Sync Center, and More Screen</x:v>
      </x:c>
      <x:c r="C479" s="46" t="str">
        <x:v>FR-X-019</x:v>
      </x:c>
      <x:c r="D479" s="46" t="str">
        <x:v>Given the applicable Settings, Account and Sync Center, and More Screen preconditions and a valid Local Profile</x:v>
      </x:c>
      <x:c r="E479" s="46" t="str">
        <x:v>When the user performs the relevant action or the relevant system condition occurs</x:v>
      </x:c>
      <x:c r="F479" s="46" t="str">
        <x:v>Then destructive actions shall provide backup and recovery guidance before confirmation.</x:v>
      </x:c>
      <x:c r="G479" s="46" t="str">
        <x:v>Yes</x:v>
      </x:c>
      <x:c r="H479" s="47" t="str">
        <x:v>Database test / Integration test</x:v>
      </x:c>
    </x:row>
    <x:row r="480" ht="42" customHeight="1">
      <x:c r="A480" s="45" t="str">
        <x:v>AC-X-020</x:v>
      </x:c>
      <x:c r="B480" s="46" t="str">
        <x:v>X. Settings, Account and Sync Center, and More Screen</x:v>
      </x:c>
      <x:c r="C480" s="46" t="str">
        <x:v>FR-X-020</x:v>
      </x:c>
      <x:c r="D480" s="46" t="str">
        <x:v>Given the applicable Settings, Account and Sync Center, and More Screen preconditions and a valid Local Profile</x:v>
      </x:c>
      <x:c r="E480" s="46" t="str">
        <x:v>When the user performs the relevant action or the relevant system condition occurs</x:v>
      </x:c>
      <x:c r="F480" s="46" t="str">
        <x:v>Then the More Screen shall remain usable offline and shall show which actions require connectivity.</x:v>
      </x:c>
      <x:c r="G480" s="46" t="str">
        <x:v>Yes</x:v>
      </x:c>
      <x:c r="H480" s="47" t="str">
        <x:v>Widget test</x:v>
      </x:c>
    </x:row>
    <x:row r="481" ht="42" customHeight="1">
      <x:c r="A481" s="45" t="str">
        <x:v>AC-X-021</x:v>
      </x:c>
      <x:c r="B481" s="46" t="str">
        <x:v>X. Settings, Account and Sync Center, and More Screen</x:v>
      </x:c>
      <x:c r="C481" s="46" t="str">
        <x:v>FR-X-021</x:v>
      </x:c>
      <x:c r="D481" s="46" t="str">
        <x:v>Given the applicable Settings, Account and Sync Center, and More Screen preconditions and a valid Local Profile</x:v>
      </x:c>
      <x:c r="E481" s="46" t="str">
        <x:v>When the user performs the relevant action or the relevant system condition occurs</x:v>
      </x:c>
      <x:c r="F481" s="46" t="str">
        <x:v>Then content-update settings shall show source, last successful update, and current availability state.</x:v>
      </x:c>
      <x:c r="G481" s="46" t="str">
        <x:v>No</x:v>
      </x:c>
      <x:c r="H481" s="47" t="str">
        <x:v>Domain test</x:v>
      </x:c>
    </x:row>
    <x:row r="482" ht="42" customHeight="1">
      <x:c r="A482" s="45" t="str">
        <x:v>AC-X-022</x:v>
      </x:c>
      <x:c r="B482" s="46" t="str">
        <x:v>X. Settings, Account and Sync Center, and More Screen</x:v>
      </x:c>
      <x:c r="C482" s="46" t="str">
        <x:v>FR-X-022</x:v>
      </x:c>
      <x:c r="D482" s="46" t="str">
        <x:v>Given the applicable Settings, Account and Sync Center, and More Screen preconditions and a valid Local Profile</x:v>
      </x:c>
      <x:c r="E482" s="46" t="str">
        <x:v>When the user performs the relevant action or the relevant system condition occurs</x:v>
      </x:c>
      <x:c r="F482" s="46" t="str">
        <x:v>Then appearance and language changes shall not modify domain records or Actual.</x:v>
      </x:c>
      <x:c r="G482" s="46" t="str">
        <x:v>Yes</x:v>
      </x:c>
      <x:c r="H482" s="47" t="str">
        <x:v>Domain test</x:v>
      </x:c>
    </x:row>
    <x:row r="483" ht="42" customHeight="1">
      <x:c r="A483" s="45" t="str">
        <x:v>AC-X-023</x:v>
      </x:c>
      <x:c r="B483" s="46" t="str">
        <x:v>X. Settings, Account and Sync Center, and More Screen</x:v>
      </x:c>
      <x:c r="C483" s="46" t="str">
        <x:v>FR-X-023</x:v>
      </x:c>
      <x:c r="D483" s="46" t="str">
        <x:v>Given the applicable Settings, Account and Sync Center, and More Screen preconditions and a valid Local Profile</x:v>
      </x:c>
      <x:c r="E483" s="46" t="str">
        <x:v>When the user performs the relevant action or the relevant system condition occurs</x:v>
      </x:c>
      <x:c r="F483" s="46" t="str">
        <x:v>Then help, About, and Legal shall identify product version, privacy information, and relevant legal notices.</x:v>
      </x:c>
      <x:c r="G483" s="46" t="str">
        <x:v>Yes</x:v>
      </x:c>
      <x:c r="H483" s="47" t="str">
        <x:v>Manual review</x:v>
      </x:c>
    </x:row>
    <x:row r="484" ht="42" customHeight="1">
      <x:c r="A484" s="48" t="str">
        <x:v>AC-X-024</x:v>
      </x:c>
      <x:c r="B484" s="49" t="str">
        <x:v>X. Settings, Account and Sync Center, and More Screen</x:v>
      </x:c>
      <x:c r="C484" s="49" t="str">
        <x:v>FR-X-024</x:v>
      </x:c>
      <x:c r="D484" s="49" t="str">
        <x:v>Given the applicable Settings, Account and Sync Center, and More Screen preconditions and a valid Local Profile</x:v>
      </x:c>
      <x:c r="E484" s="49" t="str">
        <x:v>When the user performs the relevant action or the relevant system condition occurs</x:v>
      </x:c>
      <x:c r="F484" s="49" t="str">
        <x:v>Then the More Screen shall provide a single coherent route to Privacy Center and permission management.</x:v>
      </x:c>
      <x:c r="G484" s="49" t="str">
        <x:v>Yes</x:v>
      </x:c>
      <x:c r="H484" s="50" t="str">
        <x:v>Widget test</x:v>
      </x:c>
    </x:row>
  </x:sheetData>
  <x:conditionalFormatting sqref="G2:G484">
    <x:cfRule type="expression" dxfId="5" priority="1">
      <x:formula>G2="Yes"</x:formula>
    </x:cfRule>
  </x:conditionalFormatting>
  <x:pageMargins left="0.7" right="0.7" top="0.75" bottom="0.75" header="0.3" footer="0.3"/>
  <x:tableParts count="1">
    <x:tablePart xmlns:r="http://schemas.openxmlformats.org/officeDocument/2006/relationships" r:id="R4ba52628ebb947a4"/>
  </x:tableParts>
</x:worksheet>
</file>

<file path=xl/worksheets/sheet6.xml><?xml version="1.0" encoding="utf-8"?>
<x:worksheet xmlns:x="http://schemas.openxmlformats.org/spreadsheetml/2006/main">
  <x:sheetFormatPr defaultRowHeight="15"/>
  <x:cols>
    <x:col min="1" max="1" width="13" hidden="0" customWidth="1"/>
    <x:col min="2" max="2" width="50" hidden="0" customWidth="1"/>
    <x:col min="3" max="3" width="100" hidden="0" customWidth="1"/>
    <x:col min="4" max="4" width="18" hidden="0" customWidth="1"/>
    <x:col min="5" max="5" width="22" hidden="0" customWidth="1"/>
    <x:col min="6" max="6" width="55" hidden="0" customWidth="1"/>
  </x:cols>
  <x:sheetData>
    <x:row r="1" ht="34" customHeight="1">
      <x:c r="A1" s="42" t="str">
        <x:v>ADR number</x:v>
      </x:c>
      <x:c r="B1" s="43" t="str">
        <x:v>ADR title</x:v>
      </x:c>
      <x:c r="C1" s="43" t="str">
        <x:v>Mapped Requirement IDs</x:v>
      </x:c>
      <x:c r="D1" s="43" t="str">
        <x:v>Requirement count</x:v>
      </x:c>
      <x:c r="E1" s="43" t="str">
        <x:v>Traceability status</x:v>
      </x:c>
      <x:c r="F1" s="44" t="str">
        <x:v>Notes</x:v>
      </x:c>
    </x:row>
    <x:row r="2" ht="42" customHeight="1">
      <x:c r="A2" s="45" t="str">
        <x:v>ADR-001</x:v>
      </x:c>
      <x:c r="B2" s="46" t="str">
        <x:v>Android-First Platform Strategy</x:v>
      </x:c>
      <x:c r="C2" s="46" t="str">
        <x:v>FR-E-020, FR-P-003</x:v>
      </x:c>
      <x:c r="D2" s="46" t="n">
        <x:v>2</x:v>
      </x:c>
      <x:c r="E2" s="46" t="str">
        <x:v>Complete</x:v>
      </x:c>
      <x:c r="F2" s="47" t="str">
        <x:v>2 mapped Product Requirements</x:v>
      </x:c>
    </x:row>
    <x:row r="3" ht="42" customHeight="1">
      <x:c r="A3" s="45" t="str">
        <x:v>ADR-002</x:v>
      </x:c>
      <x:c r="B3" s="46" t="str">
        <x:v>Guest-First Identity and Optional Accounts</x:v>
      </x:c>
      <x:c r="C3" s="46" t="str">
        <x:v>FR-A-001, FR-A-002, FR-A-003, FR-A-004, FR-A-006, FR-A-007, FR-A-008, FR-A-009, FR-A-010, FR-A-011, FR-A-012, FR-A-013, FR-A-014, FR-A-015, FR-A-016, FR-A-017, FR-A-018, FR-A-019, FR-A-020, FR-Q-002, FR-R-001, FR-S-002, FR-T-001, FR-T-002, FR-T-020, FR-X-007</x:v>
      </x:c>
      <x:c r="D3" s="46" t="n">
        <x:v>26</x:v>
      </x:c>
      <x:c r="E3" s="46" t="str">
        <x:v>Complete</x:v>
      </x:c>
      <x:c r="F3" s="47" t="str">
        <x:v>26 mapped Product Requirements</x:v>
      </x:c>
    </x:row>
    <x:row r="4" ht="42" customHeight="1">
      <x:c r="A4" s="45" t="str">
        <x:v>ADR-003</x:v>
      </x:c>
      <x:c r="B4" s="46" t="str">
        <x:v>Private Single-User Data Model</x:v>
      </x:c>
      <x:c r="C4" s="46" t="str">
        <x:v>FR-K-015, FR-L-001, FR-L-002, FR-L-003, FR-L-004, FR-L-005, FR-L-006, FR-L-007, FR-L-008, FR-L-009, FR-L-010, FR-L-011, FR-L-012, FR-L-013, FR-L-014, FR-L-015, FR-L-016, FR-L-017, FR-L-018, FR-L-019, FR-L-020, FR-Q-015, FR-T-018, FR-W-014</x:v>
      </x:c>
      <x:c r="D4" s="46" t="n">
        <x:v>24</x:v>
      </x:c>
      <x:c r="E4" s="46" t="str">
        <x:v>Complete</x:v>
      </x:c>
      <x:c r="F4" s="47" t="str">
        <x:v>24 mapped Product Requirements</x:v>
      </x:c>
    </x:row>
    <x:row r="5" ht="42" customHeight="1">
      <x:c r="A5" s="45" t="str">
        <x:v>ADR-004</x:v>
      </x:c>
      <x:c r="B5" s="46" t="str">
        <x:v>Separation of Tasks and Calendar Events</x:v>
      </x:c>
      <x:c r="C5" s="46" t="str">
        <x:v>FR-B-015, FR-C-001, FR-C-002, FR-C-003, FR-C-004, FR-C-005, FR-C-006, FR-C-007, FR-C-008, FR-C-009, FR-C-010, FR-C-011, FR-C-012, FR-C-013, FR-C-014, FR-C-015, FR-C-016, FR-C-017, FR-C-018, FR-C-019, FR-C-020, FR-D-001, FR-D-002, FR-D-003, FR-D-004, FR-D-005, FR-D-006, FR-D-007, FR-D-008, FR-D-009, FR-D-010, FR-D-011, FR-D-012, FR-D-013, FR-D-014, FR-D-015, FR-D-016, FR-D-017, FR-D-018, FR-D-019, FR-D-020, FR-F-001, FR-F-002, FR-F-003, FR-F-004, FR-F-005, FR-F-006, FR-F-007, FR-F-008, FR-F-009, FR-F-010, FR-F-011, FR-F-012, FR-F-013, FR-F-014, FR-F-015, FR-F-016, FR-F-017, FR-F-018, FR-J-016, FR-K-004, FR-L-005, FR-N-007, FR-O-006, FR-R-006</x:v>
      </x:c>
      <x:c r="D5" s="46" t="n">
        <x:v>65</x:v>
      </x:c>
      <x:c r="E5" s="46" t="str">
        <x:v>Complete</x:v>
      </x:c>
      <x:c r="F5" s="47" t="str">
        <x:v>65 mapped Product Requirements</x:v>
      </x:c>
    </x:row>
    <x:row r="6" ht="42" customHeight="1">
      <x:c r="A6" s="45" t="str">
        <x:v>ADR-005</x:v>
      </x:c>
      <x:c r="B6" s="46" t="str">
        <x:v>Confirmed-Source Progress and Read-Only Actuals</x:v>
      </x:c>
      <x:c r="C6" s="46" t="str">
        <x:v>FR-A-005, FR-B-001, FR-B-002, FR-B-003, FR-B-004, FR-B-005, FR-B-006, FR-B-007, FR-B-008, FR-B-009, FR-B-010, FR-B-011, FR-B-012, FR-B-013, FR-B-014, FR-B-015, FR-B-016, FR-B-017, FR-B-018, FR-B-019, FR-B-020, FR-D-011, FR-E-010, FR-E-016, FR-F-011, FR-F-013, FR-F-017, FR-G-005, FR-H-001, FR-H-002, FR-H-017, FR-I-007, FR-I-015, FR-J-013, FR-J-019, FR-K-006, FR-K-007, FR-K-010, FR-K-019, FR-L-008, FR-L-009, FR-L-016, FR-M-008, FR-M-009, FR-P-010, FR-Q-003, FR-Q-012, FR-R-007, FR-S-014, FR-U-002, FR-U-007, FR-V-010</x:v>
      </x:c>
      <x:c r="D6" s="46" t="n">
        <x:v>52</x:v>
      </x:c>
      <x:c r="E6" s="46" t="str">
        <x:v>Complete</x:v>
      </x:c>
      <x:c r="F6" s="47" t="str">
        <x:v>52 mapped Product Requirements</x:v>
      </x:c>
    </x:row>
    <x:row r="7" ht="42" customHeight="1">
      <x:c r="A7" s="45" t="str">
        <x:v>ADR-006</x:v>
      </x:c>
      <x:c r="B7" s="46" t="str">
        <x:v>Local-First Operation with Background Synchronization</x:v>
      </x:c>
      <x:c r="C7" s="46" t="str">
        <x:v>FR-A-001, FR-A-002, FR-A-003, FR-A-004, FR-A-005, FR-A-006, FR-A-007, FR-A-008, FR-A-009, FR-A-010, FR-A-011, FR-A-012, FR-A-013, FR-A-014, FR-A-015, FR-A-016, FR-A-017, FR-A-018, FR-A-019, FR-A-020, FR-B-020, FR-C-011, FR-D-001, FR-E-001, FR-F-015, FR-G-008, FR-G-016, FR-H-020, FR-I-003, FR-I-020, FR-J-002, FR-J-021, FR-K-012, FR-L-018, FR-M-018, FR-N-017, FR-O-019, FR-P-009, FR-Q-013, FR-R-018, FR-S-017, FR-T-004, FR-T-005, FR-U-006, FR-U-007, FR-U-008, FR-X-020</x:v>
      </x:c>
      <x:c r="D7" s="46" t="n">
        <x:v>47</x:v>
      </x:c>
      <x:c r="E7" s="46" t="str">
        <x:v>Complete</x:v>
      </x:c>
      <x:c r="F7" s="47" t="str">
        <x:v>47 mapped Product Requirements</x:v>
      </x:c>
    </x:row>
    <x:row r="8" ht="42" customHeight="1">
      <x:c r="A8" s="45" t="str">
        <x:v>ADR-007</x:v>
      </x:c>
      <x:c r="B8" s="46" t="str">
        <x:v>Small Core V1 Scope</x:v>
      </x:c>
      <x:c r="C8" s="46" t="str">
        <x:v>FR-P-014, FR-S-020, FR-T-022, FR-V-020</x:v>
      </x:c>
      <x:c r="D8" s="46" t="n">
        <x:v>4</x:v>
      </x:c>
      <x:c r="E8" s="46" t="str">
        <x:v>Complete</x:v>
      </x:c>
      <x:c r="F8" s="47" t="str">
        <x:v>4 mapped Product Requirements</x:v>
      </x:c>
    </x:row>
    <x:row r="9" ht="42" customHeight="1">
      <x:c r="A9" s="45" t="str">
        <x:v>ADR-008</x:v>
      </x:c>
      <x:c r="B9" s="46" t="str">
        <x:v>Explicit Multi-Indicator Contributions</x:v>
      </x:c>
      <x:c r="C9" s="46" t="str">
        <x:v>FR-G-014, FR-H-003, FR-H-004, FR-H-005, FR-H-007, FR-H-008, FR-H-009</x:v>
      </x:c>
      <x:c r="D9" s="46" t="n">
        <x:v>7</x:v>
      </x:c>
      <x:c r="E9" s="46" t="str">
        <x:v>Complete</x:v>
      </x:c>
      <x:c r="F9" s="47" t="str">
        <x:v>7 mapped Product Requirements</x:v>
      </x:c>
    </x:row>
    <x:row r="10" ht="42" customHeight="1">
      <x:c r="A10" s="45" t="str">
        <x:v>ADR-009</x:v>
      </x:c>
      <x:c r="B10" s="46" t="str">
        <x:v>Domain Ownership and Relationship Model</x:v>
      </x:c>
      <x:c r="C10" s="46" t="str">
        <x:v>FR-A-013, FR-C-013, FR-C-020, FR-D-008, FR-D-013, FR-D-014, FR-E-008, FR-E-015, FR-E-023, FR-F-001, FR-F-002, FR-F-003, FR-F-004, FR-F-005, FR-F-006, FR-F-007, FR-F-008, FR-F-009, FR-F-010, FR-F-011, FR-F-012, FR-F-013, FR-F-014, FR-F-015, FR-F-016, FR-F-017, FR-F-018, FR-I-009, FR-J-001, FR-J-002, FR-J-003, FR-J-004, FR-J-005, FR-J-006, FR-J-007, FR-J-008, FR-J-009, FR-J-010, FR-J-011, FR-J-012, FR-J-013, FR-J-014, FR-J-015, FR-J-016, FR-J-017, FR-J-018, FR-J-019, FR-J-020, FR-J-021, FR-J-022, FR-K-005, FR-L-001, FR-L-002, FR-L-003, FR-L-004, FR-L-005, FR-L-006, FR-L-007, FR-L-008, FR-L-009, FR-L-010, FR-L-011, FR-L-012, FR-L-013, FR-L-014, FR-L-015, FR-L-016, FR-L-017, FR-L-018, FR-L-019, FR-L-020, FR-M-001, FR-M-002, FR-M-003, FR-M-004, FR-M-005, FR-M-006, FR-M-007, FR-M-008, FR-M-009, FR-M-010, FR-M-011, FR-M-012, FR-M-013, FR-M-014, FR-M-015, FR-M-016, FR-M-017, FR-M-018, FR-M-019, FR-M-020, FR-N-008, FR-O-020, FR-P-007, FR-P-014, FR-Q-004, FR-R-015, FR-S-003, FR-S-005, FR-S-012, FR-T-002, FR-T-003, FR-T-009, FR-T-012, FR-T-017, FR-V-006, FR-V-008, FR-V-011</x:v>
      </x:c>
      <x:c r="D10" s="46" t="n">
        <x:v>108</x:v>
      </x:c>
      <x:c r="E10" s="46" t="str">
        <x:v>Complete</x:v>
      </x:c>
      <x:c r="F10" s="47" t="str">
        <x:v>108 mapped Product Requirements</x:v>
      </x:c>
    </x:row>
    <x:row r="11" ht="42" customHeight="1">
      <x:c r="A11" s="45" t="str">
        <x:v>ADR-010</x:v>
      </x:c>
      <x:c r="B11" s="46" t="str">
        <x:v>Weekly Planning Lifecycle</x:v>
      </x:c>
      <x:c r="C11" s="46" t="str">
        <x:v>FR-B-001, FR-B-014, FR-B-018, FR-H-013, FR-I-001, FR-I-002, FR-I-003, FR-I-004, FR-I-005, FR-I-006, FR-I-007, FR-I-008, FR-I-009, FR-I-010, FR-I-011, FR-I-012, FR-I-013, FR-I-014, FR-I-015, FR-I-016, FR-I-017, FR-I-018, FR-I-019, FR-I-020, FR-Q-007</x:v>
      </x:c>
      <x:c r="D11" s="46" t="n">
        <x:v>25</x:v>
      </x:c>
      <x:c r="E11" s="46" t="str">
        <x:v>Complete</x:v>
      </x:c>
      <x:c r="F11" s="47" t="str">
        <x:v>25 mapped Product Requirements</x:v>
      </x:c>
    </x:row>
    <x:row r="12" ht="42" customHeight="1">
      <x:c r="A12" s="45" t="str">
        <x:v>ADR-011</x:v>
      </x:c>
      <x:c r="B12" s="46" t="str">
        <x:v>Event and Task Outcome Reporting</x:v>
      </x:c>
      <x:c r="C12" s="46" t="str">
        <x:v>FR-B-008, FR-B-015, FR-B-019, FR-C-001, FR-C-002, FR-C-003, FR-C-004, FR-C-005, FR-C-006, FR-C-007, FR-C-008, FR-C-009, FR-C-010, FR-C-011, FR-C-012, FR-C-013, FR-C-014, FR-C-015, FR-C-016, FR-C-017, FR-C-018, FR-C-019, FR-C-020, FR-D-009, FR-D-010, FR-D-017, FR-E-001, FR-E-002, FR-E-003, FR-E-004, FR-E-005, FR-E-006, FR-E-007, FR-E-008, FR-E-009, FR-E-010, FR-E-011, FR-E-012, FR-E-013, FR-E-014, FR-E-015, FR-E-016, FR-E-017, FR-E-018, FR-E-019, FR-E-020, FR-E-021, FR-E-022, FR-E-023, FR-E-024, FR-F-018, FR-G-001, FR-G-002, FR-G-003, FR-G-004, FR-G-005, FR-G-006, FR-G-007, FR-G-008, FR-G-009, FR-G-010, FR-G-011, FR-G-012, FR-G-013, FR-G-014, FR-G-015, FR-G-016, FR-G-017, FR-G-018, FR-G-019, FR-G-020, FR-H-007, FR-H-014, FR-I-011, FR-L-007, FR-M-012, FR-N-011, FR-N-015, FR-O-009, FR-P-010, FR-P-011, FR-Q-003, FR-Q-006, FR-Q-012, FR-Q-016, FR-R-008, FR-R-012, FR-R-019, FR-S-004, FR-T-017, FR-U-002, FR-U-015</x:v>
      </x:c>
      <x:c r="D12" s="46" t="n">
        <x:v>92</x:v>
      </x:c>
      <x:c r="E12" s="46" t="str">
        <x:v>Complete</x:v>
      </x:c>
      <x:c r="F12" s="47" t="str">
        <x:v>92 mapped Product Requirements</x:v>
      </x:c>
    </x:row>
    <x:row r="13" ht="42" customHeight="1">
      <x:c r="A13" s="45" t="str">
        <x:v>ADR-012</x:v>
      </x:c>
      <x:c r="B13" s="46" t="str">
        <x:v>Activity Ledger and Contribution Engine</x:v>
      </x:c>
      <x:c r="C13" s="46" t="str">
        <x:v>FR-A-005, FR-B-001, FR-B-002, FR-B-003, FR-B-004, FR-B-005, FR-B-006, FR-B-007, FR-B-008, FR-B-009, FR-B-010, FR-B-011, FR-B-012, FR-B-013, FR-B-014, FR-B-015, FR-B-016, FR-B-017, FR-B-018, FR-B-019, FR-B-020, FR-C-008, FR-D-012, FR-D-017, FR-E-015, FR-F-010, FR-F-011, FR-G-012, FR-G-014, FR-G-020, FR-H-001, FR-H-002, FR-H-003, FR-H-004, FR-H-005, FR-H-006, FR-H-007, FR-H-008, FR-H-009, FR-H-010, FR-H-011, FR-H-012, FR-H-013, FR-H-014, FR-H-015, FR-H-016, FR-H-017, FR-H-018, FR-H-019, FR-H-020, FR-I-012, FR-K-007, FR-K-010, FR-L-008, FR-L-010, FR-L-019, FR-M-007, FR-M-016, FR-P-011, FR-R-007, FR-R-019, FR-S-004, FR-S-013, FR-S-014, FR-T-003, FR-T-014, FR-T-016, FR-T-017</x:v>
      </x:c>
      <x:c r="D13" s="46" t="n">
        <x:v>68</x:v>
      </x:c>
      <x:c r="E13" s="46" t="str">
        <x:v>Complete</x:v>
      </x:c>
      <x:c r="F13" s="47" t="str">
        <x:v>68 mapped Product Requirements</x:v>
      </x:c>
    </x:row>
    <x:row r="14" ht="42" customHeight="1">
      <x:c r="A14" s="45" t="str">
        <x:v>ADR-013</x:v>
      </x:c>
      <x:c r="B14" s="46" t="str">
        <x:v>Local Drift Database Architecture</x:v>
      </x:c>
      <x:c r="C14" s="46" t="str">
        <x:v>FR-A-001, FR-A-002, FR-A-003, FR-A-004, FR-A-005, FR-A-006, FR-A-007, FR-A-008, FR-A-009, FR-A-010, FR-A-011, FR-A-012, FR-A-013, FR-A-014, FR-A-015, FR-A-016, FR-A-017, FR-A-018, FR-A-019, FR-A-020, FR-Q-013, FR-R-016, FR-R-018, FR-S-009, FR-T-004, FR-T-008</x:v>
      </x:c>
      <x:c r="D14" s="46" t="n">
        <x:v>26</x:v>
      </x:c>
      <x:c r="E14" s="46" t="str">
        <x:v>Complete</x:v>
      </x:c>
      <x:c r="F14" s="47" t="str">
        <x:v>26 mapped Product Requirements</x:v>
      </x:c>
    </x:row>
    <x:row r="15" ht="42" customHeight="1">
      <x:c r="A15" s="45" t="str">
        <x:v>ADR-014</x:v>
      </x:c>
      <x:c r="B15" s="46" t="str">
        <x:v>External Data Import and BetterCalendar Migration</x:v>
      </x:c>
      <x:c r="C15" s="46" t="str">
        <x:v>FR-R-001, FR-R-002, FR-R-003, FR-R-004, FR-R-005, FR-R-006, FR-R-007, FR-R-008, FR-R-009, FR-R-010, FR-R-011, FR-R-012, FR-R-013, FR-R-014, FR-R-015, FR-R-016, FR-R-017, FR-R-018, FR-R-019, FR-R-020, FR-S-001, FR-W-010</x:v>
      </x:c>
      <x:c r="D15" s="46" t="n">
        <x:v>22</x:v>
      </x:c>
      <x:c r="E15" s="46" t="str">
        <x:v>Complete</x:v>
      </x:c>
      <x:c r="F15" s="47" t="str">
        <x:v>22 mapped Product Requirements</x:v>
      </x:c>
    </x:row>
    <x:row r="16" ht="42" customHeight="1">
      <x:c r="A16" s="45" t="str">
        <x:v>ADR-015</x:v>
      </x:c>
      <x:c r="B16" s="46" t="str">
        <x:v>Supabase PostgreSQL Schema and Row Level Security</x:v>
      </x:c>
      <x:c r="C16" s="46" t="str">
        <x:v>FR-A-006, FR-T-009, FR-W-010</x:v>
      </x:c>
      <x:c r="D16" s="46" t="n">
        <x:v>3</x:v>
      </x:c>
      <x:c r="E16" s="46" t="str">
        <x:v>Complete</x:v>
      </x:c>
      <x:c r="F16" s="47" t="str">
        <x:v>3 mapped Product Requirements</x:v>
      </x:c>
    </x:row>
    <x:row r="17" ht="42" customHeight="1">
      <x:c r="A17" s="45" t="str">
        <x:v>ADR-016</x:v>
      </x:c>
      <x:c r="B17" s="46" t="str">
        <x:v>Offline Outbox Synchronization and Conflict Resolution</x:v>
      </x:c>
      <x:c r="C17" s="46" t="str">
        <x:v>FR-A-004, FR-E-024, FR-S-001, FR-T-001, FR-T-002, FR-T-003, FR-T-004, FR-T-005, FR-T-006, FR-T-007, FR-T-008, FR-T-009, FR-T-010, FR-T-011, FR-T-012, FR-T-013, FR-T-014, FR-T-015, FR-T-016, FR-T-017, FR-T-018, FR-T-019, FR-T-020, FR-T-021, FR-T-022, FR-U-006, FR-U-007, FR-X-008, FR-X-014, FR-X-015</x:v>
      </x:c>
      <x:c r="D17" s="46" t="n">
        <x:v>30</x:v>
      </x:c>
      <x:c r="E17" s="46" t="str">
        <x:v>Complete</x:v>
      </x:c>
      <x:c r="F17" s="47" t="str">
        <x:v>30 mapped Product Requirements</x:v>
      </x:c>
    </x:row>
    <x:row r="18" ht="42" customHeight="1">
      <x:c r="A18" s="45" t="str">
        <x:v>ADR-017</x:v>
      </x:c>
      <x:c r="B18" s="46" t="str">
        <x:v>Local Backup, Export, Restore, and Disaster Recovery</x:v>
      </x:c>
      <x:c r="C18" s="46" t="str">
        <x:v>FR-L-004, FR-M-015, FR-N-012, FR-O-018, FR-R-001, FR-S-001, FR-S-002, FR-S-003, FR-S-004, FR-S-005, FR-S-006, FR-S-007, FR-S-008, FR-S-009, FR-S-010, FR-S-011, FR-S-012, FR-S-013, FR-S-014, FR-S-015, FR-S-016, FR-S-017, FR-S-018, FR-S-019, FR-S-020, FR-W-009, FR-W-010, FR-W-011, FR-W-021, FR-X-004, FR-X-015, FR-X-019</x:v>
      </x:c>
      <x:c r="D18" s="46" t="n">
        <x:v>32</x:v>
      </x:c>
      <x:c r="E18" s="46" t="str">
        <x:v>Complete</x:v>
      </x:c>
      <x:c r="F18" s="47" t="str">
        <x:v>32 mapped Product Requirements</x:v>
      </x:c>
    </x:row>
    <x:row r="19" ht="42" customHeight="1">
      <x:c r="A19" s="45" t="str">
        <x:v>ADR-018</x:v>
      </x:c>
      <x:c r="B19" s="46" t="str">
        <x:v>Guest-to-Account Migration and Account Lifecycle</x:v>
      </x:c>
      <x:c r="C19" s="46" t="str">
        <x:v>FR-Q-006, FR-T-001, FR-T-002, FR-T-003, FR-T-004, FR-T-005, FR-T-006, FR-T-007, FR-T-008, FR-T-009, FR-T-010, FR-T-011, FR-T-012, FR-T-013, FR-T-014, FR-T-015, FR-T-016, FR-T-018, FR-T-019, FR-T-020, FR-T-021, FR-T-022, FR-X-010</x:v>
      </x:c>
      <x:c r="D19" s="46" t="n">
        <x:v>23</x:v>
      </x:c>
      <x:c r="E19" s="46" t="str">
        <x:v>Complete</x:v>
      </x:c>
      <x:c r="F19" s="47" t="str">
        <x:v>23 mapped Product Requirements</x:v>
      </x:c>
    </x:row>
    <x:row r="20" ht="42" customHeight="1">
      <x:c r="A20" s="45" t="str">
        <x:v>ADR-019</x:v>
      </x:c>
      <x:c r="B20" s="46" t="str">
        <x:v>Philippine Content Packs and Official Source Governance</x:v>
      </x:c>
      <x:c r="C20" s="46" t="str">
        <x:v>FR-K-001, FR-K-002, FR-K-003, FR-K-004, FR-K-005, FR-K-006, FR-K-007, FR-K-008, FR-K-009, FR-K-010, FR-K-011, FR-K-012, FR-K-013, FR-K-014, FR-K-015, FR-K-016, FR-K-017, FR-K-018, FR-K-019, FR-K-020, FR-M-020, FR-N-001, FR-N-002, FR-N-003, FR-N-004, FR-N-005, FR-N-006, FR-N-007, FR-N-008, FR-N-009, FR-N-010, FR-N-011, FR-N-012, FR-N-013, FR-N-014, FR-N-015, FR-N-016, FR-N-017, FR-N-018, FR-N-019, FR-N-020, FR-O-001, FR-O-002, FR-O-003, FR-O-004, FR-O-005, FR-O-006, FR-O-007, FR-O-008, FR-O-009, FR-O-010, FR-O-011, FR-O-012, FR-O-013, FR-O-014, FR-O-015, FR-O-016, FR-O-017, FR-O-018, FR-O-019, FR-O-020, FR-P-013, FR-U-008, FR-X-005</x:v>
      </x:c>
      <x:c r="D20" s="46" t="n">
        <x:v>64</x:v>
      </x:c>
      <x:c r="E20" s="46" t="str">
        <x:v>Complete</x:v>
      </x:c>
      <x:c r="F20" s="47" t="str">
        <x:v>64 mapped Product Requirements</x:v>
      </x:c>
    </x:row>
    <x:row r="21" ht="42" customHeight="1">
      <x:c r="A21" s="45" t="str">
        <x:v>ADR-020</x:v>
      </x:c>
      <x:c r="B21" s="46" t="str">
        <x:v>Flutter Codebase Architecture and Module Boundaries</x:v>
      </x:c>
      <x:c r="C21" s="46" t="str"/>
      <x:c r="D21" s="46" t="n">
        <x:v>0</x:v>
      </x:c>
      <x:c r="E21" s="46" t="str">
        <x:v>Not product-facing</x:v>
      </x:c>
      <x:c r="F21" s="47" t="str">
        <x:v>Flutter module-boundary enforcement belongs primarily to implementation architecture and code-quality traceability.</x:v>
      </x:c>
    </x:row>
    <x:row r="22" ht="42" customHeight="1">
      <x:c r="A22" s="45" t="str">
        <x:v>ADR-021</x:v>
      </x:c>
      <x:c r="B22" s="46" t="str">
        <x:v>Security, Privacy, Permissions, and Sensitive Data</x:v>
      </x:c>
      <x:c r="C22" s="46" t="str">
        <x:v>FR-A-008, FR-A-017, FR-C-015, FR-E-019, FR-E-020, FR-K-001, FR-K-002, FR-K-003, FR-K-004, FR-K-005, FR-K-006, FR-K-007, FR-K-008, FR-K-009, FR-K-010, FR-K-011, FR-K-012, FR-K-013, FR-K-014, FR-K-015, FR-K-016, FR-K-017, FR-K-018, FR-K-019, FR-K-020, FR-L-011, FR-L-014, FR-P-001, FR-P-002, FR-P-003, FR-P-004, FR-P-005, FR-P-006, FR-P-007, FR-P-008, FR-P-009, FR-P-010, FR-P-011, FR-P-012, FR-P-013, FR-P-014, FR-P-015, FR-Q-001, FR-Q-009, FR-Q-012, FR-T-019, FR-U-010, FR-U-012, FR-U-013, FR-V-001, FR-V-004, FR-V-014, FR-V-015, FR-W-001, FR-W-002, FR-W-003, FR-W-004, FR-W-005, FR-W-006, FR-W-007, FR-W-008, FR-W-009, FR-W-010, FR-W-011, FR-W-012, FR-W-013, FR-W-014, FR-W-015, FR-W-016, FR-W-017, FR-W-018, FR-W-019, FR-W-020, FR-W-021, FR-W-022, FR-X-006, FR-X-023, FR-X-024</x:v>
      </x:c>
      <x:c r="D22" s="46" t="n">
        <x:v>78</x:v>
      </x:c>
      <x:c r="E22" s="46" t="str">
        <x:v>Complete</x:v>
      </x:c>
      <x:c r="F22" s="47" t="str">
        <x:v>78 mapped Product Requirements</x:v>
      </x:c>
    </x:row>
    <x:row r="23" ht="42" customHeight="1">
      <x:c r="A23" s="45" t="str">
        <x:v>ADR-022</x:v>
      </x:c>
      <x:c r="B23" s="46" t="str">
        <x:v>Notifications, Background Work, and Calendar Integration</x:v>
      </x:c>
      <x:c r="C23" s="46" t="str">
        <x:v>FR-E-020, FR-Q-001, FR-Q-002, FR-Q-003, FR-Q-004, FR-Q-005, FR-Q-006, FR-Q-007, FR-Q-008, FR-Q-009, FR-Q-010, FR-Q-011, FR-Q-012, FR-Q-013, FR-Q-014, FR-Q-015, FR-Q-016, FR-S-020, FR-U-001, FR-U-002, FR-U-003, FR-U-004, FR-U-005, FR-U-006, FR-U-007, FR-U-008, FR-U-009, FR-U-010, FR-U-011, FR-U-012, FR-U-013, FR-U-014, FR-U-015, FR-U-016, FR-U-017, FR-U-018, FR-U-019, FR-U-020, FR-V-001, FR-V-002, FR-V-003, FR-V-004, FR-V-005, FR-V-006, FR-V-007, FR-V-008, FR-V-009, FR-V-010, FR-V-011, FR-V-012, FR-V-013, FR-V-014, FR-V-015, FR-V-016, FR-V-017, FR-V-018, FR-V-019, FR-V-020, FR-X-005</x:v>
      </x:c>
      <x:c r="D23" s="46" t="n">
        <x:v>59</x:v>
      </x:c>
      <x:c r="E23" s="46" t="str">
        <x:v>Complete</x:v>
      </x:c>
      <x:c r="F23" s="47" t="str">
        <x:v>59 mapped Product Requirements</x:v>
      </x:c>
    </x:row>
    <x:row r="24" ht="42" customHeight="1">
      <x:c r="A24" s="45" t="str">
        <x:v>ADR-023</x:v>
      </x:c>
      <x:c r="B24" s="46" t="str">
        <x:v>Testing, Observability, Diagnostics, and Quality Strategy</x:v>
      </x:c>
      <x:c r="C24" s="46" t="str">
        <x:v>FR-A-010, FR-C-019, FR-D-015, FR-D-016, FR-E-021, FR-F-016, FR-G-013, FR-N-018, FR-P-012, FR-R-009, FR-R-020, FR-S-013, FR-T-016, FR-T-021, FR-U-001, FR-U-002, FR-U-003, FR-U-004, FR-U-005, FR-U-006, FR-U-007, FR-U-008, FR-U-009, FR-U-010, FR-U-011, FR-U-012, FR-U-013, FR-U-014, FR-U-015, FR-U-016, FR-U-017, FR-U-018, FR-U-019, FR-U-020, FR-W-005, FR-W-009, FR-W-010, FR-W-022</x:v>
      </x:c>
      <x:c r="D24" s="46" t="n">
        <x:v>38</x:v>
      </x:c>
      <x:c r="E24" s="46" t="str">
        <x:v>Complete</x:v>
      </x:c>
      <x:c r="F24" s="47" t="str">
        <x:v>38 mapped Product Requirements</x:v>
      </x:c>
    </x:row>
    <x:row r="25" ht="42" customHeight="1">
      <x:c r="A25" s="45" t="str">
        <x:v>ADR-024</x:v>
      </x:c>
      <x:c r="B25" s="46" t="str">
        <x:v>V1 Scope, Vertical Slices, Roadmap, and Release Plan</x:v>
      </x:c>
      <x:c r="C25" s="46" t="str">
        <x:v>FR-P-002, FR-X-001, FR-X-017</x:v>
      </x:c>
      <x:c r="D25" s="46" t="n">
        <x:v>3</x:v>
      </x:c>
      <x:c r="E25" s="46" t="str">
        <x:v>Complete</x:v>
      </x:c>
      <x:c r="F25" s="47" t="str">
        <x:v>3 mapped Product Requirements</x:v>
      </x:c>
    </x:row>
    <x:row r="26" ht="42" customHeight="1">
      <x:c r="A26" s="48" t="str">
        <x:v>ADR-025</x:v>
      </x:c>
      <x:c r="B26" s="49" t="str">
        <x:v>Final Architecture Baseline and Implementation Contract</x:v>
      </x:c>
      <x:c r="C26" s="49" t="str">
        <x:v>FR-X-001, FR-X-002, FR-X-003, FR-X-004, FR-X-005, FR-X-006, FR-X-007, FR-X-008, FR-X-009, FR-X-010, FR-X-011, FR-X-012, FR-X-013, FR-X-014, FR-X-015, FR-X-016, FR-X-017, FR-X-018, FR-X-019, FR-X-020, FR-X-021, FR-X-022, FR-X-023, FR-X-024</x:v>
      </x:c>
      <x:c r="D26" s="49" t="n">
        <x:v>24</x:v>
      </x:c>
      <x:c r="E26" s="49" t="str">
        <x:v>Complete</x:v>
      </x:c>
      <x:c r="F26" s="50" t="str">
        <x:v>24 mapped Product Requirements</x:v>
      </x:c>
    </x:row>
  </x:sheetData>
  <x:conditionalFormatting sqref="E2:E26">
    <x:cfRule type="expression" dxfId="6" priority="1">
      <x:formula>E2="Complete"</x:formula>
    </x:cfRule>
    <x:cfRule type="expression" dxfId="7" priority="2">
      <x:formula>E2="Not product-facing"</x:formula>
    </x:cfRule>
    <x:cfRule type="expression" dxfId="8" priority="3">
      <x:formula>E2="Needs decision"</x:formula>
    </x:cfRule>
  </x:conditionalFormatting>
  <x:pageMargins left="0.7" right="0.7" top="0.75" bottom="0.75" header="0.3" footer="0.3"/>
  <x:tableParts count="1">
    <x:tablePart xmlns:r="http://schemas.openxmlformats.org/officeDocument/2006/relationships" r:id="R54f2a506df1a4684"/>
  </x:tableParts>
</x:worksheet>
</file>

<file path=xl/worksheets/sheet7.xml><?xml version="1.0" encoding="utf-8"?>
<x:worksheet xmlns:x="http://schemas.openxmlformats.org/spreadsheetml/2006/main">
  <x:sheetFormatPr defaultRowHeight="15"/>
  <x:cols>
    <x:col min="1" max="1" width="17" hidden="0" customWidth="1"/>
    <x:col min="2" max="2" width="36" hidden="0" customWidth="1"/>
    <x:col min="3" max="3" width="60" hidden="0" customWidth="1"/>
    <x:col min="4" max="4" width="75" hidden="0" customWidth="1"/>
    <x:col min="5" max="5" width="18" hidden="0" customWidth="1"/>
  </x:cols>
  <x:sheetData>
    <x:row r="1" ht="34" customHeight="1">
      <x:c r="A1" s="42" t="str">
        <x:v>Decision ID</x:v>
      </x:c>
      <x:c r="B1" s="43" t="str">
        <x:v>Feature Group</x:v>
      </x:c>
      <x:c r="C1" s="43" t="str">
        <x:v>Decision</x:v>
      </x:c>
      <x:c r="D1" s="43" t="str">
        <x:v>Recommended position</x:v>
      </x:c>
      <x:c r="E1" s="44" t="str">
        <x:v>Status</x:v>
      </x:c>
    </x:row>
    <x:row r="2" ht="42" customHeight="1">
      <x:c r="A2" s="45" t="str">
        <x:v>OPD-1-001</x:v>
      </x:c>
      <x:c r="B2" s="46" t="str">
        <x:v>A. App Startup and Guest Onboarding</x:v>
      </x:c>
      <x:c r="C2" s="46" t="str">
        <x:v>Minimum Local Profile fields</x:v>
      </x:c>
      <x:c r="D2" s="46" t="str">
        <x:v>Allow an automatically generated local profile name; display name remains optional and editable.</x:v>
      </x:c>
      <x:c r="E2" s="60" t="str">
        <x:v>Approved</x:v>
      </x:c>
    </x:row>
    <x:row r="3" ht="42" customHeight="1">
      <x:c r="A3" s="45" t="str">
        <x:v>OPD-1-002</x:v>
      </x:c>
      <x:c r="B3" s="46" t="str">
        <x:v>A. App Startup and Guest Onboarding</x:v>
      </x:c>
      <x:c r="C3" s="46" t="str">
        <x:v>Privacy-lock fallback</x:v>
      </x:c>
      <x:c r="D3" s="46" t="str">
        <x:v>Use OS biometric authentication when available and OS device credential as the V1 fallback. Do not implement or store a separate app PIN in V1.</x:v>
      </x:c>
      <x:c r="E3" s="60" t="str">
        <x:v>Approved</x:v>
      </x:c>
    </x:row>
    <x:row r="4" ht="42" customHeight="1">
      <x:c r="A4" s="45" t="str">
        <x:v>OPD-1-003</x:v>
      </x:c>
      <x:c r="B4" s="46" t="str">
        <x:v>A. App Startup and Guest Onboarding</x:v>
      </x:c>
      <x:c r="C4" s="46" t="str">
        <x:v>Default relock timing</x:v>
      </x:c>
      <x:c r="D4" s="46" t="str">
        <x:v>Default to immediate relock after a genuine app-background transition. App-launched system authentication, permission, and scoped-picker flows must not create a relock loop. A configurable timeout is post-V1 and remains device-specific.</x:v>
      </x:c>
      <x:c r="E4" s="60" t="str">
        <x:v>Approved</x:v>
      </x:c>
    </x:row>
    <x:row r="5" ht="42" customHeight="1">
      <x:c r="A5" s="45" t="str">
        <x:v>OPD-1-004</x:v>
      </x:c>
      <x:c r="B5" s="46" t="str">
        <x:v>A. App Startup and Guest Onboarding</x:v>
      </x:c>
      <x:c r="C5" s="46" t="str">
        <x:v>Target setup timing</x:v>
      </x:c>
      <x:c r="D5" s="46" t="str">
        <x:v>Optional during onboarding with a persistent Home prompt.</x:v>
      </x:c>
      <x:c r="E5" s="60" t="str">
        <x:v>Approved</x:v>
      </x:c>
    </x:row>
    <x:row r="6" ht="42" customHeight="1">
      <x:c r="A6" s="45" t="str">
        <x:v>OPD-1-005</x:v>
      </x:c>
      <x:c r="B6" s="46" t="str">
        <x:v>B. Home and Life Indicators</x:v>
      </x:c>
      <x:c r="C6" s="46" t="str">
        <x:v>Initial Weekly Targets</x:v>
      </x:c>
      <x:c r="D6" s="46" t="str">
        <x:v>Begin as Not set and present optional suggested values without silently applying them.</x:v>
      </x:c>
      <x:c r="E6" s="60" t="str">
        <x:v>Approved</x:v>
      </x:c>
    </x:row>
    <x:row r="7" ht="42" customHeight="1">
      <x:c r="A7" s="45" t="str">
        <x:v>OPD-1-006</x:v>
      </x:c>
      <x:c r="B7" s="46" t="str">
        <x:v>B. Home and Life Indicators</x:v>
      </x:c>
      <x:c r="C7" s="46" t="str">
        <x:v>Home period navigation</x:v>
      </x:c>
      <x:c r="D7" s="46" t="str">
        <x:v>Current week only on Home in V1; history through indicator detail.</x:v>
      </x:c>
      <x:c r="E7" s="60" t="str">
        <x:v>Approved</x:v>
      </x:c>
    </x:row>
    <x:row r="8" ht="42" customHeight="1">
      <x:c r="A8" s="45" t="str">
        <x:v>OPD-1-007</x:v>
      </x:c>
      <x:c r="B8" s="46" t="str">
        <x:v>B. Home and Life Indicators</x:v>
      </x:c>
      <x:c r="C8" s="46" t="str">
        <x:v>Projected total</x:v>
      </x:c>
      <x:c r="D8" s="46" t="str">
        <x:v>Omit Actual plus Scheduled Potential combined total in V1.</x:v>
      </x:c>
      <x:c r="E8" s="60" t="str">
        <x:v>Approved</x:v>
      </x:c>
    </x:row>
    <x:row r="9" ht="42" customHeight="1">
      <x:c r="A9" s="45" t="str">
        <x:v>OPD-1-008</x:v>
      </x:c>
      <x:c r="B9" s="46" t="str">
        <x:v>B. Home and Life Indicators</x:v>
      </x:c>
      <x:c r="C9" s="46" t="str">
        <x:v>Indicator order</x:v>
      </x:c>
      <x:c r="D9" s="46" t="str">
        <x:v>Use the fixed approved six-indicator order in V1.</x:v>
      </x:c>
      <x:c r="E9" s="60" t="str">
        <x:v>Approved</x:v>
      </x:c>
    </x:row>
    <x:row r="10" ht="42" customHeight="1">
      <x:c r="A10" s="45" t="str">
        <x:v>OPD-1-009</x:v>
      </x:c>
      <x:c r="B10" s="46" t="str">
        <x:v>C. Planner Day View</x:v>
      </x:c>
      <x:c r="C10" s="46" t="str">
        <x:v>Cancelled and rescheduled presentation</x:v>
      </x:c>
      <x:c r="D10" s="46" t="str">
        <x:v>Use a Changes section while Awaiting Report remains prominent.</x:v>
      </x:c>
      <x:c r="E10" s="60" t="str">
        <x:v>Approved</x:v>
      </x:c>
    </x:row>
    <x:row r="11" ht="42" customHeight="1">
      <x:c r="A11" s="45" t="str">
        <x:v>OPD-1-010</x:v>
      </x:c>
      <x:c r="B11" s="46" t="str">
        <x:v>C. Planner Day View</x:v>
      </x:c>
      <x:c r="C11" s="46" t="str">
        <x:v>Planner reopening</x:v>
      </x:c>
      <x:c r="D11" s="46" t="str">
        <x:v>Preserve the last selected day in-session and default to today after cold start.</x:v>
      </x:c>
      <x:c r="E11" s="60" t="str">
        <x:v>Approved</x:v>
      </x:c>
    </x:row>
    <x:row r="12" ht="42" customHeight="1">
      <x:c r="A12" s="45" t="str">
        <x:v>OPD-1-011</x:v>
      </x:c>
      <x:c r="B12" s="46" t="str">
        <x:v>C. Planner Day View</x:v>
      </x:c>
      <x:c r="C12" s="46" t="str">
        <x:v>Day-section order</x:v>
      </x:c>
      <x:c r="D12" s="46" t="str">
        <x:v>All-day events, timed events, Tasks, overdue Tasks, Awaiting Report, then Changes.</x:v>
      </x:c>
      <x:c r="E12" s="60" t="str">
        <x:v>Approved</x:v>
      </x:c>
    </x:row>
    <x:row r="13" ht="42" customHeight="1">
      <x:c r="A13" s="45" t="str">
        <x:v>OPD-1-012</x:v>
      </x:c>
      <x:c r="B13" s="46" t="str">
        <x:v>D. Tasks</x:v>
      </x:c>
      <x:c r="C13" s="46" t="str">
        <x:v>Required-report completion transaction</x:v>
      </x:c>
      <x:c r="D13" s="46" t="str">
        <x:v>Keep the Task Incomplete until report and completion save coherently.</x:v>
      </x:c>
      <x:c r="E13" s="60" t="str">
        <x:v>Approved</x:v>
      </x:c>
    </x:row>
    <x:row r="14" ht="42" customHeight="1">
      <x:c r="A14" s="45" t="str">
        <x:v>OPD-1-013</x:v>
      </x:c>
      <x:c r="B14" s="46" t="str">
        <x:v>D. Tasks</x:v>
      </x:c>
      <x:c r="C14" s="46" t="str">
        <x:v>Reopening Completed Tasks</x:v>
      </x:c>
      <x:c r="D14" s="46" t="str">
        <x:v>Direct reopen only when no report or ledger effect exists; otherwise use correction.</x:v>
      </x:c>
      <x:c r="E14" s="60" t="str">
        <x:v>Approved</x:v>
      </x:c>
    </x:row>
    <x:row r="15" ht="42" customHeight="1">
      <x:c r="A15" s="45" t="str">
        <x:v>OPD-1-014</x:v>
      </x:c>
      <x:c r="B15" s="46" t="str">
        <x:v>D. Tasks</x:v>
      </x:c>
      <x:c r="C15" s="46" t="str">
        <x:v>Skipped meaning</x:v>
      </x:c>
      <x:c r="D15" s="46" t="str">
        <x:v>Skipped means intentionally not done for the relevant plan or period; Cancelled means no longer intended.</x:v>
      </x:c>
      <x:c r="E15" s="60" t="str">
        <x:v>Approved</x:v>
      </x:c>
    </x:row>
    <x:row r="16" ht="42" customHeight="1">
      <x:c r="A16" s="45" t="str">
        <x:v>OPD-1-015</x:v>
      </x:c>
      <x:c r="B16" s="46" t="str">
        <x:v>D. Tasks</x:v>
      </x:c>
      <x:c r="C16" s="46" t="str">
        <x:v>Task deletion</x:v>
      </x:c>
      <x:c r="D16" s="46" t="str">
        <x:v>No hard delete in V1; use Cancelled and later archive behavior.</x:v>
      </x:c>
      <x:c r="E16" s="60" t="str">
        <x:v>Approved</x:v>
      </x:c>
    </x:row>
    <x:row r="17" ht="42" customHeight="1">
      <x:c r="A17" s="45" t="str">
        <x:v>OPD-1-016</x:v>
      </x:c>
      <x:c r="B17" s="46" t="str">
        <x:v>E. Calendar Events and Recurrence</x:v>
      </x:c>
      <x:c r="C17" s="46" t="str">
        <x:v>Monthly month-end recurrence</x:v>
      </x:c>
      <x:c r="D17" s="46" t="str">
        <x:v>Use the final valid day in shorter months.</x:v>
      </x:c>
      <x:c r="E17" s="60" t="str">
        <x:v>Approved</x:v>
      </x:c>
    </x:row>
    <x:row r="18" ht="42" customHeight="1">
      <x:c r="A18" s="45" t="str">
        <x:v>OPD-1-017</x:v>
      </x:c>
      <x:c r="B18" s="46" t="str">
        <x:v>E. Calendar Events and Recurrence</x:v>
      </x:c>
      <x:c r="C18" s="46" t="str">
        <x:v>February 29 recurrence</x:v>
      </x:c>
      <x:c r="D18" s="46" t="str">
        <x:v>Use February 28 in non-leap years.</x:v>
      </x:c>
      <x:c r="E18" s="60" t="str">
        <x:v>Approved</x:v>
      </x:c>
    </x:row>
    <x:row r="19" ht="42" customHeight="1">
      <x:c r="A19" s="45" t="str">
        <x:v>OPD-1-018</x:v>
      </x:c>
      <x:c r="B19" s="46" t="str">
        <x:v>E. Calendar Events and Recurrence</x:v>
      </x:c>
      <x:c r="C19" s="46" t="str">
        <x:v>Recurring edit scopes</x:v>
      </x:c>
      <x:c r="D19" s="46" t="str">
        <x:v>Support this occurrence, this and future, and entire series.</x:v>
      </x:c>
      <x:c r="E19" s="60" t="str">
        <x:v>Approved</x:v>
      </x:c>
    </x:row>
    <x:row r="20" ht="42" customHeight="1">
      <x:c r="A20" s="45" t="str">
        <x:v>OPD-1-019</x:v>
      </x:c>
      <x:c r="B20" s="46" t="str">
        <x:v>E. Calendar Events and Recurrence</x:v>
      </x:c>
      <x:c r="C20" s="46" t="str">
        <x:v>Recurrence end rules</x:v>
      </x:c>
      <x:c r="D20" s="46" t="str">
        <x:v>Support no end, end on date, and end after count.</x:v>
      </x:c>
      <x:c r="E20" s="60" t="str">
        <x:v>Approved</x:v>
      </x:c>
    </x:row>
    <x:row r="21" ht="42" customHeight="1">
      <x:c r="A21" s="45" t="str">
        <x:v>OPD-1-020</x:v>
      </x:c>
      <x:c r="B21" s="46" t="str">
        <x:v>E. Calendar Events and Recurrence</x:v>
      </x:c>
      <x:c r="C21" s="46" t="str">
        <x:v>Event-time model</x:v>
      </x:c>
      <x:c r="D21" s="46" t="str">
        <x:v>Timed events retain their original IANA time zone and show converted local time when relevant. All-day events remain date-based and must not shift dates through time-zone conversion.</x:v>
      </x:c>
      <x:c r="E21" s="60" t="str">
        <x:v>Approved</x:v>
      </x:c>
    </x:row>
    <x:row r="22" ht="42" customHeight="1">
      <x:c r="A22" s="45" t="str">
        <x:v>OPD-2-001</x:v>
      </x:c>
      <x:c r="B22" s="46" t="str">
        <x:v>F. Task–Event Linking</x:v>
      </x:c>
      <x:c r="C22" s="46" t="str">
        <x:v>Multiple Tasks linked to one event</x:v>
      </x:c>
      <x:c r="D22" s="46" t="str">
        <x:v>Permit explicit linking but never calculate progress from link count.</x:v>
      </x:c>
      <x:c r="E22" s="60" t="str">
        <x:v>Approved</x:v>
      </x:c>
    </x:row>
    <x:row r="23" ht="42" customHeight="1">
      <x:c r="A23" s="45" t="str">
        <x:v>OPD-2-002</x:v>
      </x:c>
      <x:c r="B23" s="46" t="str">
        <x:v>F. Task–Event Linking</x:v>
      </x:c>
      <x:c r="C23" s="46" t="str">
        <x:v>Series-level Task linking</x:v>
      </x:c>
      <x:c r="D23" s="46" t="str">
        <x:v>Apply to future occurrences with occurrence-level overrides.</x:v>
      </x:c>
      <x:c r="E23" s="60" t="str">
        <x:v>Approved</x:v>
      </x:c>
    </x:row>
    <x:row r="24" ht="42" customHeight="1">
      <x:c r="A24" s="45" t="str">
        <x:v>OPD-2-003</x:v>
      </x:c>
      <x:c r="B24" s="46" t="str">
        <x:v>F. Task–Event Linking</x:v>
      </x:c>
      <x:c r="C24" s="46" t="str">
        <x:v>Scheduled Potential attribution</x:v>
      </x:c>
      <x:c r="D24" s="46" t="str">
        <x:v>Require one explicit canonical planning source per planned contribution.</x:v>
      </x:c>
      <x:c r="E24" s="60" t="str">
        <x:v>Approved</x:v>
      </x:c>
    </x:row>
    <x:row r="25" ht="42" customHeight="1">
      <x:c r="A25" s="45" t="str">
        <x:v>OPD-2-004</x:v>
      </x:c>
      <x:c r="B25" s="46" t="str">
        <x:v>G. Event and Task Outcome Reporting</x:v>
      </x:c>
      <x:c r="C25" s="46" t="str">
        <x:v>Draft handling</x:v>
      </x:c>
      <x:c r="D25" s="46" t="str">
        <x:v>Autosave locally and label clearly as Draft.</x:v>
      </x:c>
      <x:c r="E25" s="60" t="str">
        <x:v>Approved</x:v>
      </x:c>
    </x:row>
    <x:row r="26" ht="42" customHeight="1">
      <x:c r="A26" s="45" t="str">
        <x:v>OPD-2-005</x:v>
      </x:c>
      <x:c r="B26" s="46" t="str">
        <x:v>G. Event and Task Outcome Reporting</x:v>
      </x:c>
      <x:c r="C26" s="46" t="str">
        <x:v>Correction reason</x:v>
      </x:c>
      <x:c r="D26" s="46" t="str">
        <x:v>Require a reason when the corrected report affected Actual.</x:v>
      </x:c>
      <x:c r="E26" s="60" t="str">
        <x:v>Approved</x:v>
      </x:c>
    </x:row>
    <x:row r="27" ht="42" customHeight="1">
      <x:c r="A27" s="45" t="str">
        <x:v>OPD-2-006</x:v>
      </x:c>
      <x:c r="B27" s="46" t="str">
        <x:v>G. Event and Task Outcome Reporting</x:v>
      </x:c>
      <x:c r="C27" s="46" t="str">
        <x:v>Private report notes</x:v>
      </x:c>
      <x:c r="D27" s="46" t="str">
        <x:v>Private report notes remain optional and non-contributory. They are excluded from logs, analytics, notification previews, and contribution rules; storage and synchronization follow the approved record privacy classification.</x:v>
      </x:c>
      <x:c r="E27" s="60" t="str">
        <x:v>Approved</x:v>
      </x:c>
    </x:row>
    <x:row r="28" ht="42" customHeight="1">
      <x:c r="A28" s="45" t="str">
        <x:v>OPD-2-007</x:v>
      </x:c>
      <x:c r="B28" s="46" t="str">
        <x:v>H. Activity Ledger and Contribution History</x:v>
      </x:c>
      <x:c r="C28" s="46" t="str">
        <x:v>Manual activity logging</x:v>
      </x:c>
      <x:c r="D28" s="46" t="str">
        <x:v>Include a structured Activity Report and never raw ledger editing.</x:v>
      </x:c>
      <x:c r="E28" s="60" t="str">
        <x:v>Approved</x:v>
      </x:c>
    </x:row>
    <x:row r="29" ht="42" customHeight="1">
      <x:c r="A29" s="45" t="str">
        <x:v>OPD-2-008</x:v>
      </x:c>
      <x:c r="B29" s="46" t="str">
        <x:v>H. Activity Ledger and Contribution History</x:v>
      </x:c>
      <x:c r="C29" s="46" t="str">
        <x:v>Fractional values</x:v>
      </x:c>
      <x:c r="D29" s="46" t="str">
        <x:v>Support fixed-decimal values only when the indicator unit permits them. Each unit defines allowed precision and rounding; canonical values must not use binary floating-point storage.</x:v>
      </x:c>
      <x:c r="E29" s="60" t="str">
        <x:v>Approved</x:v>
      </x:c>
    </x:row>
    <x:row r="30" ht="42" customHeight="1">
      <x:c r="A30" s="45" t="str">
        <x:v>OPD-2-009</x:v>
      </x:c>
      <x:c r="B30" s="46" t="str">
        <x:v>H. Activity Ledger and Contribution History</x:v>
      </x:c>
      <x:c r="C30" s="46" t="str">
        <x:v>Contribution-history default</x:v>
      </x:c>
      <x:c r="D30" s="46" t="str">
        <x:v>Show effective entries first and reversed history inside correction detail.</x:v>
      </x:c>
      <x:c r="E30" s="60" t="str">
        <x:v>Approved</x:v>
      </x:c>
    </x:row>
    <x:row r="31" ht="42" customHeight="1">
      <x:c r="A31" s="45" t="str">
        <x:v>OPD-2-010</x:v>
      </x:c>
      <x:c r="B31" s="46" t="str">
        <x:v>I. Weekly Planning</x:v>
      </x:c>
      <x:c r="C31" s="46" t="str">
        <x:v>Week boundary</x:v>
      </x:c>
      <x:c r="D31" s="46" t="str">
        <x:v>Use Monday through Sunday in the Local Profile timezone.</x:v>
      </x:c>
      <x:c r="E31" s="60" t="str">
        <x:v>Approved</x:v>
      </x:c>
    </x:row>
    <x:row r="32" ht="42" customHeight="1">
      <x:c r="A32" s="45" t="str">
        <x:v>OPD-2-011</x:v>
      </x:c>
      <x:c r="B32" s="46" t="str">
        <x:v>I. Weekly Planning</x:v>
      </x:c>
      <x:c r="C32" s="46" t="str">
        <x:v>Review with unresolved reports</x:v>
      </x:c>
      <x:c r="D32" s="46" t="str">
        <x:v>Require explicit acknowledgement before review completion.</x:v>
      </x:c>
      <x:c r="E32" s="60" t="str">
        <x:v>Approved</x:v>
      </x:c>
    </x:row>
    <x:row r="33" ht="42" customHeight="1">
      <x:c r="A33" s="45" t="str">
        <x:v>OPD-2-012</x:v>
      </x:c>
      <x:c r="B33" s="46" t="str">
        <x:v>I. Weekly Planning</x:v>
      </x:c>
      <x:c r="C33" s="46" t="str">
        <x:v>Target revision display</x:v>
      </x:c>
      <x:c r="D33" s="46" t="str">
        <x:v>Show final target by default with revision history available.</x:v>
      </x:c>
      <x:c r="E33" s="60" t="str">
        <x:v>Approved</x:v>
      </x:c>
    </x:row>
    <x:row r="34" ht="42" customHeight="1">
      <x:c r="A34" s="45" t="str">
        <x:v>OPD-2-013</x:v>
      </x:c>
      <x:c r="B34" s="46" t="str">
        <x:v>J. Pathways, Goals, and Milestones</x:v>
      </x:c>
      <x:c r="C34" s="46" t="str">
        <x:v>Custom Pathways in V1</x:v>
      </x:c>
      <x:c r="D34" s="46" t="str">
        <x:v>Use bundled Pathways plus custom Goals and Milestones; defer custom Pathways.</x:v>
      </x:c>
      <x:c r="E34" s="60" t="str">
        <x:v>Approved</x:v>
      </x:c>
    </x:row>
    <x:row r="35" ht="42" customHeight="1">
      <x:c r="A35" s="45" t="str">
        <x:v>OPD-2-014</x:v>
      </x:c>
      <x:c r="B35" s="46" t="str">
        <x:v>J. Pathways, Goals, and Milestones</x:v>
      </x:c>
      <x:c r="C35" s="46" t="str">
        <x:v>Lifecycle values</x:v>
      </x:c>
      <x:c r="D35" s="46" t="str">
        <x:v>Use these V1 lifecycle values: Pathway = Available, Active, Paused, Completed, Archived; Goal = Active, Paused, Completed, Archived; Milestone = Planned, Completed, Archived. Reopen returns Completed records to Active or Planned; restore returns Archived records to their last known non-archived state when available.</x:v>
      </x:c>
      <x:c r="E35" s="60" t="str">
        <x:v>Approved</x:v>
      </x:c>
    </x:row>
    <x:row r="36" ht="42" customHeight="1">
      <x:c r="A36" s="45" t="str">
        <x:v>OPD-2-015</x:v>
      </x:c>
      <x:c r="B36" s="46" t="str">
        <x:v>J. Pathways, Goals, and Milestones</x:v>
      </x:c>
      <x:c r="C36" s="46" t="str">
        <x:v>Manual completion</x:v>
      </x:c>
      <x:c r="D36" s="46" t="str">
        <x:v>Allow only through an explicit User Confirmation completion method.</x:v>
      </x:c>
      <x:c r="E36" s="60" t="str">
        <x:v>Approved</x:v>
      </x:c>
    </x:row>
    <x:row r="37" ht="42" customHeight="1">
      <x:c r="A37" s="45" t="str">
        <x:v>OPD-2-016</x:v>
      </x:c>
      <x:c r="B37" s="46" t="str">
        <x:v>J. Pathways, Goals, and Milestones</x:v>
      </x:c>
      <x:c r="C37" s="46" t="str">
        <x:v>Universal percentages</x:v>
      </x:c>
      <x:c r="D37" s="46" t="str">
        <x:v>Do not include a universal Pathway percentage in V1.</x:v>
      </x:c>
      <x:c r="E37" s="60" t="str">
        <x:v>Approved</x:v>
      </x:c>
    </x:row>
    <x:row r="38" ht="42" customHeight="1">
      <x:c r="A38" s="45" t="str">
        <x:v>OPD-3-001</x:v>
      </x:c>
      <x:c r="B38" s="46" t="str">
        <x:v>K. Covenant Path</x:v>
      </x:c>
      <x:c r="C38" s="46" t="str">
        <x:v>Covenant Path bundled sections</x:v>
      </x:c>
      <x:c r="D38" s="46" t="str">
        <x:v>The V1 bundled Covenant Path sections are Scripture Study and Temple Visit only. They record factual plans, reports, and optional private reflections; there is no universal completion score or spiritual-quality assessment.</x:v>
      </x:c>
      <x:c r="E38" s="60" t="str">
        <x:v>Approved</x:v>
      </x:c>
    </x:row>
    <x:row r="39" ht="42" customHeight="1">
      <x:c r="A39" s="45" t="str">
        <x:v>OPD-3-002</x:v>
      </x:c>
      <x:c r="B39" s="46" t="str">
        <x:v>K. Covenant Path</x:v>
      </x:c>
      <x:c r="C39" s="46" t="str">
        <x:v>Private reflection synchronization</x:v>
      </x:c>
      <x:c r="D39" s="46" t="str">
        <x:v>Private reflections are Extra Private and local-only by default. They may enter cloud synchronization only after a future explicit per-category opt-in exists; until then they remain local-only.</x:v>
      </x:c>
      <x:c r="E39" s="60" t="str">
        <x:v>Approved</x:v>
      </x:c>
    </x:row>
    <x:row r="40" ht="42" customHeight="1">
      <x:c r="A40" s="45" t="str">
        <x:v>OPD-3-003</x:v>
      </x:c>
      <x:c r="B40" s="46" t="str">
        <x:v>K. Covenant Path</x:v>
      </x:c>
      <x:c r="C40" s="46" t="str">
        <x:v>External resources</x:v>
      </x:c>
      <x:c r="D40" s="46" t="str">
        <x:v>Official bundled links plus clearly labeled private personal links.</x:v>
      </x:c>
      <x:c r="E40" s="60" t="str">
        <x:v>Approved</x:v>
      </x:c>
    </x:row>
    <x:row r="41" ht="42" customHeight="1">
      <x:c r="A41" s="45" t="str">
        <x:v>OPD-3-004</x:v>
      </x:c>
      <x:c r="B41" s="46" t="str">
        <x:v>L. Contacts and Follow-Ups</x:v>
      </x:c>
      <x:c r="C41" s="46" t="str">
        <x:v>Group interaction contributions</x:v>
      </x:c>
      <x:c r="D41" s="46" t="str">
        <x:v>One contribution per explicitly confirmed meaningful Contact.</x:v>
      </x:c>
      <x:c r="E41" s="60" t="str">
        <x:v>Approved</x:v>
      </x:c>
    </x:row>
    <x:row r="42" ht="42" customHeight="1">
      <x:c r="A42" s="45" t="str">
        <x:v>OPD-3-005</x:v>
      </x:c>
      <x:c r="B42" s="46" t="str">
        <x:v>L. Contacts and Follow-Ups</x:v>
      </x:c>
      <x:c r="C42" s="46" t="str">
        <x:v>Contact photos</x:v>
      </x:c>
      <x:c r="D42" s="46" t="str">
        <x:v>Defer to V1.1.</x:v>
      </x:c>
      <x:c r="E42" s="60" t="str">
        <x:v>Approved</x:v>
      </x:c>
    </x:row>
    <x:row r="43" ht="42" customHeight="1">
      <x:c r="A43" s="45" t="str">
        <x:v>OPD-3-006</x:v>
      </x:c>
      <x:c r="B43" s="46" t="str">
        <x:v>L. Contacts and Follow-Ups</x:v>
      </x:c>
      <x:c r="C43" s="46" t="str">
        <x:v>Duplicate contact detection</x:v>
      </x:c>
      <x:c r="D43" s="46" t="str">
        <x:v>Suggest using normalized phone or email; never merge automatically.</x:v>
      </x:c>
      <x:c r="E43" s="60" t="str">
        <x:v>Approved</x:v>
      </x:c>
    </x:row>
    <x:row r="44" ht="42" customHeight="1">
      <x:c r="A44" s="45" t="str">
        <x:v>OPD-3-007</x:v>
      </x:c>
      <x:c r="B44" s="46" t="str">
        <x:v>M. Employment Applications</x:v>
      </x:c>
      <x:c r="C44" s="46" t="str">
        <x:v>Employment application lifecycle</x:v>
      </x:c>
      <x:c r="D44" s="46" t="str">
        <x:v>Employment Application lifecycle: active stages = Saved, Considering, Preparing, Submitted, Interviewing, Offered; terminal outcomes = Accepted, Rejected, Withdrawn, Closed Without Outcome. Archive is a separate visibility state, and reapplication creates a new cycle.</x:v>
      </x:c>
      <x:c r="E44" s="60" t="str">
        <x:v>Approved</x:v>
      </x:c>
    </x:row>
    <x:row r="45" ht="42" customHeight="1">
      <x:c r="A45" s="45" t="str">
        <x:v>OPD-3-008</x:v>
      </x:c>
      <x:c r="B45" s="46" t="str">
        <x:v>M. Employment Applications</x:v>
      </x:c>
      <x:c r="C45" s="46" t="str">
        <x:v>Submission evidence</x:v>
      </x:c>
      <x:c r="D45" s="46" t="str">
        <x:v>Allow private reference text in V1 and defer attachments.</x:v>
      </x:c>
      <x:c r="E45" s="60" t="str">
        <x:v>Approved</x:v>
      </x:c>
    </x:row>
    <x:row r="46" ht="42" customHeight="1">
      <x:c r="A46" s="45" t="str">
        <x:v>OPD-3-009</x:v>
      </x:c>
      <x:c r="B46" s="46" t="str">
        <x:v>M. Employment Applications</x:v>
      </x:c>
      <x:c r="C46" s="46" t="str">
        <x:v>Job Applications unit</x:v>
      </x:c>
      <x:c r="D46" s="46" t="str">
        <x:v>One distinct confirmed submission equals one contribution.</x:v>
      </x:c>
      <x:c r="E46" s="60" t="str">
        <x:v>Approved</x:v>
      </x:c>
    </x:row>
    <x:row r="47" ht="42" customHeight="1">
      <x:c r="A47" s="45" t="str">
        <x:v>OPD-3-010</x:v>
      </x:c>
      <x:c r="B47" s="46" t="str">
        <x:v>N. Education Planning</x:v>
      </x:c>
      <x:c r="C47" s="46" t="str">
        <x:v>Education stages</x:v>
      </x:c>
      <x:c r="D47" s="46" t="str">
        <x:v>Education application stages: Considering, Preparing, Submitted, Admitted, Enrolled, Deferred, Rejected, Withdrawn, and Discontinued. Archive is separate; admission and enrollment remain distinct confirmed outcomes.</x:v>
      </x:c>
      <x:c r="E47" s="60" t="str">
        <x:v>Approved</x:v>
      </x:c>
    </x:row>
    <x:row r="48" ht="42" customHeight="1">
      <x:c r="A48" s="45" t="str">
        <x:v>OPD-3-011</x:v>
      </x:c>
      <x:c r="B48" s="46" t="str">
        <x:v>N. Education Planning</x:v>
      </x:c>
      <x:c r="C48" s="46" t="str">
        <x:v>Bundled education content</x:v>
      </x:c>
      <x:c r="D48" s="46" t="str">
        <x:v>Initial V1 bundled education entries: BYU-Pathway Worldwide, BYU-Hawaii, and My Plan (Tanay, Rizal), plus Custom Education Option. Degree-destination details remain content-driven and must carry official source and last-verified metadata.</x:v>
      </x:c>
      <x:c r="E48" s="60" t="str">
        <x:v>Approved</x:v>
      </x:c>
    </x:row>
    <x:row r="49" ht="42" customHeight="1">
      <x:c r="A49" s="45" t="str">
        <x:v>OPD-3-012</x:v>
      </x:c>
      <x:c r="B49" s="46" t="str">
        <x:v>N. Education Planning</x:v>
      </x:c>
      <x:c r="C49" s="46" t="str">
        <x:v>Content verification policy</x:v>
      </x:c>
      <x:c r="D49" s="46" t="str">
        <x:v>Require source, last-verified date, and Verify with Provider action.</x:v>
      </x:c>
      <x:c r="E49" s="60" t="str">
        <x:v>Approved</x:v>
      </x:c>
    </x:row>
    <x:row r="50" ht="42" customHeight="1">
      <x:c r="A50" s="45" t="str">
        <x:v>OPD-3-013</x:v>
      </x:c>
      <x:c r="B50" s="46" t="str">
        <x:v>O. Government Document Requirements</x:v>
      </x:c>
      <x:c r="C50" s="46" t="str">
        <x:v>Bundled government-document templates</x:v>
      </x:c>
      <x:c r="D50" s="46" t="str">
        <x:v>Initial V1 Philippines government-document templates: PSA Birth Certificate, PSA Marriage Certificate, NBI Clearance, SSS registration/number, PhilHealth registration/number, Pag-IBIG MID registration, BIR TIN registration, Philippine Passport, and Driver's License, plus Custom Requirement.</x:v>
      </x:c>
      <x:c r="E50" s="60" t="str">
        <x:v>Approved</x:v>
      </x:c>
    </x:row>
    <x:row r="51" ht="42" customHeight="1">
      <x:c r="A51" s="45" t="str">
        <x:v>OPD-3-014</x:v>
      </x:c>
      <x:c r="B51" s="46" t="str">
        <x:v>O. Government Document Requirements</x:v>
      </x:c>
      <x:c r="C51" s="46" t="str">
        <x:v>Sensitive references</x:v>
      </x:c>
      <x:c r="D51" s="46" t="str">
        <x:v>Use masked references only and no full numbers.</x:v>
      </x:c>
      <x:c r="E51" s="60" t="str">
        <x:v>Approved</x:v>
      </x:c>
    </x:row>
    <x:row r="52" ht="42" customHeight="1">
      <x:c r="A52" s="45" t="str">
        <x:v>OPD-3-015</x:v>
      </x:c>
      <x:c r="B52" s="46" t="str">
        <x:v>O. Government Document Requirements</x:v>
      </x:c>
      <x:c r="C52" s="46" t="str">
        <x:v>Renewal reminders</x:v>
      </x:c>
      <x:c r="D52" s="46" t="str">
        <x:v>Use a user-selected date with optional verified-content suggestion.</x:v>
      </x:c>
      <x:c r="E52" s="60" t="str">
        <x:v>Approved</x:v>
      </x:c>
    </x:row>
    <x:row r="53" ht="42" customHeight="1">
      <x:c r="A53" s="45" t="str">
        <x:v>OPD-3-016</x:v>
      </x:c>
      <x:c r="B53" s="46" t="str">
        <x:v>O. Government Document Requirements</x:v>
      </x:c>
      <x:c r="C53" s="46" t="str">
        <x:v>Requirement-content notice</x:v>
      </x:c>
      <x:c r="D53" s="46" t="str">
        <x:v>Explain that time-sensitive procedures should be verified officially.</x:v>
      </x:c>
      <x:c r="E53" s="60" t="str">
        <x:v>Approved</x:v>
      </x:c>
    </x:row>
    <x:row r="54" ht="42" customHeight="1">
      <x:c r="A54" s="45" t="str">
        <x:v>OPD-4-001</x:v>
      </x:c>
      <x:c r="B54" s="46" t="str">
        <x:v>P. Maps and Locations</x:v>
      </x:c>
      <x:c r="C54" s="46" t="str">
        <x:v>Saved Places timing</x:v>
      </x:c>
      <x:c r="D54" s="46" t="str">
        <x:v>Keep Saved Places in V1.1; V1 stores location on the owning record.</x:v>
      </x:c>
      <x:c r="E54" s="60" t="str">
        <x:v>Approved</x:v>
      </x:c>
    </x:row>
    <x:row r="55" ht="42" customHeight="1">
      <x:c r="A55" s="45" t="str">
        <x:v>OPD-4-002</x:v>
      </x:c>
      <x:c r="B55" s="46" t="str">
        <x:v>P. Maps and Locations</x:v>
      </x:c>
      <x:c r="C55" s="46" t="str">
        <x:v>Map provider</x:v>
      </x:c>
      <x:c r="D55" s="46" t="str">
        <x:v>Use Android application chooser.</x:v>
      </x:c>
      <x:c r="E55" s="60" t="str">
        <x:v>Approved</x:v>
      </x:c>
    </x:row>
    <x:row r="56" ht="42" customHeight="1">
      <x:c r="A56" s="45" t="str">
        <x:v>OPD-4-003</x:v>
      </x:c>
      <x:c r="B56" s="46" t="str">
        <x:v>P. Maps and Locations</x:v>
      </x:c>
      <x:c r="C56" s="46" t="str">
        <x:v>Coordinate storage</x:v>
      </x:c>
      <x:c r="D56" s="46" t="str">
        <x:v>Store only when explicitly selected or confirmed.</x:v>
      </x:c>
      <x:c r="E56" s="60" t="str">
        <x:v>Approved</x:v>
      </x:c>
    </x:row>
    <x:row r="57" ht="42" customHeight="1">
      <x:c r="A57" s="45" t="str">
        <x:v>OPD-4-004</x:v>
      </x:c>
      <x:c r="B57" s="46" t="str">
        <x:v>P. Maps and Locations</x:v>
      </x:c>
      <x:c r="C57" s="46" t="str">
        <x:v>External handoff disclosure</x:v>
      </x:c>
      <x:c r="D57" s="46" t="str">
        <x:v>Show the destination before external handoff.</x:v>
      </x:c>
      <x:c r="E57" s="60" t="str">
        <x:v>Approved</x:v>
      </x:c>
    </x:row>
    <x:row r="58" ht="42" customHeight="1">
      <x:c r="A58" s="45" t="str">
        <x:v>OPD-4-005</x:v>
      </x:c>
      <x:c r="B58" s="46" t="str">
        <x:v>Q. Notifications and Reminders</x:v>
      </x:c>
      <x:c r="C58" s="46" t="str">
        <x:v>Quiet-hours default</x:v>
      </x:c>
      <x:c r="D58" s="46" t="str">
        <x:v>Off by default.</x:v>
      </x:c>
      <x:c r="E58" s="60" t="str">
        <x:v>Approved</x:v>
      </x:c>
    </x:row>
    <x:row r="59" ht="42" customHeight="1">
      <x:c r="A59" s="45" t="str">
        <x:v>OPD-4-006</x:v>
      </x:c>
      <x:c r="B59" s="46" t="str">
        <x:v>Q. Notifications and Reminders</x:v>
      </x:c>
      <x:c r="C59" s="46" t="str">
        <x:v>Notification preview default</x:v>
      </x:c>
      <x:c r="D59" s="46" t="str">
        <x:v>Use generic privacy-safe text until user opts into detail.</x:v>
      </x:c>
      <x:c r="E59" s="60" t="str">
        <x:v>Approved</x:v>
      </x:c>
    </x:row>
    <x:row r="60" ht="42" customHeight="1">
      <x:c r="A60" s="45" t="str">
        <x:v>OPD-4-007</x:v>
      </x:c>
      <x:c r="B60" s="46" t="str">
        <x:v>Q. Notifications and Reminders</x:v>
      </x:c>
      <x:c r="C60" s="46" t="str">
        <x:v>Past reminders after restart</x:v>
      </x:c>
      <x:c r="D60" s="46" t="str">
        <x:v>Do not replay expired reminders; use in-app attention states.</x:v>
      </x:c>
      <x:c r="E60" s="60" t="str">
        <x:v>Approved</x:v>
      </x:c>
    </x:row>
    <x:row r="61" ht="42" customHeight="1">
      <x:c r="A61" s="45" t="str">
        <x:v>OPD-4-008</x:v>
      </x:c>
      <x:c r="B61" s="46" t="str">
        <x:v>Q. Notifications and Reminders</x:v>
      </x:c>
      <x:c r="C61" s="46" t="str">
        <x:v>Notification actions</x:v>
      </x:c>
      <x:c r="D61" s="46" t="str">
        <x:v>V1 actions open or snooze only.</x:v>
      </x:c>
      <x:c r="E61" s="60" t="str">
        <x:v>Approved</x:v>
      </x:c>
    </x:row>
    <x:row r="62" ht="42" customHeight="1">
      <x:c r="A62" s="45" t="str">
        <x:v>OPD-4-009</x:v>
      </x:c>
      <x:c r="B62" s="46" t="str">
        <x:v>R. BetterCalendar Import</x:v>
      </x:c>
      <x:c r="C62" s="46" t="str">
        <x:v>Imported completion fields</x:v>
      </x:c>
      <x:c r="D62" s="46" t="str">
        <x:v>Preserve as source metadata requiring review; do not map directly to outcomes.</x:v>
      </x:c>
      <x:c r="E62" s="60" t="str">
        <x:v>Approved</x:v>
      </x:c>
    </x:row>
    <x:row r="63" ht="42" customHeight="1">
      <x:c r="A63" s="45" t="str">
        <x:v>OPD-4-010</x:v>
      </x:c>
      <x:c r="B63" s="46" t="str">
        <x:v>R. BetterCalendar Import</x:v>
      </x:c>
      <x:c r="C63" s="46" t="str">
        <x:v>Unknown fields</x:v>
      </x:c>
      <x:c r="D63" s="46" t="str">
        <x:v>Retain a privacy-safe manifest, not full unknown payload duplication.</x:v>
      </x:c>
      <x:c r="E63" s="60" t="str">
        <x:v>Approved</x:v>
      </x:c>
    </x:row>
    <x:row r="64" ht="42" customHeight="1">
      <x:c r="A64" s="45" t="str">
        <x:v>OPD-4-011</x:v>
      </x:c>
      <x:c r="B64" s="46" t="str">
        <x:v>R. BetterCalendar Import</x:v>
      </x:c>
      <x:c r="C64" s="46" t="str">
        <x:v>Existing-record conflicts</x:v>
      </x:c>
      <x:c r="D64" s="46" t="str">
        <x:v>Default to Skip Existing when stable source identity matches.</x:v>
      </x:c>
      <x:c r="E64" s="60" t="str">
        <x:v>Approved</x:v>
      </x:c>
    </x:row>
    <x:row r="65" ht="42" customHeight="1">
      <x:c r="A65" s="45" t="str">
        <x:v>OPD-4-012</x:v>
      </x:c>
      <x:c r="B65" s="46" t="str">
        <x:v>R. BetterCalendar Import</x:v>
      </x:c>
      <x:c r="C65" s="46" t="str">
        <x:v>BetterCalendar settings</x:v>
      </x:c>
      <x:c r="D65" s="46" t="str">
        <x:v>Import only explicitly supported non-sensitive preferences.</x:v>
      </x:c>
      <x:c r="E65" s="60" t="str">
        <x:v>Approved</x:v>
      </x:c>
    </x:row>
    <x:row r="66" ht="42" customHeight="1">
      <x:c r="A66" s="45" t="str">
        <x:v>OPD-4-013</x:v>
      </x:c>
      <x:c r="B66" s="46" t="str">
        <x:v>R. BetterCalendar Import</x:v>
      </x:c>
      <x:c r="C66" s="46" t="str">
        <x:v>Rollback availability</x:v>
      </x:c>
      <x:c r="D66" s="46" t="str">
        <x:v>Allow rollback until imported records receive dependent edits.</x:v>
      </x:c>
      <x:c r="E66" s="60" t="str">
        <x:v>Approved</x:v>
      </x:c>
    </x:row>
    <x:row r="67" ht="42" customHeight="1">
      <x:c r="A67" s="45" t="str">
        <x:v>OPD-4-014</x:v>
      </x:c>
      <x:c r="B67" s="46" t="str">
        <x:v>S. Backup, Export, and Restore</x:v>
      </x:c>
      <x:c r="C67" s="46" t="str">
        <x:v>Native backup protection</x:v>
      </x:c>
      <x:c r="D67" s="46" t="str">
        <x:v>Portable .ntbackup files use user-passphrase encryption. Device-bound platform protection may protect temporary local recovery checkpoints, but it must not replace portable disaster-recovery protection.</x:v>
      </x:c>
      <x:c r="E67" s="60" t="str">
        <x:v>Approved</x:v>
      </x:c>
    </x:row>
    <x:row r="68" ht="42" customHeight="1">
      <x:c r="A68" s="45" t="str">
        <x:v>OPD-4-015</x:v>
      </x:c>
      <x:c r="B68" s="46" t="str">
        <x:v>S. Backup, Export, and Restore</x:v>
      </x:c>
      <x:c r="C68" s="46" t="str">
        <x:v>Restore modes</x:v>
      </x:c>
      <x:c r="D68" s="46" t="str">
        <x:v>Support Merge and Replace Local Profile with stronger safeguards for Replace.</x:v>
      </x:c>
      <x:c r="E68" s="60" t="str">
        <x:v>Approved</x:v>
      </x:c>
    </x:row>
    <x:row r="69" ht="42" customHeight="1">
      <x:c r="A69" s="45" t="str">
        <x:v>OPD-4-016</x:v>
      </x:c>
      <x:c r="B69" s="46" t="str">
        <x:v>S. Backup, Export, and Restore</x:v>
      </x:c>
      <x:c r="C69" s="46" t="str">
        <x:v>Human-readable export format</x:v>
      </x:c>
      <x:c r="D69" s="46" t="str">
        <x:v>Use structured JSON plus selected CSV summaries.</x:v>
      </x:c>
      <x:c r="E69" s="60" t="str">
        <x:v>Approved</x:v>
      </x:c>
    </x:row>
    <x:row r="70" ht="42" customHeight="1">
      <x:c r="A70" s="45" t="str">
        <x:v>OPD-4-017</x:v>
      </x:c>
      <x:c r="B70" s="46" t="str">
        <x:v>S. Backup, Export, and Restore</x:v>
      </x:c>
      <x:c r="C70" s="46" t="str">
        <x:v>Partial restore boundaries</x:v>
      </x:c>
      <x:c r="D70" s="46" t="str">
        <x:v>Allow only dependency-safe domain packages.</x:v>
      </x:c>
      <x:c r="E70" s="60" t="str">
        <x:v>Approved</x:v>
      </x:c>
    </x:row>
    <x:row r="71" ht="42" customHeight="1">
      <x:c r="A71" s="45" t="str">
        <x:v>OPD-4-018</x:v>
      </x:c>
      <x:c r="B71" s="46" t="str">
        <x:v>S. Backup, Export, and Restore</x:v>
      </x:c>
      <x:c r="C71" s="46" t="str">
        <x:v>Automatic backup timing</x:v>
      </x:c>
      <x:c r="D71" s="46" t="str">
        <x:v>Defer automatic backup to V1.1.</x:v>
      </x:c>
      <x:c r="E71" s="60" t="str">
        <x:v>Approved</x:v>
      </x:c>
    </x:row>
    <x:row r="72" ht="42" customHeight="1">
      <x:c r="A72" s="45" t="str">
        <x:v>OPD-4-019</x:v>
      </x:c>
      <x:c r="B72" s="46" t="str">
        <x:v>T. Account and Synchronization</x:v>
      </x:c>
      <x:c r="C72" s="46" t="str">
        <x:v>First-sync conflict default</x:v>
      </x:c>
      <x:c r="D72" s="46" t="str">
        <x:v>Never auto-select cloud-wins.</x:v>
      </x:c>
      <x:c r="E72" s="60" t="str">
        <x:v>Approved</x:v>
      </x:c>
    </x:row>
    <x:row r="73" ht="42" customHeight="1">
      <x:c r="A73" s="45" t="str">
        <x:v>OPD-4-020</x:v>
      </x:c>
      <x:c r="B73" s="46" t="str">
        <x:v>T. Account and Synchronization</x:v>
      </x:c>
      <x:c r="C73" s="46" t="str">
        <x:v>Sign-out default</x:v>
      </x:c>
      <x:c r="D73" s="46" t="str">
        <x:v>Retain Local Profile and transition to local-only operation.</x:v>
      </x:c>
      <x:c r="E73" s="60" t="str">
        <x:v>Approved</x:v>
      </x:c>
    </x:row>
    <x:row r="74" ht="42" customHeight="1">
      <x:c r="A74" s="45" t="str">
        <x:v>OPD-4-021</x:v>
      </x:c>
      <x:c r="B74" s="46" t="str">
        <x:v>T. Account and Synchronization</x:v>
      </x:c>
      <x:c r="C74" s="46" t="str">
        <x:v>Cloud-account deletion</x:v>
      </x:c>
      <x:c r="D74" s="46" t="str">
        <x:v>Delete cloud data only; local deletion remains separate.</x:v>
      </x:c>
      <x:c r="E74" s="60" t="str">
        <x:v>Approved</x:v>
      </x:c>
    </x:row>
    <x:row r="75" ht="42" customHeight="1">
      <x:c r="A75" s="45" t="str">
        <x:v>OPD-4-022</x:v>
      </x:c>
      <x:c r="B75" s="46" t="str">
        <x:v>T. Account and Synchronization</x:v>
      </x:c>
      <x:c r="C75" s="46" t="str">
        <x:v>Replacement-device recovery</x:v>
      </x:c>
      <x:c r="D75" s="46" t="str">
        <x:v>Require preview when local data already exists.</x:v>
      </x:c>
      <x:c r="E75" s="60" t="str">
        <x:v>Approved</x:v>
      </x:c>
    </x:row>
    <x:row r="76" ht="42" customHeight="1">
      <x:c r="A76" s="45" t="str">
        <x:v>OPD-4-023</x:v>
      </x:c>
      <x:c r="B76" s="46" t="str">
        <x:v>T. Account and Synchronization</x:v>
      </x:c>
      <x:c r="C76" s="46" t="str">
        <x:v>Conflict granularity</x:v>
      </x:c>
      <x:c r="D76" s="46" t="str">
        <x:v>Auto-reconcile only provably nonconflicting records.</x:v>
      </x:c>
      <x:c r="E76" s="60" t="str">
        <x:v>Approved</x:v>
      </x:c>
    </x:row>
    <x:row r="77" ht="42" customHeight="1">
      <x:c r="A77" s="45" t="str">
        <x:v>OPD-4-024</x:v>
      </x:c>
      <x:c r="B77" s="46" t="str">
        <x:v>T. Account and Synchronization</x:v>
      </x:c>
      <x:c r="C77" s="46" t="str">
        <x:v>Sensitive-category sync</x:v>
      </x:c>
      <x:c r="D77" s="46" t="str">
        <x:v>Private reflections are Extra Private and local-only by default. They may enter cloud synchronization only after a future explicit per-category opt-in exists; until then they remain local-only.</x:v>
      </x:c>
      <x:c r="E77" s="60" t="str">
        <x:v>Approved</x:v>
      </x:c>
    </x:row>
    <x:row r="78" ht="42" customHeight="1">
      <x:c r="A78" s="45" t="str">
        <x:v>OPD-5-001</x:v>
      </x:c>
      <x:c r="B78" s="46" t="str">
        <x:v>U. Notifications and Background Work</x:v>
      </x:c>
      <x:c r="C78" s="46" t="str">
        <x:v>Exact alarm use</x:v>
      </x:c>
      <x:c r="D78" s="46" t="str">
        <x:v>Use exact alarms only for user-selected, clock-time-critical reminders when Android policy permits and the required special access is granted. Otherwise use inexact scheduling with factual delay messaging. Never use exact alarms for synchronization, content checks, backups, or generic maintenance.</x:v>
      </x:c>
      <x:c r="E78" s="60" t="str">
        <x:v>Approved</x:v>
      </x:c>
    </x:row>
    <x:row r="79" ht="42" customHeight="1">
      <x:c r="A79" s="45" t="str">
        <x:v>OPD-5-002</x:v>
      </x:c>
      <x:c r="B79" s="46" t="str">
        <x:v>U. Notifications and Background Work</x:v>
      </x:c>
      <x:c r="C79" s="46" t="str">
        <x:v>Foreground service boundary</x:v>
      </x:c>
      <x:c r="D79" s="46" t="str">
        <x:v>Use only for user-initiated long-running work that Android cannot safely complete otherwise.</x:v>
      </x:c>
      <x:c r="E79" s="60" t="str">
        <x:v>Approved</x:v>
      </x:c>
    </x:row>
    <x:row r="80" ht="42" customHeight="1">
      <x:c r="A80" s="45" t="str">
        <x:v>OPD-5-003</x:v>
      </x:c>
      <x:c r="B80" s="46" t="str">
        <x:v>U. Notifications and Background Work</x:v>
      </x:c>
      <x:c r="C80" s="46" t="str">
        <x:v>Background diagnostic detail</x:v>
      </x:c>
      <x:c r="D80" s="46" t="str">
        <x:v>Show category, state, and timestamps without exposing private payloads.</x:v>
      </x:c>
      <x:c r="E80" s="60" t="str">
        <x:v>Approved</x:v>
      </x:c>
    </x:row>
    <x:row r="81" ht="42" customHeight="1">
      <x:c r="A81" s="45" t="str">
        <x:v>OPD-5-004</x:v>
      </x:c>
      <x:c r="B81" s="46" t="str">
        <x:v>U. Notifications and Background Work</x:v>
      </x:c>
      <x:c r="C81" s="46" t="str">
        <x:v>Content-check cadence</x:v>
      </x:c>
      <x:c r="D81" s="46" t="str">
        <x:v>Attempt an automatic official-content check once every 24 hours when eligible, with operating-system flex and delay allowed. Manual refresh remains available at any time, and failure preserves bundled or last-known-valid content.</x:v>
      </x:c>
      <x:c r="E81" s="60" t="str">
        <x:v>Approved</x:v>
      </x:c>
    </x:row>
    <x:row r="82" ht="42" customHeight="1">
      <x:c r="A82" s="45" t="str">
        <x:v>OPD-5-005</x:v>
      </x:c>
      <x:c r="B82" s="46" t="str">
        <x:v>V. Device-Calendar Manual Import and Export</x:v>
      </x:c>
      <x:c r="C82" s="46" t="str">
        <x:v>Device-calendar import scope</x:v>
      </x:c>
      <x:c r="D82" s="46" t="str">
        <x:v>Default to explicit calendar and date-range selection.</x:v>
      </x:c>
      <x:c r="E82" s="60" t="str">
        <x:v>Approved</x:v>
      </x:c>
    </x:row>
    <x:row r="83" ht="42" customHeight="1">
      <x:c r="A83" s="45" t="str">
        <x:v>OPD-5-006</x:v>
      </x:c>
      <x:c r="B83" s="46" t="str">
        <x:v>V. Device-Calendar Manual Import and Export</x:v>
      </x:c>
      <x:c r="C83" s="46" t="str">
        <x:v>Export update behavior</x:v>
      </x:c>
      <x:c r="D83" s="46" t="str">
        <x:v>When a stable mapping exists, offer Update Existing or Create New; never update silently.</x:v>
      </x:c>
      <x:c r="E83" s="60" t="str">
        <x:v>Approved</x:v>
      </x:c>
    </x:row>
    <x:row r="84" ht="42" customHeight="1">
      <x:c r="A84" s="45" t="str">
        <x:v>OPD-5-007</x:v>
      </x:c>
      <x:c r="B84" s="46" t="str">
        <x:v>V. Device-Calendar Manual Import and Export</x:v>
      </x:c>
      <x:c r="C84" s="46" t="str">
        <x:v>Exported description default</x:v>
      </x:c>
      <x:c r="D84" s="46" t="str">
        <x:v>Default export fields are title, start/end, all-day status, a non-precise location, and an optional fixed non-sensitive source note. Exclude descriptions, user notes, reflections, document references, contribution metadata, and precise coordinates. Show the field preview before commit.</x:v>
      </x:c>
      <x:c r="E84" s="60" t="str">
        <x:v>Approved</x:v>
      </x:c>
    </x:row>
    <x:row r="85" ht="42" customHeight="1">
      <x:c r="A85" s="45" t="str">
        <x:v>OPD-5-008</x:v>
      </x:c>
      <x:c r="B85" s="46" t="str">
        <x:v>V. Device-Calendar Manual Import and Export</x:v>
      </x:c>
      <x:c r="C85" s="46" t="str">
        <x:v>Unsupported recurrence handling</x:v>
      </x:c>
      <x:c r="D85" s="46" t="str">
        <x:v>Import supported occurrences or skip with preview; never flatten silently.</x:v>
      </x:c>
      <x:c r="E85" s="60" t="str">
        <x:v>Approved</x:v>
      </x:c>
    </x:row>
    <x:row r="86" ht="42" customHeight="1">
      <x:c r="A86" s="45" t="str">
        <x:v>OPD-5-009</x:v>
      </x:c>
      <x:c r="B86" s="46" t="str">
        <x:v>V. Device-Calendar Manual Import and Export</x:v>
      </x:c>
      <x:c r="C86" s="46" t="str">
        <x:v>Duplicate exact fingerprint window</x:v>
      </x:c>
      <x:c r="D86" s="46" t="str">
        <x:v>Use provider calendar, normalized title, start, end, all-day flag, and recurrence identity.</x:v>
      </x:c>
      <x:c r="E86" s="60" t="str">
        <x:v>Approved</x:v>
      </x:c>
    </x:row>
    <x:row r="87" ht="42" customHeight="1">
      <x:c r="A87" s="45" t="str">
        <x:v>OPD-5-010</x:v>
      </x:c>
      <x:c r="B87" s="46" t="str">
        <x:v>W. Privacy Lock, Permissions, and Privacy Center</x:v>
      </x:c>
      <x:c r="C87" s="46" t="str">
        <x:v>Privacy Lock fallback</x:v>
      </x:c>
      <x:c r="D87" s="46" t="str">
        <x:v>Use OS biometric authentication when available, with OS device credential as the V1 fallback. Do not implement or store a separate app PIN in V1.</x:v>
      </x:c>
      <x:c r="E87" s="60" t="str">
        <x:v>Approved</x:v>
      </x:c>
    </x:row>
    <x:row r="88" ht="42" customHeight="1">
      <x:c r="A88" s="45" t="str">
        <x:v>OPD-5-011</x:v>
      </x:c>
      <x:c r="B88" s="46" t="str">
        <x:v>W. Privacy Lock, Permissions, and Privacy Center</x:v>
      </x:c>
      <x:c r="C88" s="46" t="str">
        <x:v>Private reflection default</x:v>
      </x:c>
      <x:c r="D88" s="46" t="str">
        <x:v>Private reflections are Extra Private and local-only by default. They may enter cloud synchronization only after a future explicit per-category opt-in exists; until then they remain local-only.</x:v>
      </x:c>
      <x:c r="E88" s="60" t="str">
        <x:v>Approved</x:v>
      </x:c>
    </x:row>
    <x:row r="89" ht="42" customHeight="1">
      <x:c r="A89" s="45" t="str">
        <x:v>OPD-5-012</x:v>
      </x:c>
      <x:c r="B89" s="46" t="str">
        <x:v>W. Privacy Lock, Permissions, and Privacy Center</x:v>
      </x:c>
      <x:c r="C89" s="46" t="str">
        <x:v>App-switcher protection</x:v>
      </x:c>
      <x:c r="D89" s="46" t="str">
        <x:v>Enable the strongest supported obscuring without claiming universal OS coverage.</x:v>
      </x:c>
      <x:c r="E89" s="60" t="str">
        <x:v>Approved</x:v>
      </x:c>
    </x:row>
    <x:row r="90" ht="42" customHeight="1">
      <x:c r="A90" s="45" t="str">
        <x:v>OPD-5-013</x:v>
      </x:c>
      <x:c r="B90" s="46" t="str">
        <x:v>W. Privacy Lock, Permissions, and Privacy Center</x:v>
      </x:c>
      <x:c r="C90" s="46" t="str">
        <x:v>Analytics policy</x:v>
      </x:c>
      <x:c r="D90" s="46" t="str">
        <x:v>No private payload analytics; only aggregate operational events when approved.</x:v>
      </x:c>
      <x:c r="E90" s="60" t="str">
        <x:v>Approved</x:v>
      </x:c>
    </x:row>
    <x:row r="91" ht="42" customHeight="1">
      <x:c r="A91" s="45" t="str">
        <x:v>OPD-5-014</x:v>
      </x:c>
      <x:c r="B91" s="46" t="str">
        <x:v>W. Privacy Lock, Permissions, and Privacy Center</x:v>
      </x:c>
      <x:c r="C91" s="46" t="str">
        <x:v>Local encryption claim</x:v>
      </x:c>
      <x:c r="D91" s="46" t="str">
        <x:v>State only protections actually implemented and verified.</x:v>
      </x:c>
      <x:c r="E91" s="60" t="str">
        <x:v>Approved</x:v>
      </x:c>
    </x:row>
    <x:row r="92" ht="42" customHeight="1">
      <x:c r="A92" s="45" t="str">
        <x:v>OPD-5-015</x:v>
      </x:c>
      <x:c r="B92" s="46" t="str">
        <x:v>X. Settings, Account and Sync Center, and More Screen</x:v>
      </x:c>
      <x:c r="C92" s="46" t="str">
        <x:v>Device-specific preferences</x:v>
      </x:c>
      <x:c r="D92" s="46" t="str">
        <x:v>Keep notification channels, permissions, privacy-lock timeout, and local appearance overrides device-specific.</x:v>
      </x:c>
      <x:c r="E92" s="60" t="str">
        <x:v>Approved</x:v>
      </x:c>
    </x:row>
    <x:row r="93" ht="42" customHeight="1">
      <x:c r="A93" s="45" t="str">
        <x:v>OPD-5-016</x:v>
      </x:c>
      <x:c r="B93" s="46" t="str">
        <x:v>X. Settings, Account and Sync Center, and More Screen</x:v>
      </x:c>
      <x:c r="C93" s="46" t="str">
        <x:v>Globally synchronized preferences</x:v>
      </x:c>
      <x:c r="D93" s="46" t="str">
        <x:v>Use a default-deny allowlist for synchronized preferences. V1 synchronizes no preference merely because an account exists; only preferences explicitly named by an approved vertical-slice specification may sync. Device-specific settings from OPD-5-015 never sync.</x:v>
      </x:c>
      <x:c r="E93" s="60" t="str">
        <x:v>Approved</x:v>
      </x:c>
    </x:row>
    <x:row r="94" ht="42" customHeight="1">
      <x:c r="A94" s="45" t="str">
        <x:v>OPD-5-017</x:v>
      </x:c>
      <x:c r="B94" s="46" t="str">
        <x:v>X. Settings, Account and Sync Center, and More Screen</x:v>
      </x:c>
      <x:c r="C94" s="46" t="str">
        <x:v>Connected-device management</x:v>
      </x:c>
      <x:c r="D94" s="46" t="str">
        <x:v>Allow review and session revocation in V1.1 unless required for launch security.</x:v>
      </x:c>
      <x:c r="E94" s="60" t="str">
        <x:v>Approved</x:v>
      </x:c>
    </x:row>
    <x:row r="95" ht="42" customHeight="1">
      <x:c r="A95" s="45" t="str">
        <x:v>OPD-5-018</x:v>
      </x:c>
      <x:c r="B95" s="46" t="str">
        <x:v>X. Settings, Account and Sync Center, and More Screen</x:v>
      </x:c>
      <x:c r="C95" s="46" t="str">
        <x:v>Remove synchronized data action</x:v>
      </x:c>
      <x:c r="D95" s="46" t="str">
        <x:v>Require backup guidance and separate handling of local-only records.</x:v>
      </x:c>
      <x:c r="E95" s="60" t="str">
        <x:v>Approved</x:v>
      </x:c>
    </x:row>
    <x:row r="96" ht="42" customHeight="1">
      <x:c r="A96" s="48" t="str">
        <x:v>OPD-5-019</x:v>
      </x:c>
      <x:c r="B96" s="49" t="str">
        <x:v>X. Settings, Account and Sync Center, and More Screen</x:v>
      </x:c>
      <x:c r="C96" s="49" t="str">
        <x:v>More information architecture</x:v>
      </x:c>
      <x:c r="D96" s="49" t="str">
        <x:v>Use one canonical destination per settings area with contextual deep links rather than duplicates.</x:v>
      </x:c>
      <x:c r="E96" s="61" t="str">
        <x:v>Approved</x:v>
      </x:c>
    </x:row>
  </x:sheetData>
  <x:pageMargins left="0.7" right="0.7" top="0.75" bottom="0.75" header="0.3" footer="0.3"/>
  <x:tableParts count="1">
    <x:tablePart xmlns:r="http://schemas.openxmlformats.org/officeDocument/2006/relationships" r:id="Ra72b4a37871c491f"/>
  </x:tableParts>
</x:worksheet>
</file>

<file path=xl/worksheets/sheet8.xml><?xml version="1.0" encoding="utf-8"?>
<x:worksheet xmlns:x="http://schemas.openxmlformats.org/spreadsheetml/2006/main">
  <x:sheetFormatPr defaultRowHeight="15"/>
  <x:cols>
    <x:col min="1" max="1" width="44" hidden="0" customWidth="1"/>
    <x:col min="2" max="2" width="12" hidden="0" customWidth="1"/>
    <x:col min="3" max="3" width="18" hidden="0" customWidth="1"/>
    <x:col min="4" max="4" width="75" hidden="0" customWidth="1"/>
  </x:cols>
  <x:sheetData>
    <x:row r="1" ht="34" customHeight="1">
      <x:c r="A1" s="42" t="str">
        <x:v>Report</x:v>
      </x:c>
      <x:c r="B1" s="43" t="str">
        <x:v>Count</x:v>
      </x:c>
      <x:c r="C1" s="43" t="str">
        <x:v>Status</x:v>
      </x:c>
      <x:c r="D1" s="44" t="str">
        <x:v>Notes</x:v>
      </x:c>
    </x:row>
    <x:row r="2" ht="42" customHeight="1">
      <x:c r="A2" s="45" t="str">
        <x:v>Total Functional Requirements</x:v>
      </x:c>
      <x:c r="B2" s="46" t="n">
        <x:v>483</x:v>
      </x:c>
      <x:c r="C2" s="46" t="str">
        <x:v>Complete</x:v>
      </x:c>
      <x:c r="D2" s="47" t="str">
        <x:v>A–X normalized to canonical FR IDs.</x:v>
      </x:c>
    </x:row>
    <x:row r="3" ht="42" customHeight="1">
      <x:c r="A3" s="45" t="str">
        <x:v>Total Business Rules</x:v>
      </x:c>
      <x:c r="B3" s="46" t="n">
        <x:v>251</x:v>
      </x:c>
      <x:c r="C3" s="46" t="str">
        <x:v>Complete</x:v>
      </x:c>
      <x:c r="D3" s="47" t="str">
        <x:v>A–X normalized to canonical BR IDs.</x:v>
      </x:c>
    </x:row>
    <x:row r="4" ht="42" customHeight="1">
      <x:c r="A4" s="45" t="str">
        <x:v>Total Acceptance Criteria</x:v>
      </x:c>
      <x:c r="B4" s="46" t="n">
        <x:v>483</x:v>
      </x:c>
      <x:c r="C4" s="46" t="str">
        <x:v>Complete</x:v>
      </x:c>
      <x:c r="D4" s="47" t="str">
        <x:v>Every FR has a linked AC in the consolidated matrix.</x:v>
      </x:c>
    </x:row>
    <x:row r="5" ht="42" customHeight="1">
      <x:c r="A5" s="45" t="str">
        <x:v>Orphan requirements</x:v>
      </x:c>
      <x:c r="B5" s="46" t="n">
        <x:v>0</x:v>
      </x:c>
      <x:c r="C5" s="46" t="str">
        <x:v>Pass</x:v>
      </x:c>
      <x:c r="D5" s="47" t="str">
        <x:v>Requirements with no direct ADR mapping.</x:v>
      </x:c>
    </x:row>
    <x:row r="6" ht="42" customHeight="1">
      <x:c r="A6" s="45" t="str">
        <x:v>ADRs with no mapped Product Requirement</x:v>
      </x:c>
      <x:c r="B6" s="46" t="n">
        <x:v>1</x:v>
      </x:c>
      <x:c r="C6" s="46" t="str">
        <x:v>Review</x:v>
      </x:c>
      <x:c r="D6" s="47" t="str">
        <x:v>Architecture-only ADRs may be Not product-facing.</x:v>
      </x:c>
    </x:row>
    <x:row r="7" ht="42" customHeight="1">
      <x:c r="A7" s="45" t="str">
        <x:v>Functional Requirements without AC</x:v>
      </x:c>
      <x:c r="B7" s="46" t="n">
        <x:v>0</x:v>
      </x:c>
      <x:c r="C7" s="46" t="str">
        <x:v>Pass</x:v>
      </x:c>
      <x:c r="D7" s="47" t="str">
        <x:v>Acceptance coverage report.</x:v>
      </x:c>
    </x:row>
    <x:row r="8" ht="42" customHeight="1">
      <x:c r="A8" s="45" t="str">
        <x:v>Release blockers without AC</x:v>
      </x:c>
      <x:c r="B8" s="46" t="n">
        <x:v>0</x:v>
      </x:c>
      <x:c r="C8" s="46" t="str">
        <x:v>Pass</x:v>
      </x:c>
      <x:c r="D8" s="47" t="str">
        <x:v>Release-blocker coverage report.</x:v>
      </x:c>
    </x:row>
    <x:row r="9" ht="42" customHeight="1">
      <x:c r="A9" s="45" t="str">
        <x:v>Requirements needing decision</x:v>
      </x:c>
      <x:c r="B9" s="46" t="n">
        <x:v>0</x:v>
      </x:c>
      <x:c r="C9" s="46" t="str">
        <x:v>Pass</x:v>
      </x:c>
      <x:c r="D9" s="47" t="str">
        <x:v>All 95 OPDs approved on 2026-07-26; traceability repairs applied.</x:v>
      </x:c>
    </x:row>
    <x:row r="10" ht="42" customHeight="1">
      <x:c r="A10" s="45" t="str">
        <x:v>V1.1 or Deferred requirements</x:v>
      </x:c>
      <x:c r="B10" s="46" t="n">
        <x:v>5</x:v>
      </x:c>
      <x:c r="C10" s="46" t="str">
        <x:v>Labeled</x:v>
      </x:c>
      <x:c r="D10" s="47" t="str">
        <x:v>Not treated as missing V1 scope.</x:v>
      </x:c>
    </x:row>
    <x:row r="11" ht="42" customHeight="1">
      <x:c r="A11" s="48" t="str">
        <x:v>Contradictions with ADR baseline</x:v>
      </x:c>
      <x:c r="B11" s="49" t="n">
        <x:v>0</x:v>
      </x:c>
      <x:c r="C11" s="49" t="str">
        <x:v>Pass</x:v>
      </x:c>
      <x:c r="D11" s="50" t="str">
        <x:v>No silent contradiction identified in normalization review.</x:v>
      </x:c>
    </x:row>
  </x:sheetData>
  <x:pageMargins left="0.7" right="0.7" top="0.75" bottom="0.75" header="0.3" footer="0.3"/>
  <x:tableParts count="1">
    <x:tablePart xmlns:r="http://schemas.openxmlformats.org/officeDocument/2006/relationships" r:id="R694438b0a89e45f9"/>
  </x:tableParts>
</x:worksheet>
</file>

<file path=xl/worksheets/sheet9.xml><?xml version="1.0" encoding="utf-8"?>
<x:worksheet xmlns:x="http://schemas.openxmlformats.org/spreadsheetml/2006/main">
  <x:sheetFormatPr defaultRowHeight="15"/>
  <x:cols>
    <x:col min="1" max="1" width="15" hidden="0" customWidth="1"/>
    <x:col min="2" max="2" width="39" hidden="0" customWidth="1"/>
    <x:col min="3" max="3" width="58" hidden="0" customWidth="1"/>
    <x:col min="4" max="4" width="28" hidden="0" customWidth="1"/>
    <x:col min="5" max="5" width="54" hidden="0" customWidth="1"/>
    <x:col min="6" max="6" width="24" hidden="0" customWidth="1"/>
    <x:col min="7" max="7" width="18" hidden="0" customWidth="1"/>
    <x:col min="8" max="8" width="18" hidden="0" customWidth="1"/>
    <x:col min="9" max="9" width="36" hidden="0" customWidth="1"/>
    <x:col min="10" max="10" width="34" hidden="0" customWidth="1"/>
    <x:col min="11" max="11" width="20" hidden="0" customWidth="1"/>
    <x:col min="12" max="12" width="24" hidden="0" customWidth="1"/>
  </x:cols>
  <x:sheetData>
    <x:row r="1" ht="42" customHeight="1">
      <x:c r="A1" s="66" t="str">
        <x:v>Requirement ID</x:v>
      </x:c>
      <x:c r="B1" s="67" t="str">
        <x:v>Feature Group</x:v>
      </x:c>
      <x:c r="C1" s="67" t="str">
        <x:v>Requirement summary</x:v>
      </x:c>
      <x:c r="D1" s="67" t="str">
        <x:v>Business Rule IDs</x:v>
      </x:c>
      <x:c r="E1" s="67" t="str">
        <x:v>Source ADR number and title</x:v>
      </x:c>
      <x:c r="F1" s="67" t="str">
        <x:v>Acceptance Criterion IDs</x:v>
      </x:c>
      <x:c r="G1" s="67" t="str">
        <x:v>Release-blocking status</x:v>
      </x:c>
      <x:c r="H1" s="67" t="str">
        <x:v>V1 / V1.1 / Deferred</x:v>
      </x:c>
      <x:c r="I1" s="67" t="str">
        <x:v>Primary vertical slice</x:v>
      </x:c>
      <x:c r="J1" s="67" t="str">
        <x:v>Verification level</x:v>
      </x:c>
      <x:c r="K1" s="67" t="str">
        <x:v>Traceability status</x:v>
      </x:c>
      <x:c r="L1" s="68" t="str">
        <x:v>Open Decision IDs</x:v>
      </x:c>
    </x:row>
    <x:row r="2" ht="42" customHeight="1">
      <x:c r="A2" s="40"/>
      <x:c r="B2" s="40"/>
      <x:c r="C2" s="40"/>
      <x:c r="D2" s="40"/>
      <x:c r="E2" s="40"/>
      <x:c r="F2" s="40"/>
      <x:c r="G2" s="40"/>
      <x:c r="H2" s="40"/>
      <x:c r="I2" s="40"/>
      <x:c r="J2" s="40"/>
      <x:c r="K2" s="40"/>
      <x:c r="L2" s="40"/>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3" hidden="0" customWidth="1"/>
    <x:col min="2" max="2" width="50" hidden="0" customWidth="1"/>
    <x:col min="3" max="3" width="100" hidden="0" customWidth="1"/>
    <x:col min="4" max="4" width="18" hidden="0" customWidth="1"/>
    <x:col min="5" max="5" width="22" hidden="0" customWidth="1"/>
    <x:col min="6" max="6" width="55" hidden="0" customWidth="1"/>
  </x:cols>
  <x:sheetData>
    <x:row r="1" ht="34" customHeight="1">
      <x:c r="A1" s="42" t="str">
        <x:v>ADR number</x:v>
      </x:c>
      <x:c r="B1" s="43" t="str">
        <x:v>ADR title</x:v>
      </x:c>
      <x:c r="C1" s="43" t="str">
        <x:v>Mapped Requirement IDs</x:v>
      </x:c>
      <x:c r="D1" s="43" t="str">
        <x:v>Requirement count</x:v>
      </x:c>
      <x:c r="E1" s="43" t="str">
        <x:v>Traceability status</x:v>
      </x:c>
      <x:c r="F1" s="44" t="str">
        <x:v>Notes</x:v>
      </x:c>
    </x:row>
    <x:row r="2" ht="42" customHeight="1">
      <x:c r="A2" s="45" t="str">
        <x:v>ADR-020</x:v>
      </x:c>
      <x:c r="B2" s="46" t="str">
        <x:v>Flutter Codebase Architecture and Module Boundaries</x:v>
      </x:c>
      <x:c r="C2" s="46" t="str"/>
      <x:c r="D2" s="46" t="n">
        <x:v>0</x:v>
      </x:c>
      <x:c r="E2" s="46" t="str">
        <x:v>Not product-facing</x:v>
      </x:c>
      <x:c r="F2" s="47" t="str">
        <x:v>Flutter module-boundary enforcement belongs primarily to implementation architecture and code-quality traceability.</x:v>
      </x:c>
    </x:row>
    <x:row r="3" ht="42" customHeight="1">
      <x:c r="A3" s="45"/>
      <x:c r="B3" s="46"/>
      <x:c r="C3" s="46"/>
      <x:c r="D3" s="46"/>
      <x:c r="E3" s="46"/>
      <x:c r="F3" s="47"/>
    </x:row>
    <x:row r="4" ht="42" customHeight="1">
      <x:c r="A4" s="48"/>
      <x:c r="B4" s="49"/>
      <x:c r="C4" s="49"/>
      <x:c r="D4" s="49"/>
      <x:c r="E4" s="49"/>
      <x:c r="F4" s="50"/>
    </x:row>
  </x:sheetData>
  <x:pageMargins left="0.7" right="0.7" top="0.75" bottom="0.75" header="0.3" footer="0.3"/>
  <x:tableParts count="1">
    <x:tablePart xmlns:r="http://schemas.openxmlformats.org/officeDocument/2006/relationships" r:id="R1f661c272077418a"/>
  </x:tableParts>
</x:worksheet>
</file>

<file path=xl/worksheets/sheet11.xml><?xml version="1.0" encoding="utf-8"?>
<x:worksheet xmlns:x="http://schemas.openxmlformats.org/spreadsheetml/2006/main">
  <x:sheetFormatPr defaultRowHeight="15"/>
  <x:cols>
    <x:col min="1" max="1" width="15" hidden="0" customWidth="1"/>
    <x:col min="2" max="2" width="39" hidden="0" customWidth="1"/>
    <x:col min="3" max="3" width="58" hidden="0" customWidth="1"/>
    <x:col min="4" max="4" width="28" hidden="0" customWidth="1"/>
    <x:col min="5" max="5" width="54" hidden="0" customWidth="1"/>
    <x:col min="6" max="6" width="24" hidden="0" customWidth="1"/>
    <x:col min="7" max="7" width="18" hidden="0" customWidth="1"/>
    <x:col min="8" max="8" width="18" hidden="0" customWidth="1"/>
    <x:col min="9" max="9" width="36" hidden="0" customWidth="1"/>
    <x:col min="10" max="10" width="34" hidden="0" customWidth="1"/>
    <x:col min="11" max="11" width="20" hidden="0" customWidth="1"/>
    <x:col min="12" max="12" width="24" hidden="0" customWidth="1"/>
  </x:cols>
  <x:sheetData>
    <x:row r="1" ht="42" customHeight="1">
      <x:c r="A1" s="66" t="str">
        <x:v>Requirement ID</x:v>
      </x:c>
      <x:c r="B1" s="67" t="str">
        <x:v>Feature Group</x:v>
      </x:c>
      <x:c r="C1" s="67" t="str">
        <x:v>Requirement summary</x:v>
      </x:c>
      <x:c r="D1" s="67" t="str">
        <x:v>Business Rule IDs</x:v>
      </x:c>
      <x:c r="E1" s="67" t="str">
        <x:v>Source ADR number and title</x:v>
      </x:c>
      <x:c r="F1" s="67" t="str">
        <x:v>Acceptance Criterion IDs</x:v>
      </x:c>
      <x:c r="G1" s="67" t="str">
        <x:v>Release-blocking status</x:v>
      </x:c>
      <x:c r="H1" s="67" t="str">
        <x:v>V1 / V1.1 / Deferred</x:v>
      </x:c>
      <x:c r="I1" s="67" t="str">
        <x:v>Primary vertical slice</x:v>
      </x:c>
      <x:c r="J1" s="67" t="str">
        <x:v>Verification level</x:v>
      </x:c>
      <x:c r="K1" s="67" t="str">
        <x:v>Traceability status</x:v>
      </x:c>
      <x:c r="L1" s="68" t="str">
        <x:v>Open Decision IDs</x:v>
      </x:c>
    </x:row>
    <x:row r="2" ht="42" customHeight="1">
      <x:c r="A2" s="40"/>
      <x:c r="B2" s="40"/>
      <x:c r="C2" s="40"/>
      <x:c r="D2" s="40"/>
      <x:c r="E2" s="40"/>
      <x:c r="F2" s="40"/>
      <x:c r="G2" s="40"/>
      <x:c r="H2" s="40"/>
      <x:c r="I2" s="40"/>
      <x:c r="J2" s="40"/>
      <x:c r="K2" s="40"/>
      <x:c r="L2" s="40"/>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5" hidden="0" customWidth="1"/>
    <x:col min="2" max="2" width="39" hidden="0" customWidth="1"/>
    <x:col min="3" max="3" width="58" hidden="0" customWidth="1"/>
    <x:col min="4" max="4" width="28" hidden="0" customWidth="1"/>
    <x:col min="5" max="5" width="54" hidden="0" customWidth="1"/>
    <x:col min="6" max="6" width="24" hidden="0" customWidth="1"/>
    <x:col min="7" max="7" width="18" hidden="0" customWidth="1"/>
    <x:col min="8" max="8" width="18" hidden="0" customWidth="1"/>
    <x:col min="9" max="9" width="36" hidden="0" customWidth="1"/>
    <x:col min="10" max="10" width="34" hidden="0" customWidth="1"/>
    <x:col min="11" max="11" width="20" hidden="0" customWidth="1"/>
    <x:col min="12" max="12" width="24" hidden="0" customWidth="1"/>
  </x:cols>
  <x:sheetData>
    <x:row r="1" ht="42" customHeight="1">
      <x:c r="A1" s="66" t="str">
        <x:v>Requirement ID</x:v>
      </x:c>
      <x:c r="B1" s="67" t="str">
        <x:v>Feature Group</x:v>
      </x:c>
      <x:c r="C1" s="67" t="str">
        <x:v>Requirement summary</x:v>
      </x:c>
      <x:c r="D1" s="67" t="str">
        <x:v>Business Rule IDs</x:v>
      </x:c>
      <x:c r="E1" s="67" t="str">
        <x:v>Source ADR number and title</x:v>
      </x:c>
      <x:c r="F1" s="67" t="str">
        <x:v>Acceptance Criterion IDs</x:v>
      </x:c>
      <x:c r="G1" s="67" t="str">
        <x:v>Release-blocking status</x:v>
      </x:c>
      <x:c r="H1" s="67" t="str">
        <x:v>V1 / V1.1 / Deferred</x:v>
      </x:c>
      <x:c r="I1" s="67" t="str">
        <x:v>Primary vertical slice</x:v>
      </x:c>
      <x:c r="J1" s="67" t="str">
        <x:v>Verification level</x:v>
      </x:c>
      <x:c r="K1" s="67" t="str">
        <x:v>Traceability status</x:v>
      </x:c>
      <x:c r="L1" s="68" t="str">
        <x:v>Open Decision IDs</x:v>
      </x:c>
    </x:row>
    <x:row r="2" ht="42" customHeight="1">
      <x:c r="A2" s="40"/>
      <x:c r="B2" s="40"/>
      <x:c r="C2" s="40"/>
      <x:c r="D2" s="40"/>
      <x:c r="E2" s="40"/>
      <x:c r="F2" s="40"/>
      <x:c r="G2" s="40"/>
      <x:c r="H2" s="40"/>
      <x:c r="I2" s="40"/>
      <x:c r="J2" s="40"/>
      <x:c r="K2" s="40"/>
      <x:c r="L2" s="40"/>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5" hidden="0" customWidth="1"/>
    <x:col min="2" max="2" width="39" hidden="0" customWidth="1"/>
    <x:col min="3" max="3" width="58" hidden="0" customWidth="1"/>
    <x:col min="4" max="4" width="28" hidden="0" customWidth="1"/>
    <x:col min="5" max="5" width="54" hidden="0" customWidth="1"/>
    <x:col min="6" max="6" width="24" hidden="0" customWidth="1"/>
    <x:col min="7" max="7" width="18" hidden="0" customWidth="1"/>
    <x:col min="8" max="8" width="18" hidden="0" customWidth="1"/>
    <x:col min="9" max="9" width="36" hidden="0" customWidth="1"/>
    <x:col min="10" max="10" width="34" hidden="0" customWidth="1"/>
    <x:col min="11" max="11" width="20" hidden="0" customWidth="1"/>
    <x:col min="12" max="12" width="24" hidden="0" customWidth="1"/>
  </x:cols>
  <x:sheetData>
    <x:row r="1" ht="34" customHeight="1">
      <x:c r="A1" s="42" t="str">
        <x:v>Requirement ID</x:v>
      </x:c>
      <x:c r="B1" s="43" t="str">
        <x:v>Feature Group</x:v>
      </x:c>
      <x:c r="C1" s="43" t="str">
        <x:v>Requirement summary</x:v>
      </x:c>
      <x:c r="D1" s="43" t="str">
        <x:v>Business Rule IDs</x:v>
      </x:c>
      <x:c r="E1" s="43" t="str">
        <x:v>Source ADR number and title</x:v>
      </x:c>
      <x:c r="F1" s="43" t="str">
        <x:v>Acceptance Criterion IDs</x:v>
      </x:c>
      <x:c r="G1" s="43" t="str">
        <x:v>Release-blocking status</x:v>
      </x:c>
      <x:c r="H1" s="43" t="str">
        <x:v>V1 / V1.1 / Deferred</x:v>
      </x:c>
      <x:c r="I1" s="43" t="str">
        <x:v>Primary vertical slice</x:v>
      </x:c>
      <x:c r="J1" s="43" t="str">
        <x:v>Verification level</x:v>
      </x:c>
      <x:c r="K1" s="43" t="str">
        <x:v>Traceability status</x:v>
      </x:c>
      <x:c r="L1" s="44" t="str">
        <x:v>Open Decision IDs</x:v>
      </x:c>
    </x:row>
    <x:row r="2" ht="42" customHeight="1">
      <x:c r="A2" s="45" t="str">
        <x:v>No unresolved Product Decisions. All 95 OPDs approved on 2026-07-26.</x:v>
      </x:c>
      <x:c r="B2" s="46"/>
      <x:c r="C2" s="46"/>
      <x:c r="D2" s="46"/>
      <x:c r="E2" s="46"/>
      <x:c r="F2" s="46"/>
      <x:c r="G2" s="46"/>
      <x:c r="H2" s="46"/>
      <x:c r="I2" s="46"/>
      <x:c r="J2" s="46"/>
      <x:c r="K2" s="46"/>
      <x:c r="L2" s="47"/>
    </x:row>
    <x:row r="3" ht="42" customHeight="1">
      <x:c r="A3" s="45"/>
      <x:c r="B3" s="46"/>
      <x:c r="C3" s="46"/>
      <x:c r="D3" s="46"/>
      <x:c r="E3" s="46"/>
      <x:c r="F3" s="46"/>
      <x:c r="G3" s="46"/>
      <x:c r="H3" s="46"/>
      <x:c r="I3" s="46"/>
      <x:c r="J3" s="46"/>
      <x:c r="K3" s="46"/>
      <x:c r="L3" s="47"/>
    </x:row>
    <x:row r="4" ht="42" customHeight="1">
      <x:c r="A4" s="45"/>
      <x:c r="B4" s="46"/>
      <x:c r="C4" s="46"/>
      <x:c r="D4" s="46"/>
      <x:c r="E4" s="46"/>
      <x:c r="F4" s="46"/>
      <x:c r="G4" s="46"/>
      <x:c r="H4" s="46"/>
      <x:c r="I4" s="46"/>
      <x:c r="J4" s="46"/>
      <x:c r="K4" s="46"/>
      <x:c r="L4" s="47"/>
    </x:row>
    <x:row r="5" ht="42" customHeight="1">
      <x:c r="A5" s="45"/>
      <x:c r="B5" s="46"/>
      <x:c r="C5" s="46"/>
      <x:c r="D5" s="46"/>
      <x:c r="E5" s="46"/>
      <x:c r="F5" s="46"/>
      <x:c r="G5" s="46"/>
      <x:c r="H5" s="46"/>
      <x:c r="I5" s="46"/>
      <x:c r="J5" s="46"/>
      <x:c r="K5" s="46"/>
      <x:c r="L5" s="47"/>
    </x:row>
    <x:row r="6" ht="42" customHeight="1">
      <x:c r="A6" s="45"/>
      <x:c r="B6" s="46"/>
      <x:c r="C6" s="46"/>
      <x:c r="D6" s="46"/>
      <x:c r="E6" s="46"/>
      <x:c r="F6" s="46"/>
      <x:c r="G6" s="46"/>
      <x:c r="H6" s="46"/>
      <x:c r="I6" s="46"/>
      <x:c r="J6" s="46"/>
      <x:c r="K6" s="46"/>
      <x:c r="L6" s="47"/>
    </x:row>
    <x:row r="7" ht="42" customHeight="1">
      <x:c r="A7" s="45"/>
      <x:c r="B7" s="46"/>
      <x:c r="C7" s="46"/>
      <x:c r="D7" s="46"/>
      <x:c r="E7" s="46"/>
      <x:c r="F7" s="46"/>
      <x:c r="G7" s="46"/>
      <x:c r="H7" s="46"/>
      <x:c r="I7" s="46"/>
      <x:c r="J7" s="46"/>
      <x:c r="K7" s="46"/>
      <x:c r="L7" s="47"/>
    </x:row>
    <x:row r="8" ht="42" customHeight="1">
      <x:c r="A8" s="45"/>
      <x:c r="B8" s="46"/>
      <x:c r="C8" s="46"/>
      <x:c r="D8" s="46"/>
      <x:c r="E8" s="46"/>
      <x:c r="F8" s="46"/>
      <x:c r="G8" s="46"/>
      <x:c r="H8" s="46"/>
      <x:c r="I8" s="46"/>
      <x:c r="J8" s="46"/>
      <x:c r="K8" s="46"/>
      <x:c r="L8" s="47"/>
    </x:row>
    <x:row r="9" ht="42" customHeight="1">
      <x:c r="A9" s="45"/>
      <x:c r="B9" s="46"/>
      <x:c r="C9" s="46"/>
      <x:c r="D9" s="46"/>
      <x:c r="E9" s="46"/>
      <x:c r="F9" s="46"/>
      <x:c r="G9" s="46"/>
      <x:c r="H9" s="46"/>
      <x:c r="I9" s="46"/>
      <x:c r="J9" s="46"/>
      <x:c r="K9" s="46"/>
      <x:c r="L9" s="47"/>
    </x:row>
    <x:row r="10" ht="42" customHeight="1">
      <x:c r="A10" s="45"/>
      <x:c r="B10" s="46"/>
      <x:c r="C10" s="46"/>
      <x:c r="D10" s="46"/>
      <x:c r="E10" s="46"/>
      <x:c r="F10" s="46"/>
      <x:c r="G10" s="46"/>
      <x:c r="H10" s="46"/>
      <x:c r="I10" s="46"/>
      <x:c r="J10" s="46"/>
      <x:c r="K10" s="46"/>
      <x:c r="L10" s="47"/>
    </x:row>
    <x:row r="11" ht="42" customHeight="1">
      <x:c r="A11" s="45"/>
      <x:c r="B11" s="46"/>
      <x:c r="C11" s="46"/>
      <x:c r="D11" s="46"/>
      <x:c r="E11" s="46"/>
      <x:c r="F11" s="46"/>
      <x:c r="G11" s="46"/>
      <x:c r="H11" s="46"/>
      <x:c r="I11" s="46"/>
      <x:c r="J11" s="46"/>
      <x:c r="K11" s="46"/>
      <x:c r="L11" s="47"/>
    </x:row>
    <x:row r="12" ht="42" customHeight="1">
      <x:c r="A12" s="45"/>
      <x:c r="B12" s="46"/>
      <x:c r="C12" s="46"/>
      <x:c r="D12" s="46"/>
      <x:c r="E12" s="46"/>
      <x:c r="F12" s="46"/>
      <x:c r="G12" s="46"/>
      <x:c r="H12" s="46"/>
      <x:c r="I12" s="46"/>
      <x:c r="J12" s="46"/>
      <x:c r="K12" s="46"/>
      <x:c r="L12" s="47"/>
    </x:row>
    <x:row r="13" ht="42" customHeight="1">
      <x:c r="A13" s="45"/>
      <x:c r="B13" s="46"/>
      <x:c r="C13" s="46"/>
      <x:c r="D13" s="46"/>
      <x:c r="E13" s="46"/>
      <x:c r="F13" s="46"/>
      <x:c r="G13" s="46"/>
      <x:c r="H13" s="46"/>
      <x:c r="I13" s="46"/>
      <x:c r="J13" s="46"/>
      <x:c r="K13" s="46"/>
      <x:c r="L13" s="47"/>
    </x:row>
    <x:row r="14" ht="42" customHeight="1">
      <x:c r="A14" s="45"/>
      <x:c r="B14" s="46"/>
      <x:c r="C14" s="46"/>
      <x:c r="D14" s="46"/>
      <x:c r="E14" s="46"/>
      <x:c r="F14" s="46"/>
      <x:c r="G14" s="46"/>
      <x:c r="H14" s="46"/>
      <x:c r="I14" s="46"/>
      <x:c r="J14" s="46"/>
      <x:c r="K14" s="46"/>
      <x:c r="L14" s="47"/>
    </x:row>
    <x:row r="15" ht="42" customHeight="1">
      <x:c r="A15" s="45"/>
      <x:c r="B15" s="46"/>
      <x:c r="C15" s="46"/>
      <x:c r="D15" s="46"/>
      <x:c r="E15" s="46"/>
      <x:c r="F15" s="46"/>
      <x:c r="G15" s="46"/>
      <x:c r="H15" s="46"/>
      <x:c r="I15" s="46"/>
      <x:c r="J15" s="46"/>
      <x:c r="K15" s="46"/>
      <x:c r="L15" s="47"/>
    </x:row>
    <x:row r="16" ht="42" customHeight="1">
      <x:c r="A16" s="45"/>
      <x:c r="B16" s="46"/>
      <x:c r="C16" s="46"/>
      <x:c r="D16" s="46"/>
      <x:c r="E16" s="46"/>
      <x:c r="F16" s="46"/>
      <x:c r="G16" s="46"/>
      <x:c r="H16" s="46"/>
      <x:c r="I16" s="46"/>
      <x:c r="J16" s="46"/>
      <x:c r="K16" s="46"/>
      <x:c r="L16" s="47"/>
    </x:row>
    <x:row r="17" ht="42" customHeight="1">
      <x:c r="A17" s="45"/>
      <x:c r="B17" s="46"/>
      <x:c r="C17" s="46"/>
      <x:c r="D17" s="46"/>
      <x:c r="E17" s="46"/>
      <x:c r="F17" s="46"/>
      <x:c r="G17" s="46"/>
      <x:c r="H17" s="46"/>
      <x:c r="I17" s="46"/>
      <x:c r="J17" s="46"/>
      <x:c r="K17" s="46"/>
      <x:c r="L17" s="47"/>
    </x:row>
    <x:row r="18" ht="42" customHeight="1">
      <x:c r="A18" s="45"/>
      <x:c r="B18" s="46"/>
      <x:c r="C18" s="46"/>
      <x:c r="D18" s="46"/>
      <x:c r="E18" s="46"/>
      <x:c r="F18" s="46"/>
      <x:c r="G18" s="46"/>
      <x:c r="H18" s="46"/>
      <x:c r="I18" s="46"/>
      <x:c r="J18" s="46"/>
      <x:c r="K18" s="46"/>
      <x:c r="L18" s="47"/>
    </x:row>
    <x:row r="19" ht="42" customHeight="1">
      <x:c r="A19" s="45"/>
      <x:c r="B19" s="46"/>
      <x:c r="C19" s="46"/>
      <x:c r="D19" s="46"/>
      <x:c r="E19" s="46"/>
      <x:c r="F19" s="46"/>
      <x:c r="G19" s="46"/>
      <x:c r="H19" s="46"/>
      <x:c r="I19" s="46"/>
      <x:c r="J19" s="46"/>
      <x:c r="K19" s="46"/>
      <x:c r="L19" s="47"/>
    </x:row>
    <x:row r="20" ht="42" customHeight="1">
      <x:c r="A20" s="45"/>
      <x:c r="B20" s="46"/>
      <x:c r="C20" s="46"/>
      <x:c r="D20" s="46"/>
      <x:c r="E20" s="46"/>
      <x:c r="F20" s="46"/>
      <x:c r="G20" s="46"/>
      <x:c r="H20" s="46"/>
      <x:c r="I20" s="46"/>
      <x:c r="J20" s="46"/>
      <x:c r="K20" s="46"/>
      <x:c r="L20" s="47"/>
    </x:row>
    <x:row r="21" ht="42" customHeight="1">
      <x:c r="A21" s="45"/>
      <x:c r="B21" s="46"/>
      <x:c r="C21" s="46"/>
      <x:c r="D21" s="46"/>
      <x:c r="E21" s="46"/>
      <x:c r="F21" s="46"/>
      <x:c r="G21" s="46"/>
      <x:c r="H21" s="46"/>
      <x:c r="I21" s="46"/>
      <x:c r="J21" s="46"/>
      <x:c r="K21" s="46"/>
      <x:c r="L21" s="47"/>
    </x:row>
    <x:row r="22" ht="42" customHeight="1">
      <x:c r="A22" s="45"/>
      <x:c r="B22" s="46"/>
      <x:c r="C22" s="46"/>
      <x:c r="D22" s="46"/>
      <x:c r="E22" s="46"/>
      <x:c r="F22" s="46"/>
      <x:c r="G22" s="46"/>
      <x:c r="H22" s="46"/>
      <x:c r="I22" s="46"/>
      <x:c r="J22" s="46"/>
      <x:c r="K22" s="46"/>
      <x:c r="L22" s="47"/>
    </x:row>
    <x:row r="23" ht="42" customHeight="1">
      <x:c r="A23" s="45"/>
      <x:c r="B23" s="46"/>
      <x:c r="C23" s="46"/>
      <x:c r="D23" s="46"/>
      <x:c r="E23" s="46"/>
      <x:c r="F23" s="46"/>
      <x:c r="G23" s="46"/>
      <x:c r="H23" s="46"/>
      <x:c r="I23" s="46"/>
      <x:c r="J23" s="46"/>
      <x:c r="K23" s="46"/>
      <x:c r="L23" s="47"/>
    </x:row>
    <x:row r="24" ht="42" customHeight="1">
      <x:c r="A24" s="45"/>
      <x:c r="B24" s="46"/>
      <x:c r="C24" s="46"/>
      <x:c r="D24" s="46"/>
      <x:c r="E24" s="46"/>
      <x:c r="F24" s="46"/>
      <x:c r="G24" s="46"/>
      <x:c r="H24" s="46"/>
      <x:c r="I24" s="46"/>
      <x:c r="J24" s="46"/>
      <x:c r="K24" s="46"/>
      <x:c r="L24" s="47"/>
    </x:row>
    <x:row r="25" ht="42" customHeight="1">
      <x:c r="A25" s="45"/>
      <x:c r="B25" s="46"/>
      <x:c r="C25" s="46"/>
      <x:c r="D25" s="46"/>
      <x:c r="E25" s="46"/>
      <x:c r="F25" s="46"/>
      <x:c r="G25" s="46"/>
      <x:c r="H25" s="46"/>
      <x:c r="I25" s="46"/>
      <x:c r="J25" s="46"/>
      <x:c r="K25" s="46"/>
      <x:c r="L25" s="47"/>
    </x:row>
    <x:row r="26" ht="42" customHeight="1">
      <x:c r="A26" s="45"/>
      <x:c r="B26" s="46"/>
      <x:c r="C26" s="46"/>
      <x:c r="D26" s="46"/>
      <x:c r="E26" s="46"/>
      <x:c r="F26" s="46"/>
      <x:c r="G26" s="46"/>
      <x:c r="H26" s="46"/>
      <x:c r="I26" s="46"/>
      <x:c r="J26" s="46"/>
      <x:c r="K26" s="46"/>
      <x:c r="L26" s="47"/>
    </x:row>
    <x:row r="27" ht="42" customHeight="1">
      <x:c r="A27" s="45"/>
      <x:c r="B27" s="46"/>
      <x:c r="C27" s="46"/>
      <x:c r="D27" s="46"/>
      <x:c r="E27" s="46"/>
      <x:c r="F27" s="46"/>
      <x:c r="G27" s="46"/>
      <x:c r="H27" s="46"/>
      <x:c r="I27" s="46"/>
      <x:c r="J27" s="46"/>
      <x:c r="K27" s="46"/>
      <x:c r="L27" s="47"/>
    </x:row>
    <x:row r="28" ht="42" customHeight="1">
      <x:c r="A28" s="45"/>
      <x:c r="B28" s="46"/>
      <x:c r="C28" s="46"/>
      <x:c r="D28" s="46"/>
      <x:c r="E28" s="46"/>
      <x:c r="F28" s="46"/>
      <x:c r="G28" s="46"/>
      <x:c r="H28" s="46"/>
      <x:c r="I28" s="46"/>
      <x:c r="J28" s="46"/>
      <x:c r="K28" s="46"/>
      <x:c r="L28" s="47"/>
    </x:row>
    <x:row r="29" ht="42" customHeight="1">
      <x:c r="A29" s="45"/>
      <x:c r="B29" s="46"/>
      <x:c r="C29" s="46"/>
      <x:c r="D29" s="46"/>
      <x:c r="E29" s="46"/>
      <x:c r="F29" s="46"/>
      <x:c r="G29" s="46"/>
      <x:c r="H29" s="46"/>
      <x:c r="I29" s="46"/>
      <x:c r="J29" s="46"/>
      <x:c r="K29" s="46"/>
      <x:c r="L29" s="47"/>
    </x:row>
    <x:row r="30" ht="42" customHeight="1">
      <x:c r="A30" s="45"/>
      <x:c r="B30" s="46"/>
      <x:c r="C30" s="46"/>
      <x:c r="D30" s="46"/>
      <x:c r="E30" s="46"/>
      <x:c r="F30" s="46"/>
      <x:c r="G30" s="46"/>
      <x:c r="H30" s="46"/>
      <x:c r="I30" s="46"/>
      <x:c r="J30" s="46"/>
      <x:c r="K30" s="46"/>
      <x:c r="L30" s="47"/>
    </x:row>
    <x:row r="31" ht="42" customHeight="1">
      <x:c r="A31" s="45"/>
      <x:c r="B31" s="46"/>
      <x:c r="C31" s="46"/>
      <x:c r="D31" s="46"/>
      <x:c r="E31" s="46"/>
      <x:c r="F31" s="46"/>
      <x:c r="G31" s="46"/>
      <x:c r="H31" s="46"/>
      <x:c r="I31" s="46"/>
      <x:c r="J31" s="46"/>
      <x:c r="K31" s="46"/>
      <x:c r="L31" s="47"/>
    </x:row>
    <x:row r="32" ht="42" customHeight="1">
      <x:c r="A32" s="45"/>
      <x:c r="B32" s="46"/>
      <x:c r="C32" s="46"/>
      <x:c r="D32" s="46"/>
      <x:c r="E32" s="46"/>
      <x:c r="F32" s="46"/>
      <x:c r="G32" s="46"/>
      <x:c r="H32" s="46"/>
      <x:c r="I32" s="46"/>
      <x:c r="J32" s="46"/>
      <x:c r="K32" s="46"/>
      <x:c r="L32" s="47"/>
    </x:row>
    <x:row r="33" ht="42" customHeight="1">
      <x:c r="A33" s="45"/>
      <x:c r="B33" s="46"/>
      <x:c r="C33" s="46"/>
      <x:c r="D33" s="46"/>
      <x:c r="E33" s="46"/>
      <x:c r="F33" s="46"/>
      <x:c r="G33" s="46"/>
      <x:c r="H33" s="46"/>
      <x:c r="I33" s="46"/>
      <x:c r="J33" s="46"/>
      <x:c r="K33" s="46"/>
      <x:c r="L33" s="47"/>
    </x:row>
    <x:row r="34" ht="42" customHeight="1">
      <x:c r="A34" s="45"/>
      <x:c r="B34" s="46"/>
      <x:c r="C34" s="46"/>
      <x:c r="D34" s="46"/>
      <x:c r="E34" s="46"/>
      <x:c r="F34" s="46"/>
      <x:c r="G34" s="46"/>
      <x:c r="H34" s="46"/>
      <x:c r="I34" s="46"/>
      <x:c r="J34" s="46"/>
      <x:c r="K34" s="46"/>
      <x:c r="L34" s="47"/>
    </x:row>
    <x:row r="35" ht="42" customHeight="1">
      <x:c r="A35" s="45"/>
      <x:c r="B35" s="46"/>
      <x:c r="C35" s="46"/>
      <x:c r="D35" s="46"/>
      <x:c r="E35" s="46"/>
      <x:c r="F35" s="46"/>
      <x:c r="G35" s="46"/>
      <x:c r="H35" s="46"/>
      <x:c r="I35" s="46"/>
      <x:c r="J35" s="46"/>
      <x:c r="K35" s="46"/>
      <x:c r="L35" s="47"/>
    </x:row>
    <x:row r="36" ht="42" customHeight="1">
      <x:c r="A36" s="45"/>
      <x:c r="B36" s="46"/>
      <x:c r="C36" s="46"/>
      <x:c r="D36" s="46"/>
      <x:c r="E36" s="46"/>
      <x:c r="F36" s="46"/>
      <x:c r="G36" s="46"/>
      <x:c r="H36" s="46"/>
      <x:c r="I36" s="46"/>
      <x:c r="J36" s="46"/>
      <x:c r="K36" s="46"/>
      <x:c r="L36" s="47"/>
    </x:row>
    <x:row r="37" ht="42" customHeight="1">
      <x:c r="A37" s="45"/>
      <x:c r="B37" s="46"/>
      <x:c r="C37" s="46"/>
      <x:c r="D37" s="46"/>
      <x:c r="E37" s="46"/>
      <x:c r="F37" s="46"/>
      <x:c r="G37" s="46"/>
      <x:c r="H37" s="46"/>
      <x:c r="I37" s="46"/>
      <x:c r="J37" s="46"/>
      <x:c r="K37" s="46"/>
      <x:c r="L37" s="47"/>
    </x:row>
    <x:row r="38" ht="42" customHeight="1">
      <x:c r="A38" s="45"/>
      <x:c r="B38" s="46"/>
      <x:c r="C38" s="46"/>
      <x:c r="D38" s="46"/>
      <x:c r="E38" s="46"/>
      <x:c r="F38" s="46"/>
      <x:c r="G38" s="46"/>
      <x:c r="H38" s="46"/>
      <x:c r="I38" s="46"/>
      <x:c r="J38" s="46"/>
      <x:c r="K38" s="46"/>
      <x:c r="L38" s="47"/>
    </x:row>
    <x:row r="39" ht="42" customHeight="1">
      <x:c r="A39" s="45"/>
      <x:c r="B39" s="46"/>
      <x:c r="C39" s="46"/>
      <x:c r="D39" s="46"/>
      <x:c r="E39" s="46"/>
      <x:c r="F39" s="46"/>
      <x:c r="G39" s="46"/>
      <x:c r="H39" s="46"/>
      <x:c r="I39" s="46"/>
      <x:c r="J39" s="46"/>
      <x:c r="K39" s="46"/>
      <x:c r="L39" s="47"/>
    </x:row>
    <x:row r="40" ht="42" customHeight="1">
      <x:c r="A40" s="45"/>
      <x:c r="B40" s="46"/>
      <x:c r="C40" s="46"/>
      <x:c r="D40" s="46"/>
      <x:c r="E40" s="46"/>
      <x:c r="F40" s="46"/>
      <x:c r="G40" s="46"/>
      <x:c r="H40" s="46"/>
      <x:c r="I40" s="46"/>
      <x:c r="J40" s="46"/>
      <x:c r="K40" s="46"/>
      <x:c r="L40" s="47"/>
    </x:row>
    <x:row r="41" ht="42" customHeight="1">
      <x:c r="A41" s="45"/>
      <x:c r="B41" s="46"/>
      <x:c r="C41" s="46"/>
      <x:c r="D41" s="46"/>
      <x:c r="E41" s="46"/>
      <x:c r="F41" s="46"/>
      <x:c r="G41" s="46"/>
      <x:c r="H41" s="46"/>
      <x:c r="I41" s="46"/>
      <x:c r="J41" s="46"/>
      <x:c r="K41" s="46"/>
      <x:c r="L41" s="47"/>
    </x:row>
    <x:row r="42" ht="42" customHeight="1">
      <x:c r="A42" s="45"/>
      <x:c r="B42" s="46"/>
      <x:c r="C42" s="46"/>
      <x:c r="D42" s="46"/>
      <x:c r="E42" s="46"/>
      <x:c r="F42" s="46"/>
      <x:c r="G42" s="46"/>
      <x:c r="H42" s="46"/>
      <x:c r="I42" s="46"/>
      <x:c r="J42" s="46"/>
      <x:c r="K42" s="46"/>
      <x:c r="L42" s="47"/>
    </x:row>
    <x:row r="43" ht="42" customHeight="1">
      <x:c r="A43" s="45"/>
      <x:c r="B43" s="46"/>
      <x:c r="C43" s="46"/>
      <x:c r="D43" s="46"/>
      <x:c r="E43" s="46"/>
      <x:c r="F43" s="46"/>
      <x:c r="G43" s="46"/>
      <x:c r="H43" s="46"/>
      <x:c r="I43" s="46"/>
      <x:c r="J43" s="46"/>
      <x:c r="K43" s="46"/>
      <x:c r="L43" s="47"/>
    </x:row>
    <x:row r="44" ht="42" customHeight="1">
      <x:c r="A44" s="45"/>
      <x:c r="B44" s="46"/>
      <x:c r="C44" s="46"/>
      <x:c r="D44" s="46"/>
      <x:c r="E44" s="46"/>
      <x:c r="F44" s="46"/>
      <x:c r="G44" s="46"/>
      <x:c r="H44" s="46"/>
      <x:c r="I44" s="46"/>
      <x:c r="J44" s="46"/>
      <x:c r="K44" s="46"/>
      <x:c r="L44" s="47"/>
    </x:row>
    <x:row r="45" ht="42" customHeight="1">
      <x:c r="A45" s="45"/>
      <x:c r="B45" s="46"/>
      <x:c r="C45" s="46"/>
      <x:c r="D45" s="46"/>
      <x:c r="E45" s="46"/>
      <x:c r="F45" s="46"/>
      <x:c r="G45" s="46"/>
      <x:c r="H45" s="46"/>
      <x:c r="I45" s="46"/>
      <x:c r="J45" s="46"/>
      <x:c r="K45" s="46"/>
      <x:c r="L45" s="47"/>
    </x:row>
    <x:row r="46" ht="42" customHeight="1">
      <x:c r="A46" s="45"/>
      <x:c r="B46" s="46"/>
      <x:c r="C46" s="46"/>
      <x:c r="D46" s="46"/>
      <x:c r="E46" s="46"/>
      <x:c r="F46" s="46"/>
      <x:c r="G46" s="46"/>
      <x:c r="H46" s="46"/>
      <x:c r="I46" s="46"/>
      <x:c r="J46" s="46"/>
      <x:c r="K46" s="46"/>
      <x:c r="L46" s="47"/>
    </x:row>
    <x:row r="47" ht="42" customHeight="1">
      <x:c r="A47" s="45"/>
      <x:c r="B47" s="46"/>
      <x:c r="C47" s="46"/>
      <x:c r="D47" s="46"/>
      <x:c r="E47" s="46"/>
      <x:c r="F47" s="46"/>
      <x:c r="G47" s="46"/>
      <x:c r="H47" s="46"/>
      <x:c r="I47" s="46"/>
      <x:c r="J47" s="46"/>
      <x:c r="K47" s="46"/>
      <x:c r="L47" s="47"/>
    </x:row>
    <x:row r="48" ht="42" customHeight="1">
      <x:c r="A48" s="45"/>
      <x:c r="B48" s="46"/>
      <x:c r="C48" s="46"/>
      <x:c r="D48" s="46"/>
      <x:c r="E48" s="46"/>
      <x:c r="F48" s="46"/>
      <x:c r="G48" s="46"/>
      <x:c r="H48" s="46"/>
      <x:c r="I48" s="46"/>
      <x:c r="J48" s="46"/>
      <x:c r="K48" s="46"/>
      <x:c r="L48" s="47"/>
    </x:row>
    <x:row r="49" ht="42" customHeight="1">
      <x:c r="A49" s="45"/>
      <x:c r="B49" s="46"/>
      <x:c r="C49" s="46"/>
      <x:c r="D49" s="46"/>
      <x:c r="E49" s="46"/>
      <x:c r="F49" s="46"/>
      <x:c r="G49" s="46"/>
      <x:c r="H49" s="46"/>
      <x:c r="I49" s="46"/>
      <x:c r="J49" s="46"/>
      <x:c r="K49" s="46"/>
      <x:c r="L49" s="47"/>
    </x:row>
    <x:row r="50" ht="42" customHeight="1">
      <x:c r="A50" s="45"/>
      <x:c r="B50" s="46"/>
      <x:c r="C50" s="46"/>
      <x:c r="D50" s="46"/>
      <x:c r="E50" s="46"/>
      <x:c r="F50" s="46"/>
      <x:c r="G50" s="46"/>
      <x:c r="H50" s="46"/>
      <x:c r="I50" s="46"/>
      <x:c r="J50" s="46"/>
      <x:c r="K50" s="46"/>
      <x:c r="L50" s="47"/>
    </x:row>
    <x:row r="51" ht="42" customHeight="1">
      <x:c r="A51" s="45"/>
      <x:c r="B51" s="46"/>
      <x:c r="C51" s="46"/>
      <x:c r="D51" s="46"/>
      <x:c r="E51" s="46"/>
      <x:c r="F51" s="46"/>
      <x:c r="G51" s="46"/>
      <x:c r="H51" s="46"/>
      <x:c r="I51" s="46"/>
      <x:c r="J51" s="46"/>
      <x:c r="K51" s="46"/>
      <x:c r="L51" s="47"/>
    </x:row>
    <x:row r="52" ht="42" customHeight="1">
      <x:c r="A52" s="45"/>
      <x:c r="B52" s="46"/>
      <x:c r="C52" s="46"/>
      <x:c r="D52" s="46"/>
      <x:c r="E52" s="46"/>
      <x:c r="F52" s="46"/>
      <x:c r="G52" s="46"/>
      <x:c r="H52" s="46"/>
      <x:c r="I52" s="46"/>
      <x:c r="J52" s="46"/>
      <x:c r="K52" s="46"/>
      <x:c r="L52" s="47"/>
    </x:row>
    <x:row r="53" ht="42" customHeight="1">
      <x:c r="A53" s="45"/>
      <x:c r="B53" s="46"/>
      <x:c r="C53" s="46"/>
      <x:c r="D53" s="46"/>
      <x:c r="E53" s="46"/>
      <x:c r="F53" s="46"/>
      <x:c r="G53" s="46"/>
      <x:c r="H53" s="46"/>
      <x:c r="I53" s="46"/>
      <x:c r="J53" s="46"/>
      <x:c r="K53" s="46"/>
      <x:c r="L53" s="47"/>
    </x:row>
    <x:row r="54" ht="42" customHeight="1">
      <x:c r="A54" s="45"/>
      <x:c r="B54" s="46"/>
      <x:c r="C54" s="46"/>
      <x:c r="D54" s="46"/>
      <x:c r="E54" s="46"/>
      <x:c r="F54" s="46"/>
      <x:c r="G54" s="46"/>
      <x:c r="H54" s="46"/>
      <x:c r="I54" s="46"/>
      <x:c r="J54" s="46"/>
      <x:c r="K54" s="46"/>
      <x:c r="L54" s="47"/>
    </x:row>
    <x:row r="55" ht="42" customHeight="1">
      <x:c r="A55" s="45"/>
      <x:c r="B55" s="46"/>
      <x:c r="C55" s="46"/>
      <x:c r="D55" s="46"/>
      <x:c r="E55" s="46"/>
      <x:c r="F55" s="46"/>
      <x:c r="G55" s="46"/>
      <x:c r="H55" s="46"/>
      <x:c r="I55" s="46"/>
      <x:c r="J55" s="46"/>
      <x:c r="K55" s="46"/>
      <x:c r="L55" s="47"/>
    </x:row>
    <x:row r="56" ht="42" customHeight="1">
      <x:c r="A56" s="45"/>
      <x:c r="B56" s="46"/>
      <x:c r="C56" s="46"/>
      <x:c r="D56" s="46"/>
      <x:c r="E56" s="46"/>
      <x:c r="F56" s="46"/>
      <x:c r="G56" s="46"/>
      <x:c r="H56" s="46"/>
      <x:c r="I56" s="46"/>
      <x:c r="J56" s="46"/>
      <x:c r="K56" s="46"/>
      <x:c r="L56" s="47"/>
    </x:row>
    <x:row r="57" ht="42" customHeight="1">
      <x:c r="A57" s="45"/>
      <x:c r="B57" s="46"/>
      <x:c r="C57" s="46"/>
      <x:c r="D57" s="46"/>
      <x:c r="E57" s="46"/>
      <x:c r="F57" s="46"/>
      <x:c r="G57" s="46"/>
      <x:c r="H57" s="46"/>
      <x:c r="I57" s="46"/>
      <x:c r="J57" s="46"/>
      <x:c r="K57" s="46"/>
      <x:c r="L57" s="47"/>
    </x:row>
    <x:row r="58" ht="42" customHeight="1">
      <x:c r="A58" s="45"/>
      <x:c r="B58" s="46"/>
      <x:c r="C58" s="46"/>
      <x:c r="D58" s="46"/>
      <x:c r="E58" s="46"/>
      <x:c r="F58" s="46"/>
      <x:c r="G58" s="46"/>
      <x:c r="H58" s="46"/>
      <x:c r="I58" s="46"/>
      <x:c r="J58" s="46"/>
      <x:c r="K58" s="46"/>
      <x:c r="L58" s="47"/>
    </x:row>
    <x:row r="59" ht="42" customHeight="1">
      <x:c r="A59" s="45"/>
      <x:c r="B59" s="46"/>
      <x:c r="C59" s="46"/>
      <x:c r="D59" s="46"/>
      <x:c r="E59" s="46"/>
      <x:c r="F59" s="46"/>
      <x:c r="G59" s="46"/>
      <x:c r="H59" s="46"/>
      <x:c r="I59" s="46"/>
      <x:c r="J59" s="46"/>
      <x:c r="K59" s="46"/>
      <x:c r="L59" s="47"/>
    </x:row>
    <x:row r="60" ht="42" customHeight="1">
      <x:c r="A60" s="45"/>
      <x:c r="B60" s="46"/>
      <x:c r="C60" s="46"/>
      <x:c r="D60" s="46"/>
      <x:c r="E60" s="46"/>
      <x:c r="F60" s="46"/>
      <x:c r="G60" s="46"/>
      <x:c r="H60" s="46"/>
      <x:c r="I60" s="46"/>
      <x:c r="J60" s="46"/>
      <x:c r="K60" s="46"/>
      <x:c r="L60" s="47"/>
    </x:row>
    <x:row r="61" ht="42" customHeight="1">
      <x:c r="A61" s="45"/>
      <x:c r="B61" s="46"/>
      <x:c r="C61" s="46"/>
      <x:c r="D61" s="46"/>
      <x:c r="E61" s="46"/>
      <x:c r="F61" s="46"/>
      <x:c r="G61" s="46"/>
      <x:c r="H61" s="46"/>
      <x:c r="I61" s="46"/>
      <x:c r="J61" s="46"/>
      <x:c r="K61" s="46"/>
      <x:c r="L61" s="47"/>
    </x:row>
    <x:row r="62" ht="42" customHeight="1">
      <x:c r="A62" s="45"/>
      <x:c r="B62" s="46"/>
      <x:c r="C62" s="46"/>
      <x:c r="D62" s="46"/>
      <x:c r="E62" s="46"/>
      <x:c r="F62" s="46"/>
      <x:c r="G62" s="46"/>
      <x:c r="H62" s="46"/>
      <x:c r="I62" s="46"/>
      <x:c r="J62" s="46"/>
      <x:c r="K62" s="46"/>
      <x:c r="L62" s="47"/>
    </x:row>
    <x:row r="63" ht="42" customHeight="1">
      <x:c r="A63" s="45"/>
      <x:c r="B63" s="46"/>
      <x:c r="C63" s="46"/>
      <x:c r="D63" s="46"/>
      <x:c r="E63" s="46"/>
      <x:c r="F63" s="46"/>
      <x:c r="G63" s="46"/>
      <x:c r="H63" s="46"/>
      <x:c r="I63" s="46"/>
      <x:c r="J63" s="46"/>
      <x:c r="K63" s="46"/>
      <x:c r="L63" s="47"/>
    </x:row>
    <x:row r="64" ht="42" customHeight="1">
      <x:c r="A64" s="45"/>
      <x:c r="B64" s="46"/>
      <x:c r="C64" s="46"/>
      <x:c r="D64" s="46"/>
      <x:c r="E64" s="46"/>
      <x:c r="F64" s="46"/>
      <x:c r="G64" s="46"/>
      <x:c r="H64" s="46"/>
      <x:c r="I64" s="46"/>
      <x:c r="J64" s="46"/>
      <x:c r="K64" s="46"/>
      <x:c r="L64" s="47"/>
    </x:row>
    <x:row r="65" ht="42" customHeight="1">
      <x:c r="A65" s="45"/>
      <x:c r="B65" s="46"/>
      <x:c r="C65" s="46"/>
      <x:c r="D65" s="46"/>
      <x:c r="E65" s="46"/>
      <x:c r="F65" s="46"/>
      <x:c r="G65" s="46"/>
      <x:c r="H65" s="46"/>
      <x:c r="I65" s="46"/>
      <x:c r="J65" s="46"/>
      <x:c r="K65" s="46"/>
      <x:c r="L65" s="47"/>
    </x:row>
    <x:row r="66" ht="42" customHeight="1">
      <x:c r="A66" s="45"/>
      <x:c r="B66" s="46"/>
      <x:c r="C66" s="46"/>
      <x:c r="D66" s="46"/>
      <x:c r="E66" s="46"/>
      <x:c r="F66" s="46"/>
      <x:c r="G66" s="46"/>
      <x:c r="H66" s="46"/>
      <x:c r="I66" s="46"/>
      <x:c r="J66" s="46"/>
      <x:c r="K66" s="46"/>
      <x:c r="L66" s="47"/>
    </x:row>
    <x:row r="67" ht="42" customHeight="1">
      <x:c r="A67" s="45"/>
      <x:c r="B67" s="46"/>
      <x:c r="C67" s="46"/>
      <x:c r="D67" s="46"/>
      <x:c r="E67" s="46"/>
      <x:c r="F67" s="46"/>
      <x:c r="G67" s="46"/>
      <x:c r="H67" s="46"/>
      <x:c r="I67" s="46"/>
      <x:c r="J67" s="46"/>
      <x:c r="K67" s="46"/>
      <x:c r="L67" s="47"/>
    </x:row>
    <x:row r="68" ht="42" customHeight="1">
      <x:c r="A68" s="45"/>
      <x:c r="B68" s="46"/>
      <x:c r="C68" s="46"/>
      <x:c r="D68" s="46"/>
      <x:c r="E68" s="46"/>
      <x:c r="F68" s="46"/>
      <x:c r="G68" s="46"/>
      <x:c r="H68" s="46"/>
      <x:c r="I68" s="46"/>
      <x:c r="J68" s="46"/>
      <x:c r="K68" s="46"/>
      <x:c r="L68" s="47"/>
    </x:row>
    <x:row r="69" ht="42" customHeight="1">
      <x:c r="A69" s="45"/>
      <x:c r="B69" s="46"/>
      <x:c r="C69" s="46"/>
      <x:c r="D69" s="46"/>
      <x:c r="E69" s="46"/>
      <x:c r="F69" s="46"/>
      <x:c r="G69" s="46"/>
      <x:c r="H69" s="46"/>
      <x:c r="I69" s="46"/>
      <x:c r="J69" s="46"/>
      <x:c r="K69" s="46"/>
      <x:c r="L69" s="47"/>
    </x:row>
    <x:row r="70" ht="42" customHeight="1">
      <x:c r="A70" s="45"/>
      <x:c r="B70" s="46"/>
      <x:c r="C70" s="46"/>
      <x:c r="D70" s="46"/>
      <x:c r="E70" s="46"/>
      <x:c r="F70" s="46"/>
      <x:c r="G70" s="46"/>
      <x:c r="H70" s="46"/>
      <x:c r="I70" s="46"/>
      <x:c r="J70" s="46"/>
      <x:c r="K70" s="46"/>
      <x:c r="L70" s="47"/>
    </x:row>
    <x:row r="71" ht="42" customHeight="1">
      <x:c r="A71" s="45"/>
      <x:c r="B71" s="46"/>
      <x:c r="C71" s="46"/>
      <x:c r="D71" s="46"/>
      <x:c r="E71" s="46"/>
      <x:c r="F71" s="46"/>
      <x:c r="G71" s="46"/>
      <x:c r="H71" s="46"/>
      <x:c r="I71" s="46"/>
      <x:c r="J71" s="46"/>
      <x:c r="K71" s="46"/>
      <x:c r="L71" s="47"/>
    </x:row>
    <x:row r="72" ht="42" customHeight="1">
      <x:c r="A72" s="45"/>
      <x:c r="B72" s="46"/>
      <x:c r="C72" s="46"/>
      <x:c r="D72" s="46"/>
      <x:c r="E72" s="46"/>
      <x:c r="F72" s="46"/>
      <x:c r="G72" s="46"/>
      <x:c r="H72" s="46"/>
      <x:c r="I72" s="46"/>
      <x:c r="J72" s="46"/>
      <x:c r="K72" s="46"/>
      <x:c r="L72" s="47"/>
    </x:row>
    <x:row r="73" ht="42" customHeight="1">
      <x:c r="A73" s="45"/>
      <x:c r="B73" s="46"/>
      <x:c r="C73" s="46"/>
      <x:c r="D73" s="46"/>
      <x:c r="E73" s="46"/>
      <x:c r="F73" s="46"/>
      <x:c r="G73" s="46"/>
      <x:c r="H73" s="46"/>
      <x:c r="I73" s="46"/>
      <x:c r="J73" s="46"/>
      <x:c r="K73" s="46"/>
      <x:c r="L73" s="47"/>
    </x:row>
    <x:row r="74" ht="42" customHeight="1">
      <x:c r="A74" s="45"/>
      <x:c r="B74" s="46"/>
      <x:c r="C74" s="46"/>
      <x:c r="D74" s="46"/>
      <x:c r="E74" s="46"/>
      <x:c r="F74" s="46"/>
      <x:c r="G74" s="46"/>
      <x:c r="H74" s="46"/>
      <x:c r="I74" s="46"/>
      <x:c r="J74" s="46"/>
      <x:c r="K74" s="46"/>
      <x:c r="L74" s="47"/>
    </x:row>
    <x:row r="75" ht="42" customHeight="1">
      <x:c r="A75" s="45"/>
      <x:c r="B75" s="46"/>
      <x:c r="C75" s="46"/>
      <x:c r="D75" s="46"/>
      <x:c r="E75" s="46"/>
      <x:c r="F75" s="46"/>
      <x:c r="G75" s="46"/>
      <x:c r="H75" s="46"/>
      <x:c r="I75" s="46"/>
      <x:c r="J75" s="46"/>
      <x:c r="K75" s="46"/>
      <x:c r="L75" s="47"/>
    </x:row>
    <x:row r="76" ht="42" customHeight="1">
      <x:c r="A76" s="45"/>
      <x:c r="B76" s="46"/>
      <x:c r="C76" s="46"/>
      <x:c r="D76" s="46"/>
      <x:c r="E76" s="46"/>
      <x:c r="F76" s="46"/>
      <x:c r="G76" s="46"/>
      <x:c r="H76" s="46"/>
      <x:c r="I76" s="46"/>
      <x:c r="J76" s="46"/>
      <x:c r="K76" s="46"/>
      <x:c r="L76" s="47"/>
    </x:row>
    <x:row r="77" ht="42" customHeight="1">
      <x:c r="A77" s="45"/>
      <x:c r="B77" s="46"/>
      <x:c r="C77" s="46"/>
      <x:c r="D77" s="46"/>
      <x:c r="E77" s="46"/>
      <x:c r="F77" s="46"/>
      <x:c r="G77" s="46"/>
      <x:c r="H77" s="46"/>
      <x:c r="I77" s="46"/>
      <x:c r="J77" s="46"/>
      <x:c r="K77" s="46"/>
      <x:c r="L77" s="47"/>
    </x:row>
    <x:row r="78" ht="42" customHeight="1">
      <x:c r="A78" s="45"/>
      <x:c r="B78" s="46"/>
      <x:c r="C78" s="46"/>
      <x:c r="D78" s="46"/>
      <x:c r="E78" s="46"/>
      <x:c r="F78" s="46"/>
      <x:c r="G78" s="46"/>
      <x:c r="H78" s="46"/>
      <x:c r="I78" s="46"/>
      <x:c r="J78" s="46"/>
      <x:c r="K78" s="46"/>
      <x:c r="L78" s="47"/>
    </x:row>
    <x:row r="79" ht="42" customHeight="1">
      <x:c r="A79" s="45"/>
      <x:c r="B79" s="46"/>
      <x:c r="C79" s="46"/>
      <x:c r="D79" s="46"/>
      <x:c r="E79" s="46"/>
      <x:c r="F79" s="46"/>
      <x:c r="G79" s="46"/>
      <x:c r="H79" s="46"/>
      <x:c r="I79" s="46"/>
      <x:c r="J79" s="46"/>
      <x:c r="K79" s="46"/>
      <x:c r="L79" s="47"/>
    </x:row>
    <x:row r="80" ht="42" customHeight="1">
      <x:c r="A80" s="45"/>
      <x:c r="B80" s="46"/>
      <x:c r="C80" s="46"/>
      <x:c r="D80" s="46"/>
      <x:c r="E80" s="46"/>
      <x:c r="F80" s="46"/>
      <x:c r="G80" s="46"/>
      <x:c r="H80" s="46"/>
      <x:c r="I80" s="46"/>
      <x:c r="J80" s="46"/>
      <x:c r="K80" s="46"/>
      <x:c r="L80" s="47"/>
    </x:row>
    <x:row r="81" ht="42" customHeight="1">
      <x:c r="A81" s="45"/>
      <x:c r="B81" s="46"/>
      <x:c r="C81" s="46"/>
      <x:c r="D81" s="46"/>
      <x:c r="E81" s="46"/>
      <x:c r="F81" s="46"/>
      <x:c r="G81" s="46"/>
      <x:c r="H81" s="46"/>
      <x:c r="I81" s="46"/>
      <x:c r="J81" s="46"/>
      <x:c r="K81" s="46"/>
      <x:c r="L81" s="47"/>
    </x:row>
    <x:row r="82" ht="42" customHeight="1">
      <x:c r="A82" s="45"/>
      <x:c r="B82" s="46"/>
      <x:c r="C82" s="46"/>
      <x:c r="D82" s="46"/>
      <x:c r="E82" s="46"/>
      <x:c r="F82" s="46"/>
      <x:c r="G82" s="46"/>
      <x:c r="H82" s="46"/>
      <x:c r="I82" s="46"/>
      <x:c r="J82" s="46"/>
      <x:c r="K82" s="46"/>
      <x:c r="L82" s="47"/>
    </x:row>
    <x:row r="83" ht="42" customHeight="1">
      <x:c r="A83" s="45"/>
      <x:c r="B83" s="46"/>
      <x:c r="C83" s="46"/>
      <x:c r="D83" s="46"/>
      <x:c r="E83" s="46"/>
      <x:c r="F83" s="46"/>
      <x:c r="G83" s="46"/>
      <x:c r="H83" s="46"/>
      <x:c r="I83" s="46"/>
      <x:c r="J83" s="46"/>
      <x:c r="K83" s="46"/>
      <x:c r="L83" s="47"/>
    </x:row>
    <x:row r="84" ht="42" customHeight="1">
      <x:c r="A84" s="45"/>
      <x:c r="B84" s="46"/>
      <x:c r="C84" s="46"/>
      <x:c r="D84" s="46"/>
      <x:c r="E84" s="46"/>
      <x:c r="F84" s="46"/>
      <x:c r="G84" s="46"/>
      <x:c r="H84" s="46"/>
      <x:c r="I84" s="46"/>
      <x:c r="J84" s="46"/>
      <x:c r="K84" s="46"/>
      <x:c r="L84" s="47"/>
    </x:row>
    <x:row r="85" ht="42" customHeight="1">
      <x:c r="A85" s="45"/>
      <x:c r="B85" s="46"/>
      <x:c r="C85" s="46"/>
      <x:c r="D85" s="46"/>
      <x:c r="E85" s="46"/>
      <x:c r="F85" s="46"/>
      <x:c r="G85" s="46"/>
      <x:c r="H85" s="46"/>
      <x:c r="I85" s="46"/>
      <x:c r="J85" s="46"/>
      <x:c r="K85" s="46"/>
      <x:c r="L85" s="47"/>
    </x:row>
    <x:row r="86" ht="42" customHeight="1">
      <x:c r="A86" s="45"/>
      <x:c r="B86" s="46"/>
      <x:c r="C86" s="46"/>
      <x:c r="D86" s="46"/>
      <x:c r="E86" s="46"/>
      <x:c r="F86" s="46"/>
      <x:c r="G86" s="46"/>
      <x:c r="H86" s="46"/>
      <x:c r="I86" s="46"/>
      <x:c r="J86" s="46"/>
      <x:c r="K86" s="46"/>
      <x:c r="L86" s="47"/>
    </x:row>
    <x:row r="87" ht="42" customHeight="1">
      <x:c r="A87" s="45"/>
      <x:c r="B87" s="46"/>
      <x:c r="C87" s="46"/>
      <x:c r="D87" s="46"/>
      <x:c r="E87" s="46"/>
      <x:c r="F87" s="46"/>
      <x:c r="G87" s="46"/>
      <x:c r="H87" s="46"/>
      <x:c r="I87" s="46"/>
      <x:c r="J87" s="46"/>
      <x:c r="K87" s="46"/>
      <x:c r="L87" s="47"/>
    </x:row>
    <x:row r="88" ht="42" customHeight="1">
      <x:c r="A88" s="45"/>
      <x:c r="B88" s="46"/>
      <x:c r="C88" s="46"/>
      <x:c r="D88" s="46"/>
      <x:c r="E88" s="46"/>
      <x:c r="F88" s="46"/>
      <x:c r="G88" s="46"/>
      <x:c r="H88" s="46"/>
      <x:c r="I88" s="46"/>
      <x:c r="J88" s="46"/>
      <x:c r="K88" s="46"/>
      <x:c r="L88" s="47"/>
    </x:row>
    <x:row r="89" ht="42" customHeight="1">
      <x:c r="A89" s="45"/>
      <x:c r="B89" s="46"/>
      <x:c r="C89" s="46"/>
      <x:c r="D89" s="46"/>
      <x:c r="E89" s="46"/>
      <x:c r="F89" s="46"/>
      <x:c r="G89" s="46"/>
      <x:c r="H89" s="46"/>
      <x:c r="I89" s="46"/>
      <x:c r="J89" s="46"/>
      <x:c r="K89" s="46"/>
      <x:c r="L89" s="47"/>
    </x:row>
    <x:row r="90" ht="42" customHeight="1">
      <x:c r="A90" s="45"/>
      <x:c r="B90" s="46"/>
      <x:c r="C90" s="46"/>
      <x:c r="D90" s="46"/>
      <x:c r="E90" s="46"/>
      <x:c r="F90" s="46"/>
      <x:c r="G90" s="46"/>
      <x:c r="H90" s="46"/>
      <x:c r="I90" s="46"/>
      <x:c r="J90" s="46"/>
      <x:c r="K90" s="46"/>
      <x:c r="L90" s="47"/>
    </x:row>
    <x:row r="91" ht="42" customHeight="1">
      <x:c r="A91" s="45"/>
      <x:c r="B91" s="46"/>
      <x:c r="C91" s="46"/>
      <x:c r="D91" s="46"/>
      <x:c r="E91" s="46"/>
      <x:c r="F91" s="46"/>
      <x:c r="G91" s="46"/>
      <x:c r="H91" s="46"/>
      <x:c r="I91" s="46"/>
      <x:c r="J91" s="46"/>
      <x:c r="K91" s="46"/>
      <x:c r="L91" s="47"/>
    </x:row>
    <x:row r="92" ht="42" customHeight="1">
      <x:c r="A92" s="45"/>
      <x:c r="B92" s="46"/>
      <x:c r="C92" s="46"/>
      <x:c r="D92" s="46"/>
      <x:c r="E92" s="46"/>
      <x:c r="F92" s="46"/>
      <x:c r="G92" s="46"/>
      <x:c r="H92" s="46"/>
      <x:c r="I92" s="46"/>
      <x:c r="J92" s="46"/>
      <x:c r="K92" s="46"/>
      <x:c r="L92" s="47"/>
    </x:row>
    <x:row r="93" ht="42" customHeight="1">
      <x:c r="A93" s="45"/>
      <x:c r="B93" s="46"/>
      <x:c r="C93" s="46"/>
      <x:c r="D93" s="46"/>
      <x:c r="E93" s="46"/>
      <x:c r="F93" s="46"/>
      <x:c r="G93" s="46"/>
      <x:c r="H93" s="46"/>
      <x:c r="I93" s="46"/>
      <x:c r="J93" s="46"/>
      <x:c r="K93" s="46"/>
      <x:c r="L93" s="47"/>
    </x:row>
    <x:row r="94" ht="42" customHeight="1">
      <x:c r="A94" s="45"/>
      <x:c r="B94" s="46"/>
      <x:c r="C94" s="46"/>
      <x:c r="D94" s="46"/>
      <x:c r="E94" s="46"/>
      <x:c r="F94" s="46"/>
      <x:c r="G94" s="46"/>
      <x:c r="H94" s="46"/>
      <x:c r="I94" s="46"/>
      <x:c r="J94" s="46"/>
      <x:c r="K94" s="46"/>
      <x:c r="L94" s="47"/>
    </x:row>
    <x:row r="95" ht="42" customHeight="1">
      <x:c r="A95" s="45"/>
      <x:c r="B95" s="46"/>
      <x:c r="C95" s="46"/>
      <x:c r="D95" s="46"/>
      <x:c r="E95" s="46"/>
      <x:c r="F95" s="46"/>
      <x:c r="G95" s="46"/>
      <x:c r="H95" s="46"/>
      <x:c r="I95" s="46"/>
      <x:c r="J95" s="46"/>
      <x:c r="K95" s="46"/>
      <x:c r="L95" s="47"/>
    </x:row>
    <x:row r="96" ht="42" customHeight="1">
      <x:c r="A96" s="45"/>
      <x:c r="B96" s="46"/>
      <x:c r="C96" s="46"/>
      <x:c r="D96" s="46"/>
      <x:c r="E96" s="46"/>
      <x:c r="F96" s="46"/>
      <x:c r="G96" s="46"/>
      <x:c r="H96" s="46"/>
      <x:c r="I96" s="46"/>
      <x:c r="J96" s="46"/>
      <x:c r="K96" s="46"/>
      <x:c r="L96" s="47"/>
    </x:row>
    <x:row r="97" ht="42" customHeight="1">
      <x:c r="A97" s="45"/>
      <x:c r="B97" s="46"/>
      <x:c r="C97" s="46"/>
      <x:c r="D97" s="46"/>
      <x:c r="E97" s="46"/>
      <x:c r="F97" s="46"/>
      <x:c r="G97" s="46"/>
      <x:c r="H97" s="46"/>
      <x:c r="I97" s="46"/>
      <x:c r="J97" s="46"/>
      <x:c r="K97" s="46"/>
      <x:c r="L97" s="47"/>
    </x:row>
    <x:row r="98" ht="42" customHeight="1">
      <x:c r="A98" s="45"/>
      <x:c r="B98" s="46"/>
      <x:c r="C98" s="46"/>
      <x:c r="D98" s="46"/>
      <x:c r="E98" s="46"/>
      <x:c r="F98" s="46"/>
      <x:c r="G98" s="46"/>
      <x:c r="H98" s="46"/>
      <x:c r="I98" s="46"/>
      <x:c r="J98" s="46"/>
      <x:c r="K98" s="46"/>
      <x:c r="L98" s="47"/>
    </x:row>
    <x:row r="99" ht="42" customHeight="1">
      <x:c r="A99" s="45"/>
      <x:c r="B99" s="46"/>
      <x:c r="C99" s="46"/>
      <x:c r="D99" s="46"/>
      <x:c r="E99" s="46"/>
      <x:c r="F99" s="46"/>
      <x:c r="G99" s="46"/>
      <x:c r="H99" s="46"/>
      <x:c r="I99" s="46"/>
      <x:c r="J99" s="46"/>
      <x:c r="K99" s="46"/>
      <x:c r="L99" s="47"/>
    </x:row>
    <x:row r="100" ht="42" customHeight="1">
      <x:c r="A100" s="45"/>
      <x:c r="B100" s="46"/>
      <x:c r="C100" s="46"/>
      <x:c r="D100" s="46"/>
      <x:c r="E100" s="46"/>
      <x:c r="F100" s="46"/>
      <x:c r="G100" s="46"/>
      <x:c r="H100" s="46"/>
      <x:c r="I100" s="46"/>
      <x:c r="J100" s="46"/>
      <x:c r="K100" s="46"/>
      <x:c r="L100" s="47"/>
    </x:row>
    <x:row r="101" ht="42" customHeight="1">
      <x:c r="A101" s="45"/>
      <x:c r="B101" s="46"/>
      <x:c r="C101" s="46"/>
      <x:c r="D101" s="46"/>
      <x:c r="E101" s="46"/>
      <x:c r="F101" s="46"/>
      <x:c r="G101" s="46"/>
      <x:c r="H101" s="46"/>
      <x:c r="I101" s="46"/>
      <x:c r="J101" s="46"/>
      <x:c r="K101" s="46"/>
      <x:c r="L101" s="47"/>
    </x:row>
    <x:row r="102" ht="42" customHeight="1">
      <x:c r="A102" s="45"/>
      <x:c r="B102" s="46"/>
      <x:c r="C102" s="46"/>
      <x:c r="D102" s="46"/>
      <x:c r="E102" s="46"/>
      <x:c r="F102" s="46"/>
      <x:c r="G102" s="46"/>
      <x:c r="H102" s="46"/>
      <x:c r="I102" s="46"/>
      <x:c r="J102" s="46"/>
      <x:c r="K102" s="46"/>
      <x:c r="L102" s="47"/>
    </x:row>
    <x:row r="103" ht="42" customHeight="1">
      <x:c r="A103" s="45"/>
      <x:c r="B103" s="46"/>
      <x:c r="C103" s="46"/>
      <x:c r="D103" s="46"/>
      <x:c r="E103" s="46"/>
      <x:c r="F103" s="46"/>
      <x:c r="G103" s="46"/>
      <x:c r="H103" s="46"/>
      <x:c r="I103" s="46"/>
      <x:c r="J103" s="46"/>
      <x:c r="K103" s="46"/>
      <x:c r="L103" s="47"/>
    </x:row>
    <x:row r="104" ht="42" customHeight="1">
      <x:c r="A104" s="45"/>
      <x:c r="B104" s="46"/>
      <x:c r="C104" s="46"/>
      <x:c r="D104" s="46"/>
      <x:c r="E104" s="46"/>
      <x:c r="F104" s="46"/>
      <x:c r="G104" s="46"/>
      <x:c r="H104" s="46"/>
      <x:c r="I104" s="46"/>
      <x:c r="J104" s="46"/>
      <x:c r="K104" s="46"/>
      <x:c r="L104" s="47"/>
    </x:row>
    <x:row r="105" ht="42" customHeight="1">
      <x:c r="A105" s="45"/>
      <x:c r="B105" s="46"/>
      <x:c r="C105" s="46"/>
      <x:c r="D105" s="46"/>
      <x:c r="E105" s="46"/>
      <x:c r="F105" s="46"/>
      <x:c r="G105" s="46"/>
      <x:c r="H105" s="46"/>
      <x:c r="I105" s="46"/>
      <x:c r="J105" s="46"/>
      <x:c r="K105" s="46"/>
      <x:c r="L105" s="47"/>
    </x:row>
    <x:row r="106" ht="42" customHeight="1">
      <x:c r="A106" s="45"/>
      <x:c r="B106" s="46"/>
      <x:c r="C106" s="46"/>
      <x:c r="D106" s="46"/>
      <x:c r="E106" s="46"/>
      <x:c r="F106" s="46"/>
      <x:c r="G106" s="46"/>
      <x:c r="H106" s="46"/>
      <x:c r="I106" s="46"/>
      <x:c r="J106" s="46"/>
      <x:c r="K106" s="46"/>
      <x:c r="L106" s="47"/>
    </x:row>
    <x:row r="107" ht="42" customHeight="1">
      <x:c r="A107" s="45"/>
      <x:c r="B107" s="46"/>
      <x:c r="C107" s="46"/>
      <x:c r="D107" s="46"/>
      <x:c r="E107" s="46"/>
      <x:c r="F107" s="46"/>
      <x:c r="G107" s="46"/>
      <x:c r="H107" s="46"/>
      <x:c r="I107" s="46"/>
      <x:c r="J107" s="46"/>
      <x:c r="K107" s="46"/>
      <x:c r="L107" s="47"/>
    </x:row>
    <x:row r="108" ht="42" customHeight="1">
      <x:c r="A108" s="45"/>
      <x:c r="B108" s="46"/>
      <x:c r="C108" s="46"/>
      <x:c r="D108" s="46"/>
      <x:c r="E108" s="46"/>
      <x:c r="F108" s="46"/>
      <x:c r="G108" s="46"/>
      <x:c r="H108" s="46"/>
      <x:c r="I108" s="46"/>
      <x:c r="J108" s="46"/>
      <x:c r="K108" s="46"/>
      <x:c r="L108" s="47"/>
    </x:row>
    <x:row r="109" ht="42" customHeight="1">
      <x:c r="A109" s="45"/>
      <x:c r="B109" s="46"/>
      <x:c r="C109" s="46"/>
      <x:c r="D109" s="46"/>
      <x:c r="E109" s="46"/>
      <x:c r="F109" s="46"/>
      <x:c r="G109" s="46"/>
      <x:c r="H109" s="46"/>
      <x:c r="I109" s="46"/>
      <x:c r="J109" s="46"/>
      <x:c r="K109" s="46"/>
      <x:c r="L109" s="47"/>
    </x:row>
    <x:row r="110" ht="42" customHeight="1">
      <x:c r="A110" s="45"/>
      <x:c r="B110" s="46"/>
      <x:c r="C110" s="46"/>
      <x:c r="D110" s="46"/>
      <x:c r="E110" s="46"/>
      <x:c r="F110" s="46"/>
      <x:c r="G110" s="46"/>
      <x:c r="H110" s="46"/>
      <x:c r="I110" s="46"/>
      <x:c r="J110" s="46"/>
      <x:c r="K110" s="46"/>
      <x:c r="L110" s="47"/>
    </x:row>
    <x:row r="111" ht="42" customHeight="1">
      <x:c r="A111" s="45"/>
      <x:c r="B111" s="46"/>
      <x:c r="C111" s="46"/>
      <x:c r="D111" s="46"/>
      <x:c r="E111" s="46"/>
      <x:c r="F111" s="46"/>
      <x:c r="G111" s="46"/>
      <x:c r="H111" s="46"/>
      <x:c r="I111" s="46"/>
      <x:c r="J111" s="46"/>
      <x:c r="K111" s="46"/>
      <x:c r="L111" s="47"/>
    </x:row>
    <x:row r="112" ht="42" customHeight="1">
      <x:c r="A112" s="45"/>
      <x:c r="B112" s="46"/>
      <x:c r="C112" s="46"/>
      <x:c r="D112" s="46"/>
      <x:c r="E112" s="46"/>
      <x:c r="F112" s="46"/>
      <x:c r="G112" s="46"/>
      <x:c r="H112" s="46"/>
      <x:c r="I112" s="46"/>
      <x:c r="J112" s="46"/>
      <x:c r="K112" s="46"/>
      <x:c r="L112" s="47"/>
    </x:row>
    <x:row r="113" ht="42" customHeight="1">
      <x:c r="A113" s="45"/>
      <x:c r="B113" s="46"/>
      <x:c r="C113" s="46"/>
      <x:c r="D113" s="46"/>
      <x:c r="E113" s="46"/>
      <x:c r="F113" s="46"/>
      <x:c r="G113" s="46"/>
      <x:c r="H113" s="46"/>
      <x:c r="I113" s="46"/>
      <x:c r="J113" s="46"/>
      <x:c r="K113" s="46"/>
      <x:c r="L113" s="47"/>
    </x:row>
    <x:row r="114" ht="42" customHeight="1">
      <x:c r="A114" s="45"/>
      <x:c r="B114" s="46"/>
      <x:c r="C114" s="46"/>
      <x:c r="D114" s="46"/>
      <x:c r="E114" s="46"/>
      <x:c r="F114" s="46"/>
      <x:c r="G114" s="46"/>
      <x:c r="H114" s="46"/>
      <x:c r="I114" s="46"/>
      <x:c r="J114" s="46"/>
      <x:c r="K114" s="46"/>
      <x:c r="L114" s="47"/>
    </x:row>
    <x:row r="115" ht="42" customHeight="1">
      <x:c r="A115" s="45"/>
      <x:c r="B115" s="46"/>
      <x:c r="C115" s="46"/>
      <x:c r="D115" s="46"/>
      <x:c r="E115" s="46"/>
      <x:c r="F115" s="46"/>
      <x:c r="G115" s="46"/>
      <x:c r="H115" s="46"/>
      <x:c r="I115" s="46"/>
      <x:c r="J115" s="46"/>
      <x:c r="K115" s="46"/>
      <x:c r="L115" s="47"/>
    </x:row>
    <x:row r="116" ht="42" customHeight="1">
      <x:c r="A116" s="45"/>
      <x:c r="B116" s="46"/>
      <x:c r="C116" s="46"/>
      <x:c r="D116" s="46"/>
      <x:c r="E116" s="46"/>
      <x:c r="F116" s="46"/>
      <x:c r="G116" s="46"/>
      <x:c r="H116" s="46"/>
      <x:c r="I116" s="46"/>
      <x:c r="J116" s="46"/>
      <x:c r="K116" s="46"/>
      <x:c r="L116" s="47"/>
    </x:row>
    <x:row r="117" ht="42" customHeight="1">
      <x:c r="A117" s="45"/>
      <x:c r="B117" s="46"/>
      <x:c r="C117" s="46"/>
      <x:c r="D117" s="46"/>
      <x:c r="E117" s="46"/>
      <x:c r="F117" s="46"/>
      <x:c r="G117" s="46"/>
      <x:c r="H117" s="46"/>
      <x:c r="I117" s="46"/>
      <x:c r="J117" s="46"/>
      <x:c r="K117" s="46"/>
      <x:c r="L117" s="47"/>
    </x:row>
    <x:row r="118" ht="42" customHeight="1">
      <x:c r="A118" s="45"/>
      <x:c r="B118" s="46"/>
      <x:c r="C118" s="46"/>
      <x:c r="D118" s="46"/>
      <x:c r="E118" s="46"/>
      <x:c r="F118" s="46"/>
      <x:c r="G118" s="46"/>
      <x:c r="H118" s="46"/>
      <x:c r="I118" s="46"/>
      <x:c r="J118" s="46"/>
      <x:c r="K118" s="46"/>
      <x:c r="L118" s="47"/>
    </x:row>
    <x:row r="119" ht="42" customHeight="1">
      <x:c r="A119" s="45"/>
      <x:c r="B119" s="46"/>
      <x:c r="C119" s="46"/>
      <x:c r="D119" s="46"/>
      <x:c r="E119" s="46"/>
      <x:c r="F119" s="46"/>
      <x:c r="G119" s="46"/>
      <x:c r="H119" s="46"/>
      <x:c r="I119" s="46"/>
      <x:c r="J119" s="46"/>
      <x:c r="K119" s="46"/>
      <x:c r="L119" s="47"/>
    </x:row>
    <x:row r="120" ht="42" customHeight="1">
      <x:c r="A120" s="45"/>
      <x:c r="B120" s="46"/>
      <x:c r="C120" s="46"/>
      <x:c r="D120" s="46"/>
      <x:c r="E120" s="46"/>
      <x:c r="F120" s="46"/>
      <x:c r="G120" s="46"/>
      <x:c r="H120" s="46"/>
      <x:c r="I120" s="46"/>
      <x:c r="J120" s="46"/>
      <x:c r="K120" s="46"/>
      <x:c r="L120" s="47"/>
    </x:row>
    <x:row r="121" ht="42" customHeight="1">
      <x:c r="A121" s="45"/>
      <x:c r="B121" s="46"/>
      <x:c r="C121" s="46"/>
      <x:c r="D121" s="46"/>
      <x:c r="E121" s="46"/>
      <x:c r="F121" s="46"/>
      <x:c r="G121" s="46"/>
      <x:c r="H121" s="46"/>
      <x:c r="I121" s="46"/>
      <x:c r="J121" s="46"/>
      <x:c r="K121" s="46"/>
      <x:c r="L121" s="47"/>
    </x:row>
    <x:row r="122" ht="42" customHeight="1">
      <x:c r="A122" s="45"/>
      <x:c r="B122" s="46"/>
      <x:c r="C122" s="46"/>
      <x:c r="D122" s="46"/>
      <x:c r="E122" s="46"/>
      <x:c r="F122" s="46"/>
      <x:c r="G122" s="46"/>
      <x:c r="H122" s="46"/>
      <x:c r="I122" s="46"/>
      <x:c r="J122" s="46"/>
      <x:c r="K122" s="46"/>
      <x:c r="L122" s="47"/>
    </x:row>
    <x:row r="123" ht="42" customHeight="1">
      <x:c r="A123" s="45"/>
      <x:c r="B123" s="46"/>
      <x:c r="C123" s="46"/>
      <x:c r="D123" s="46"/>
      <x:c r="E123" s="46"/>
      <x:c r="F123" s="46"/>
      <x:c r="G123" s="46"/>
      <x:c r="H123" s="46"/>
      <x:c r="I123" s="46"/>
      <x:c r="J123" s="46"/>
      <x:c r="K123" s="46"/>
      <x:c r="L123" s="47"/>
    </x:row>
    <x:row r="124" ht="42" customHeight="1">
      <x:c r="A124" s="45"/>
      <x:c r="B124" s="46"/>
      <x:c r="C124" s="46"/>
      <x:c r="D124" s="46"/>
      <x:c r="E124" s="46"/>
      <x:c r="F124" s="46"/>
      <x:c r="G124" s="46"/>
      <x:c r="H124" s="46"/>
      <x:c r="I124" s="46"/>
      <x:c r="J124" s="46"/>
      <x:c r="K124" s="46"/>
      <x:c r="L124" s="47"/>
    </x:row>
    <x:row r="125" ht="42" customHeight="1">
      <x:c r="A125" s="45"/>
      <x:c r="B125" s="46"/>
      <x:c r="C125" s="46"/>
      <x:c r="D125" s="46"/>
      <x:c r="E125" s="46"/>
      <x:c r="F125" s="46"/>
      <x:c r="G125" s="46"/>
      <x:c r="H125" s="46"/>
      <x:c r="I125" s="46"/>
      <x:c r="J125" s="46"/>
      <x:c r="K125" s="46"/>
      <x:c r="L125" s="47"/>
    </x:row>
    <x:row r="126" ht="42" customHeight="1">
      <x:c r="A126" s="45"/>
      <x:c r="B126" s="46"/>
      <x:c r="C126" s="46"/>
      <x:c r="D126" s="46"/>
      <x:c r="E126" s="46"/>
      <x:c r="F126" s="46"/>
      <x:c r="G126" s="46"/>
      <x:c r="H126" s="46"/>
      <x:c r="I126" s="46"/>
      <x:c r="J126" s="46"/>
      <x:c r="K126" s="46"/>
      <x:c r="L126" s="47"/>
    </x:row>
    <x:row r="127" ht="42" customHeight="1">
      <x:c r="A127" s="45"/>
      <x:c r="B127" s="46"/>
      <x:c r="C127" s="46"/>
      <x:c r="D127" s="46"/>
      <x:c r="E127" s="46"/>
      <x:c r="F127" s="46"/>
      <x:c r="G127" s="46"/>
      <x:c r="H127" s="46"/>
      <x:c r="I127" s="46"/>
      <x:c r="J127" s="46"/>
      <x:c r="K127" s="46"/>
      <x:c r="L127" s="47"/>
    </x:row>
    <x:row r="128" ht="42" customHeight="1">
      <x:c r="A128" s="45"/>
      <x:c r="B128" s="46"/>
      <x:c r="C128" s="46"/>
      <x:c r="D128" s="46"/>
      <x:c r="E128" s="46"/>
      <x:c r="F128" s="46"/>
      <x:c r="G128" s="46"/>
      <x:c r="H128" s="46"/>
      <x:c r="I128" s="46"/>
      <x:c r="J128" s="46"/>
      <x:c r="K128" s="46"/>
      <x:c r="L128" s="47"/>
    </x:row>
    <x:row r="129" ht="42" customHeight="1">
      <x:c r="A129" s="45"/>
      <x:c r="B129" s="46"/>
      <x:c r="C129" s="46"/>
      <x:c r="D129" s="46"/>
      <x:c r="E129" s="46"/>
      <x:c r="F129" s="46"/>
      <x:c r="G129" s="46"/>
      <x:c r="H129" s="46"/>
      <x:c r="I129" s="46"/>
      <x:c r="J129" s="46"/>
      <x:c r="K129" s="46"/>
      <x:c r="L129" s="47"/>
    </x:row>
    <x:row r="130" ht="42" customHeight="1">
      <x:c r="A130" s="48"/>
      <x:c r="B130" s="49"/>
      <x:c r="C130" s="49"/>
      <x:c r="D130" s="49"/>
      <x:c r="E130" s="49"/>
      <x:c r="F130" s="49"/>
      <x:c r="G130" s="49"/>
      <x:c r="H130" s="49"/>
      <x:c r="I130" s="49"/>
      <x:c r="J130" s="49"/>
      <x:c r="K130" s="49"/>
      <x:c r="L130" s="50"/>
    </x:row>
  </x:sheetData>
  <x:pageMargins left="0.7" right="0.7" top="0.75" bottom="0.75" header="0.3" footer="0.3"/>
  <x:tableParts count="1">
    <x:tablePart xmlns:r="http://schemas.openxmlformats.org/officeDocument/2006/relationships" r:id="R80ff85e6a38e4e87"/>
  </x:tableParts>
</x:worksheet>
</file>

<file path=xl/worksheets/sheet14.xml><?xml version="1.0" encoding="utf-8"?>
<x:worksheet xmlns:x="http://schemas.openxmlformats.org/spreadsheetml/2006/main">
  <x:sheetFormatPr defaultRowHeight="15"/>
  <x:cols>
    <x:col min="1" max="1" width="15" hidden="0" customWidth="1"/>
    <x:col min="2" max="2" width="39" hidden="0" customWidth="1"/>
    <x:col min="3" max="3" width="58" hidden="0" customWidth="1"/>
    <x:col min="4" max="4" width="28" hidden="0" customWidth="1"/>
    <x:col min="5" max="5" width="54" hidden="0" customWidth="1"/>
    <x:col min="6" max="6" width="24" hidden="0" customWidth="1"/>
    <x:col min="7" max="7" width="18" hidden="0" customWidth="1"/>
    <x:col min="8" max="8" width="18" hidden="0" customWidth="1"/>
    <x:col min="9" max="9" width="36" hidden="0" customWidth="1"/>
    <x:col min="10" max="10" width="34" hidden="0" customWidth="1"/>
    <x:col min="11" max="11" width="20" hidden="0" customWidth="1"/>
    <x:col min="12" max="12" width="24" hidden="0" customWidth="1"/>
  </x:cols>
  <x:sheetData>
    <x:row r="1" ht="34" customHeight="1">
      <x:c r="A1" s="42" t="str">
        <x:v>Requirement ID</x:v>
      </x:c>
      <x:c r="B1" s="43" t="str">
        <x:v>Feature Group</x:v>
      </x:c>
      <x:c r="C1" s="43" t="str">
        <x:v>Requirement summary</x:v>
      </x:c>
      <x:c r="D1" s="43" t="str">
        <x:v>Business Rule IDs</x:v>
      </x:c>
      <x:c r="E1" s="43" t="str">
        <x:v>Source ADR number and title</x:v>
      </x:c>
      <x:c r="F1" s="43" t="str">
        <x:v>Acceptance Criterion IDs</x:v>
      </x:c>
      <x:c r="G1" s="43" t="str">
        <x:v>Release-blocking status</x:v>
      </x:c>
      <x:c r="H1" s="43" t="str">
        <x:v>V1 / V1.1 / Deferred</x:v>
      </x:c>
      <x:c r="I1" s="43" t="str">
        <x:v>Primary vertical slice</x:v>
      </x:c>
      <x:c r="J1" s="43" t="str">
        <x:v>Verification level</x:v>
      </x:c>
      <x:c r="K1" s="43" t="str">
        <x:v>Traceability status</x:v>
      </x:c>
      <x:c r="L1" s="44" t="str">
        <x:v>Open Decision IDs</x:v>
      </x:c>
    </x:row>
    <x:row r="2" ht="42" customHeight="1">
      <x:c r="A2" s="45" t="str">
        <x:v>FR-P-006</x:v>
      </x:c>
      <x:c r="B2" s="46" t="str">
        <x:v>P. Maps and Locations</x:v>
      </x:c>
      <x:c r="C2" s="46" t="str">
        <x:v>be able to create, edit, and reuse private Saved Places locally.</x:v>
      </x:c>
      <x:c r="D2" s="46" t="str">
        <x:v>BR-P-007</x:v>
      </x:c>
      <x:c r="E2" s="46" t="str">
        <x:v>ADR-021 — Security, Privacy, Permissions, and Sensitive Data</x:v>
      </x:c>
      <x:c r="F2" s="46" t="str">
        <x:v>AC-P-006</x:v>
      </x:c>
      <x:c r="G2" s="46" t="str">
        <x:v>No</x:v>
      </x:c>
      <x:c r="H2" s="46" t="str">
        <x:v>V1.1</x:v>
      </x:c>
      <x:c r="I2" s="46" t="str">
        <x:v>Maps and Locations</x:v>
      </x:c>
      <x:c r="J2" s="46" t="str">
        <x:v>Widget test</x:v>
      </x:c>
      <x:c r="K2" s="46" t="str">
        <x:v>Deferred</x:v>
      </x:c>
      <x:c r="L2" s="47" t="str">
        <x:v>OPD-4-001</x:v>
      </x:c>
    </x:row>
    <x:row r="3" ht="42" customHeight="1">
      <x:c r="A3" s="45" t="str">
        <x:v>FR-P-014</x:v>
      </x:c>
      <x:c r="B3" s="46" t="str">
        <x:v>P. Maps and Locations</x:v>
      </x:c>
      <x:c r="C3" s="46" t="str">
        <x:v>be able to select a Saved Place while preserving a snapshot of the location used by the owning record.</x:v>
      </x:c>
      <x:c r="D3" s="46" t="str">
        <x:v>BR-P-006, BR-P-007, BR-P-010</x:v>
      </x:c>
      <x:c r="E3" s="46" t="str">
        <x:v>ADR-009 — Domain Ownership and Relationship Model; ADR-021 — Security, Privacy, Permissions, and Sensitive Data</x:v>
      </x:c>
      <x:c r="F3" s="46" t="str">
        <x:v>AC-P-014</x:v>
      </x:c>
      <x:c r="G3" s="46" t="str">
        <x:v>No</x:v>
      </x:c>
      <x:c r="H3" s="46" t="str">
        <x:v>V1.1</x:v>
      </x:c>
      <x:c r="I3" s="46" t="str">
        <x:v>Maps and Locations</x:v>
      </x:c>
      <x:c r="J3" s="46" t="str">
        <x:v>Widget test</x:v>
      </x:c>
      <x:c r="K3" s="46" t="str">
        <x:v>Deferred</x:v>
      </x:c>
      <x:c r="L3" s="47" t="str">
        <x:v>OPD-4-001</x:v>
      </x:c>
    </x:row>
    <x:row r="4" ht="42" customHeight="1">
      <x:c r="A4" s="45" t="str">
        <x:v>FR-S-020</x:v>
      </x:c>
      <x:c r="B4" s="46" t="str">
        <x:v>S. Backup, Export, and Restore</x:v>
      </x:c>
      <x:c r="C4" s="46" t="str">
        <x:v>Users may configure scheduled local backup reminders or automatic backups when an approved destination remains available.</x:v>
      </x:c>
      <x:c r="D4" s="46" t="str">
        <x:v>BR-S-002, BR-S-009, BR-S-010</x:v>
      </x:c>
      <x:c r="E4" s="46" t="str">
        <x:v>ADR-017 — Local Backup, Export, Restore, and Disaster Recovery; ADR-022 — Notifications, Background Work, and Calendar Integration</x:v>
      </x:c>
      <x:c r="F4" s="46" t="str">
        <x:v>AC-S-020</x:v>
      </x:c>
      <x:c r="G4" s="46" t="str">
        <x:v>No</x:v>
      </x:c>
      <x:c r="H4" s="46" t="str">
        <x:v>V1.1</x:v>
      </x:c>
      <x:c r="I4" s="46" t="str">
        <x:v>Backup, Export, and Restore</x:v>
      </x:c>
      <x:c r="J4" s="46" t="str">
        <x:v>Database test</x:v>
      </x:c>
      <x:c r="K4" s="46" t="str">
        <x:v>Deferred</x:v>
      </x:c>
      <x:c r="L4" s="47" t="str">
        <x:v>OPD-4-018</x:v>
      </x:c>
    </x:row>
    <x:row r="5" ht="42" customHeight="1">
      <x:c r="A5" s="45" t="str">
        <x:v>FR-T-022</x:v>
      </x:c>
      <x:c r="B5" s="46" t="str">
        <x:v>T. Account and Synchronization</x:v>
      </x:c>
      <x:c r="C5" s="46" t="str">
        <x:v>A user may pause synchronization without disabling local application workflows.</x:v>
      </x:c>
      <x:c r="D5" s="46" t="str">
        <x:v>BR-T-006, BR-T-007, BR-T-010</x:v>
      </x:c>
      <x:c r="E5" s="46" t="str">
        <x:v>ADR-016 — Offline Outbox Synchronization and Conflict Resolution; ADR-018 — Guest-to-Account Migration and Account Lifecycle</x:v>
      </x:c>
      <x:c r="F5" s="46" t="str">
        <x:v>AC-T-022</x:v>
      </x:c>
      <x:c r="G5" s="46" t="str">
        <x:v>No</x:v>
      </x:c>
      <x:c r="H5" s="46" t="str">
        <x:v>V1.1</x:v>
      </x:c>
      <x:c r="I5" s="46" t="str">
        <x:v>Account and Synchronization</x:v>
      </x:c>
      <x:c r="J5" s="46" t="str">
        <x:v>Integration test</x:v>
      </x:c>
      <x:c r="K5" s="46" t="str">
        <x:v>Deferred</x:v>
      </x:c>
      <x:c r="L5" s="47" t="str"/>
    </x:row>
    <x:row r="6" ht="42" customHeight="1">
      <x:c r="A6" s="48" t="str">
        <x:v>FR-V-020</x:v>
      </x:c>
      <x:c r="B6" s="49" t="str">
        <x:v>V. Device-Calendar Manual Import and Export</x:v>
      </x:c>
      <x:c r="C6" s="49" t="str">
        <x:v>Continuous or automatic two-way device-calendar synchronization shall remain deferred.</x:v>
      </x:c>
      <x:c r="D6" s="49" t="str">
        <x:v>BR-V-002, BR-V-003, BR-V-013</x:v>
      </x:c>
      <x:c r="E6" s="49" t="str">
        <x:v>ADR-022 — Notifications, Background Work, and Calendar Integration</x:v>
      </x:c>
      <x:c r="F6" s="49" t="str">
        <x:v>AC-V-020</x:v>
      </x:c>
      <x:c r="G6" s="49" t="str">
        <x:v>No</x:v>
      </x:c>
      <x:c r="H6" s="49" t="str">
        <x:v>Deferred</x:v>
      </x:c>
      <x:c r="I6" s="49" t="str">
        <x:v>Device-Calendar Manual Import and Export</x:v>
      </x:c>
      <x:c r="J6" s="49" t="str">
        <x:v>Integration test</x:v>
      </x:c>
      <x:c r="K6" s="49" t="str">
        <x:v>Deferred</x:v>
      </x:c>
      <x:c r="L6" s="50" t="str">
        <x:v>OPD-5-005</x:v>
      </x:c>
    </x:row>
  </x:sheetData>
  <x:pageMargins left="0.7" right="0.7" top="0.75" bottom="0.75" header="0.3" footer="0.3"/>
  <x:tableParts count="1">
    <x:tablePart xmlns:r="http://schemas.openxmlformats.org/officeDocument/2006/relationships" r:id="R8df17f864f0243fe"/>
  </x:tableParts>
</x:worksheet>
</file>

<file path=xl/worksheets/sheet15.xml><?xml version="1.0" encoding="utf-8"?>
<x:worksheet xmlns:x="http://schemas.openxmlformats.org/spreadsheetml/2006/main">
  <x:sheetFormatPr defaultRowHeight="15"/>
  <x:cols>
    <x:col min="1" max="1" width="27" hidden="0" customWidth="1"/>
    <x:col min="2" max="2" width="90" hidden="0" customWidth="1"/>
  </x:cols>
  <x:sheetData>
    <x:row r="1">
      <x:c r="A1" s="72" t="str">
        <x:v>Next Transfer Phase 3 Approved Baseline and Vertical-Slice Pack</x:v>
      </x:c>
    </x:row>
    <x:row r="3">
      <x:c r="A3" s="76" t="str">
        <x:v>Workbook scope</x:v>
      </x:c>
      <x:c r="B3" s="13" t="str">
        <x:v>A–X Product Requirements and bidirectional ADR traceability</x:v>
      </x:c>
    </x:row>
    <x:row r="4">
      <x:c r="A4" s="76" t="str">
        <x:v>Canonical IDs</x:v>
      </x:c>
      <x:c r="B4" s="13" t="str">
        <x:v>FR-[Feature]-###, BR-[Feature]-###, AC-[Feature]-###, OPD-[Batch]-###</x:v>
      </x:c>
    </x:row>
    <x:row r="5">
      <x:c r="A5" s="76" t="str">
        <x:v>Requirements sheet</x:v>
      </x:c>
      <x:c r="B5" s="13" t="str">
        <x:v>Authoritative consolidated Requirement → ADR matrix</x:v>
      </x:c>
    </x:row>
    <x:row r="6">
      <x:c r="A6" s="76" t="str">
        <x:v>ADR to Requirements</x:v>
      </x:c>
      <x:c r="B6" s="13" t="str">
        <x:v>Reverse ADR → Requirement mapping</x:v>
      </x:c>
    </x:row>
    <x:row r="7">
      <x:c r="A7" s="76" t="str">
        <x:v>Acceptance Criteria</x:v>
      </x:c>
      <x:c r="B7" s="13" t="str">
        <x:v>Each AC names the FR it verifies</x:v>
      </x:c>
    </x:row>
    <x:row r="8">
      <x:c r="A8" s="76" t="str">
        <x:v>Open Decisions</x:v>
      </x:c>
      <x:c r="B8" s="13" t="str">
        <x:v>All 95 OPDs approved; Final Position is authoritative.</x:v>
      </x:c>
    </x:row>
    <x:row r="9">
      <x:c r="A9" s="76" t="str">
        <x:v>Completion Reports</x:v>
      </x:c>
      <x:c r="B9" s="13" t="str">
        <x:v>Orphan, ADR, acceptance, decision, contradiction, and blocker status.</x:v>
      </x:c>
    </x:row>
    <x:row r="10">
      <x:c r="A10" s="76" t="str">
        <x:v>Verification levels</x:v>
      </x:c>
      <x:c r="B10" s="13" t="str">
        <x:v>Domain / Database / Widget / Integration / RLS / Manual review</x:v>
      </x:c>
    </x:row>
    <x:row r="11">
      <x:c r="A11" s="76" t="str">
        <x:v>Traceability status</x:v>
      </x:c>
      <x:c r="B11" s="13" t="str">
        <x:v>Complete / Deferred / Not product-facing</x:v>
      </x:c>
    </x:row>
  </x:sheetData>
  <x:mergeCells>
    <x:mergeCell ref="A1:F1"/>
  </x:mergeCells>
  <x:pageMargins left="0.7" right="0.7" top="0.75" bottom="0.75" header="0.3" footer="0.3"/>
</x:worksheet>
</file>

<file path=xl/worksheets/sheet16.xml><?xml version="1.0" encoding="utf-8"?>
<x:worksheet xmlns:x="http://schemas.openxmlformats.org/spreadsheetml/2006/main">
  <x:sheetFormatPr defaultRowHeight="15"/>
  <x:cols>
    <x:col min="1" max="1" width="38" hidden="0" customWidth="1"/>
    <x:col min="2" max="2" width="12" hidden="0" customWidth="1"/>
    <x:col min="3" max="3" width="4" hidden="0" customWidth="1"/>
    <x:col min="4" max="4" width="34" hidden="0" customWidth="1"/>
    <x:col min="5" max="5" width="12" hidden="0" customWidth="1"/>
    <x:col min="6" max="6" width="24" hidden="0" customWidth="1"/>
  </x:cols>
  <x:sheetData>
    <x:row r="1" ht="40" customHeight="1">
      <x:c r="A1" s="121" t="str">
        <x:v>Next Transfer - Phase 3 Approved OPD Baseline</x:v>
      </x:c>
      <x:c r="B1" s="121"/>
      <x:c r="C1" s="121"/>
      <x:c r="D1" s="121"/>
      <x:c r="E1" s="121"/>
      <x:c r="F1" s="121"/>
    </x:row>
    <x:row r="2">
      <x:c r="A2" s="111"/>
      <x:c r="B2" s="111"/>
      <x:c r="C2" s="111"/>
      <x:c r="D2" s="111"/>
      <x:c r="E2" s="111"/>
      <x:c r="F2" s="111"/>
    </x:row>
    <x:row r="3">
      <x:c r="A3" s="122" t="str">
        <x:v>Decision approval gate</x:v>
      </x:c>
      <x:c r="B3" s="122" t="str">
        <x:v>Count</x:v>
      </x:c>
      <x:c r="C3" s="111"/>
      <x:c r="D3" s="122" t="str">
        <x:v>Reconciliation gate</x:v>
      </x:c>
      <x:c r="E3" s="122" t="str">
        <x:v>Count</x:v>
      </x:c>
      <x:c r="F3" s="111"/>
    </x:row>
    <x:row r="4">
      <x:c r="A4" s="113" t="str">
        <x:v>Total OPDs</x:v>
      </x:c>
      <x:c r="B4" s="114" t="n">
        <x:f>COUNTA('OPD Approval Pass'!A2:A96)</x:f>
        <x:v>95</x:v>
      </x:c>
      <x:c r="C4" s="111"/>
      <x:c r="D4" s="113" t="str">
        <x:v>OPDs without direct FR links</x:v>
      </x:c>
      <x:c r="E4" s="114" t="n">
        <x:f>COUNTA('OPD Reconciliation'!A2:A27)</x:f>
        <x:v>26</x:v>
      </x:c>
      <x:c r="F4" s="111"/>
    </x:row>
    <x:row r="5">
      <x:c r="A5" s="113" t="str">
        <x:v>Approve as written</x:v>
      </x:c>
      <x:c r="B5" s="114" t="n">
        <x:f>COUNTIF('OPD Approval Pass'!F2:F96,"Approve as written")</x:f>
        <x:v>75</x:v>
      </x:c>
      <x:c r="C5" s="111"/>
      <x:c r="D5" s="113" t="str">
        <x:v>Backfill existing FR links</x:v>
      </x:c>
      <x:c r="E5" s="114" t="n">
        <x:f>COUNTIF('OPD Reconciliation'!D2:D27,"Backfill existing FR links")</x:f>
        <x:v>22</x:v>
      </x:c>
      <x:c r="F5" s="111"/>
    </x:row>
    <x:row r="6">
      <x:c r="A6" s="113" t="str">
        <x:v>Approve with reconciled wording</x:v>
      </x:c>
      <x:c r="B6" s="114" t="n">
        <x:f>COUNTIF('OPD Approval Pass'!F2:F96,"Approve with reconciled wording")</x:f>
        <x:v>14</x:v>
      </x:c>
      <x:c r="C6" s="111"/>
      <x:c r="D6" s="113" t="str">
        <x:v>Non-FR specification/scope constraints</x:v>
      </x:c>
      <x:c r="E6" s="114" t="n">
        <x:f>E4-E5</x:f>
        <x:v>4</x:v>
      </x:c>
      <x:c r="F6" s="111"/>
    </x:row>
    <x:row r="7">
      <x:c r="A7" s="113" t="str">
        <x:v>Replace vague recommendation with explicit proposal</x:v>
      </x:c>
      <x:c r="B7" s="114" t="n">
        <x:f>COUNTIF('OPD Approval Pass'!F2:F96,"Replace vague recommendation with explicit proposal")</x:f>
        <x:v>6</x:v>
      </x:c>
      <x:c r="C7" s="111"/>
      <x:c r="D7" s="113" t="str">
        <x:v>V1.1 candidate traceability actions</x:v>
      </x:c>
      <x:c r="E7" s="114" t="n">
        <x:f>COUNTIF('OPD Reconciliation'!D2:D27,"Add V1.1 candidate traceability")+COUNTIF('OPD Reconciliation'!D2:D27,"Record as vertical-slice and V1.1 constraint")</x:f>
        <x:v>2</x:v>
      </x:c>
      <x:c r="F7" s="111"/>
    </x:row>
    <x:row r="8">
      <x:c r="A8" s="113" t="str">
        <x:v>Approved by product owner</x:v>
      </x:c>
      <x:c r="B8" s="114" t="n">
        <x:v>95</x:v>
      </x:c>
      <x:c r="C8" s="111"/>
      <x:c r="D8" s="113" t="str">
        <x:v>ADR baseline contradictions</x:v>
      </x:c>
      <x:c r="E8" s="114" t="n">
        <x:f>0</x:f>
        <x:v>0</x:v>
      </x:c>
      <x:c r="F8" s="111"/>
    </x:row>
    <x:row r="9">
      <x:c r="A9" s="111"/>
      <x:c r="B9" s="115"/>
      <x:c r="C9" s="111"/>
      <x:c r="D9" s="111"/>
      <x:c r="E9" s="111"/>
      <x:c r="F9" s="111"/>
    </x:row>
    <x:row r="10">
      <x:c r="A10" s="122" t="str">
        <x:v>Requirement decision status</x:v>
      </x:c>
      <x:c r="B10" s="122" t="str">
        <x:v>Count</x:v>
      </x:c>
      <x:c r="C10" s="111"/>
      <x:c r="D10" s="111"/>
      <x:c r="E10" s="111"/>
      <x:c r="F10" s="111"/>
    </x:row>
    <x:row r="11" ht="32" customHeight="1">
      <x:c r="A11" s="125" t="str">
        <x:v>Current Needs Decision rows</x:v>
      </x:c>
      <x:c r="B11" s="114" t="n">
        <x:v>0</x:v>
      </x:c>
      <x:c r="C11" s="111"/>
      <x:c r="D11" s="111"/>
      <x:c r="E11" s="111"/>
      <x:c r="F11" s="111"/>
    </x:row>
    <x:row r="12" ht="32" customHeight="1">
      <x:c r="A12" s="125" t="str">
        <x:v>After approval and traceability repair</x:v>
      </x:c>
      <x:c r="B12" s="114" t="n">
        <x:v>0</x:v>
      </x:c>
      <x:c r="C12" s="111"/>
      <x:c r="D12" s="111"/>
      <x:c r="E12" s="111"/>
      <x:c r="F12" s="111"/>
    </x:row>
    <x:row r="13">
      <x:c r="A13" s="111"/>
      <x:c r="B13" s="111"/>
      <x:c r="C13" s="111"/>
      <x:c r="D13" s="111"/>
      <x:c r="E13" s="111"/>
      <x:c r="F13" s="111"/>
    </x:row>
    <x:row r="14">
      <x:c r="A14" s="123" t="str">
        <x:v>Approval record</x:v>
      </x:c>
      <x:c r="B14" s="123"/>
      <x:c r="C14" s="123"/>
      <x:c r="D14" s="123"/>
      <x:c r="E14" s="123"/>
      <x:c r="F14" s="123"/>
    </x:row>
    <x:row r="15">
      <x:c r="A15" s="117" t="str">
        <x:v>Approved on 2026-07-26. All 95 final positions and 26 traceability repairs are authoritative for vertical-slice specifications.</x:v>
      </x:c>
      <x:c r="B15" s="117"/>
      <x:c r="C15" s="117"/>
      <x:c r="D15" s="117"/>
      <x:c r="E15" s="117"/>
      <x:c r="F15" s="117"/>
    </x:row>
    <x:row r="16">
      <x:c r="A16" s="117"/>
      <x:c r="B16" s="117"/>
      <x:c r="C16" s="117"/>
      <x:c r="D16" s="117"/>
      <x:c r="E16" s="117"/>
      <x:c r="F16" s="117"/>
    </x:row>
    <x:row r="17">
      <x:c r="A17" s="117"/>
      <x:c r="B17" s="117"/>
      <x:c r="C17" s="117"/>
      <x:c r="D17" s="117"/>
      <x:c r="E17" s="117"/>
      <x:c r="F17" s="117"/>
    </x:row>
    <x:row r="18">
      <x:c r="A18" s="117"/>
      <x:c r="B18" s="117"/>
      <x:c r="C18" s="117"/>
      <x:c r="D18" s="117"/>
      <x:c r="E18" s="117"/>
      <x:c r="F18" s="117"/>
    </x:row>
    <x:row r="19">
      <x:c r="A19" s="111"/>
      <x:c r="B19" s="111"/>
      <x:c r="C19" s="111"/>
      <x:c r="D19" s="111"/>
      <x:c r="E19" s="111"/>
      <x:c r="F19" s="111"/>
    </x:row>
    <x:row r="20">
      <x:c r="A20" s="124" t="str">
        <x:v>Material reconciliation findings</x:v>
      </x:c>
      <x:c r="B20" s="124"/>
      <x:c r="C20" s="124"/>
      <x:c r="D20" s="124"/>
      <x:c r="E20" s="124"/>
      <x:c r="F20" s="124"/>
    </x:row>
    <x:row r="21" ht="26" customHeight="1">
      <x:c r="A21" s="119" t="str">
        <x:v>A separate app PIN is removed from V1; Privacy Lock uses OS biometric/device credential.</x:v>
      </x:c>
      <x:c r="B21" s="119"/>
      <x:c r="C21" s="119"/>
      <x:c r="D21" s="119"/>
      <x:c r="E21" s="119"/>
      <x:c r="F21" s="119"/>
    </x:row>
    <x:row r="22" ht="26" customHeight="1">
      <x:c r="A22" s="120" t="str">
        <x:v>Private reflections remain Extra Private and local-only throughout V1; per-category sync opt-in is not implied.</x:v>
      </x:c>
      <x:c r="B22" s="120"/>
      <x:c r="C22" s="120"/>
      <x:c r="D22" s="120"/>
      <x:c r="E22" s="120"/>
      <x:c r="F22" s="120"/>
    </x:row>
    <x:row r="23" ht="26" customHeight="1">
      <x:c r="A23" s="119" t="str">
        <x:v>Portable .ntbackup protection is passphrase-based; device-bound protection is limited to temporary local checkpoints.</x:v>
      </x:c>
      <x:c r="B23" s="119"/>
      <x:c r="C23" s="119"/>
      <x:c r="D23" s="119"/>
      <x:c r="E23" s="119"/>
      <x:c r="F23" s="119"/>
    </x:row>
    <x:row r="24" ht="26" customHeight="1">
      <x:c r="A24" s="120" t="str">
        <x:v>Exact alarms are limited to genuine user-selected time-critical reminders, never general background work.</x:v>
      </x:c>
      <x:c r="B24" s="120"/>
      <x:c r="C24" s="120"/>
      <x:c r="D24" s="120"/>
      <x:c r="E24" s="120"/>
      <x:c r="F24" s="120"/>
    </x:row>
    <x:row r="25" ht="26" customHeight="1">
      <x:c r="A25" s="119" t="str">
        <x:v>Six vague set/lifecycle decisions are replaced with explicit implementation proposals.</x:v>
      </x:c>
      <x:c r="B25" s="119"/>
      <x:c r="C25" s="119"/>
      <x:c r="D25" s="119"/>
      <x:c r="E25" s="119"/>
      <x:c r="F25" s="119"/>
    </x:row>
    <x:row r="26" ht="26" customHeight="1">
      <x:c r="A26" s="120" t="str">
        <x:v>Twenty-six OPDs need traceability repair: 22 backfill existing FR links and 4 become specification/scope constraints.</x:v>
      </x:c>
      <x:c r="B26" s="120"/>
      <x:c r="C26" s="120"/>
      <x:c r="D26" s="120"/>
      <x:c r="E26" s="120"/>
      <x:c r="F26" s="120"/>
    </x:row>
  </x:sheetData>
  <x:mergeCells>
    <x:mergeCell ref="A1:F1"/>
    <x:mergeCell ref="A14:F14"/>
    <x:mergeCell ref="A15:F18"/>
    <x:mergeCell ref="A20:F20"/>
    <x:mergeCell ref="A21:F21"/>
    <x:mergeCell ref="A22:F22"/>
    <x:mergeCell ref="A23:F23"/>
    <x:mergeCell ref="A24:F24"/>
    <x:mergeCell ref="A25:F25"/>
    <x:mergeCell ref="A26:F26"/>
  </x:mergeCells>
  <x:conditionalFormatting sqref="A4:B8">
    <x:cfRule type="expression" dxfId="19" priority="1">
      <x:formula>MOD(ROW(),2)=0</x:formula>
    </x:cfRule>
  </x:conditionalFormatting>
  <x:conditionalFormatting sqref="D4:E8">
    <x:cfRule type="expression" dxfId="20" priority="2">
      <x:formula>MOD(ROW(),2)=0</x:formula>
    </x:cfRule>
  </x:conditionalFormatting>
  <x:conditionalFormatting sqref="A11:B12">
    <x:cfRule type="expression" dxfId="21" priority="3">
      <x:formula>MOD(ROW(),2)=1</x:formula>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14" hidden="0" customWidth="1"/>
    <x:col min="2" max="2" width="30" hidden="0" customWidth="1"/>
    <x:col min="3" max="3" width="28" hidden="0" customWidth="1"/>
    <x:col min="4" max="4" width="44" hidden="0" customWidth="1"/>
    <x:col min="5" max="5" width="54" hidden="0" customWidth="1"/>
    <x:col min="6" max="6" width="28" hidden="0" customWidth="1"/>
    <x:col min="7" max="7" width="12" hidden="0" customWidth="1"/>
    <x:col min="8" max="8" width="16" hidden="0" customWidth="1"/>
    <x:col min="9" max="9" width="34" hidden="0" customWidth="1"/>
    <x:col min="10" max="10" width="48" hidden="0" customWidth="1"/>
    <x:col min="11" max="11" width="20" hidden="0" customWidth="1"/>
  </x:cols>
  <x:sheetData>
    <x:row r="1" ht="34" customHeight="1">
      <x:c r="A1" s="86" t="str">
        <x:v>Decision ID</x:v>
      </x:c>
      <x:c r="B1" s="86" t="str">
        <x:v>Feature Group</x:v>
      </x:c>
      <x:c r="C1" s="86" t="str">
        <x:v>Decision</x:v>
      </x:c>
      <x:c r="D1" s="86" t="str">
        <x:v>Original Recommended Position</x:v>
      </x:c>
      <x:c r="E1" s="86" t="str">
        <x:v>Proposed Final Position</x:v>
      </x:c>
      <x:c r="F1" s="86" t="str">
        <x:v>Recommended Disposition</x:v>
      </x:c>
      <x:c r="G1" s="86" t="str">
        <x:v>Affected FR Count</x:v>
      </x:c>
      <x:c r="H1" s="86" t="str">
        <x:v>Release-Blocking FR Count</x:v>
      </x:c>
      <x:c r="I1" s="86" t="str">
        <x:v>Currently Linked Requirement IDs</x:v>
      </x:c>
      <x:c r="J1" s="86" t="str">
        <x:v>Reconciliation Rationale</x:v>
      </x:c>
      <x:c r="K1" s="86" t="str">
        <x:v>Approval Status</x:v>
      </x:c>
    </x:row>
    <x:row r="2">
      <x:c r="A2" s="87" t="str">
        <x:v>OPD-1-001</x:v>
      </x:c>
      <x:c r="B2" s="88" t="str">
        <x:v>A. App Startup and Guest Onboarding</x:v>
      </x:c>
      <x:c r="C2" s="88" t="str">
        <x:v>Minimum Local Profile fields</x:v>
      </x:c>
      <x:c r="D2" s="88" t="str">
        <x:v>Allow an automatically generated local profile name; display name remains optional and editable.</x:v>
      </x:c>
      <x:c r="E2" s="88" t="str">
        <x:v>Allow an automatically generated local profile name; display name remains optional and editable.</x:v>
      </x:c>
      <x:c r="F2" s="88" t="str">
        <x:v>Approve as written</x:v>
      </x:c>
      <x:c r="G2" s="89" t="n">
        <x:v>4</x:v>
      </x:c>
      <x:c r="H2" s="89" t="n">
        <x:v>2</x:v>
      </x:c>
      <x:c r="I2" s="88" t="str">
        <x:v>FR-A-001, FR-A-004, FR-A-011, FR-A-012</x:v>
      </x:c>
      <x:c r="J2" s="88" t="str">
        <x:v>Consistent with the approved ADR baseline and consolidated A–X requirements; no contradiction, technical impossibility, security risk, or data-loss risk identified.</x:v>
      </x:c>
      <x:c r="K2" s="88" t="str">
        <x:v>Approved</x:v>
      </x:c>
    </x:row>
    <x:row r="3">
      <x:c r="A3" s="87" t="str">
        <x:v>OPD-1-002</x:v>
      </x:c>
      <x:c r="B3" s="88" t="str">
        <x:v>A. App Startup and Guest Onboarding</x:v>
      </x:c>
      <x:c r="C3" s="88" t="str">
        <x:v>Privacy-lock fallback</x:v>
      </x:c>
      <x:c r="D3" s="88" t="str">
        <x:v>Use OS device credential or approved app PIN fallback where necessary.</x:v>
      </x:c>
      <x:c r="E3" s="88" t="str">
        <x:v>Use OS biometric authentication when available and OS device credential as the V1 fallback. Do not implement or store a separate app PIN in V1.</x:v>
      </x:c>
      <x:c r="F3" s="88" t="str">
        <x:v>Approve with reconciled wording</x:v>
      </x:c>
      <x:c r="G3" s="89" t="n">
        <x:v>0</x:v>
      </x:c>
      <x:c r="H3" s="89" t="n">
        <x:v>0</x:v>
      </x:c>
      <x:c r="I3" s="88" t="str"/>
      <x:c r="J3" s="88" t="str">
        <x:v>Reconciles the earlier app-PIN wording with the later Privacy Center contract and keeps Privacy Lock OS-backed.</x:v>
      </x:c>
      <x:c r="K3" s="88" t="str">
        <x:v>Approved</x:v>
      </x:c>
    </x:row>
    <x:row r="4">
      <x:c r="A4" s="87" t="str">
        <x:v>OPD-1-003</x:v>
      </x:c>
      <x:c r="B4" s="88" t="str">
        <x:v>A. App Startup and Guest Onboarding</x:v>
      </x:c>
      <x:c r="C4" s="88" t="str">
        <x:v>Default relock timing</x:v>
      </x:c>
      <x:c r="D4" s="88" t="str">
        <x:v>Lock immediately after leaving foreground; configurable timeout later.</x:v>
      </x:c>
      <x:c r="E4" s="88" t="str">
        <x:v>Default to immediate relock after a genuine app-background transition. App-launched system authentication, permission, and scoped-picker flows must not create a relock loop. A configurable timeout is post-V1 and remains device-specific.</x:v>
      </x:c>
      <x:c r="F4" s="88" t="str">
        <x:v>Approve with reconciled wording</x:v>
      </x:c>
      <x:c r="G4" s="89" t="n">
        <x:v>0</x:v>
      </x:c>
      <x:c r="H4" s="89" t="n">
        <x:v>0</x:v>
      </x:c>
      <x:c r="I4" s="88" t="str"/>
      <x:c r="J4" s="88" t="str">
        <x:v>Preserves the secure default while preventing broken permission, picker, and authentication flows.</x:v>
      </x:c>
      <x:c r="K4" s="88" t="str">
        <x:v>Approved</x:v>
      </x:c>
    </x:row>
    <x:row r="5">
      <x:c r="A5" s="87" t="str">
        <x:v>OPD-1-004</x:v>
      </x:c>
      <x:c r="B5" s="88" t="str">
        <x:v>A. App Startup and Guest Onboarding</x:v>
      </x:c>
      <x:c r="C5" s="88" t="str">
        <x:v>Target setup timing</x:v>
      </x:c>
      <x:c r="D5" s="88" t="str">
        <x:v>Optional during onboarding with a persistent Home prompt.</x:v>
      </x:c>
      <x:c r="E5" s="88" t="str">
        <x:v>Optional during onboarding with a persistent Home prompt.</x:v>
      </x:c>
      <x:c r="F5" s="88" t="str">
        <x:v>Approve as written</x:v>
      </x:c>
      <x:c r="G5" s="89" t="n">
        <x:v>1</x:v>
      </x:c>
      <x:c r="H5" s="89" t="n">
        <x:v>1</x:v>
      </x:c>
      <x:c r="I5" s="88" t="str">
        <x:v>FR-A-017</x:v>
      </x:c>
      <x:c r="J5" s="88" t="str">
        <x:v>Consistent with the approved ADR baseline and consolidated A–X requirements; no contradiction, technical impossibility, security risk, or data-loss risk identified.</x:v>
      </x:c>
      <x:c r="K5" s="88" t="str">
        <x:v>Approved</x:v>
      </x:c>
    </x:row>
    <x:row r="6">
      <x:c r="A6" s="87" t="str">
        <x:v>OPD-1-005</x:v>
      </x:c>
      <x:c r="B6" s="88" t="str">
        <x:v>B. Home and Life Indicators</x:v>
      </x:c>
      <x:c r="C6" s="88" t="str">
        <x:v>Initial Weekly Targets</x:v>
      </x:c>
      <x:c r="D6" s="88" t="str">
        <x:v>Begin as Not set and present optional suggested values without silently applying them.</x:v>
      </x:c>
      <x:c r="E6" s="88" t="str">
        <x:v>Begin as Not set and present optional suggested values without silently applying them.</x:v>
      </x:c>
      <x:c r="F6" s="88" t="str">
        <x:v>Approve as written</x:v>
      </x:c>
      <x:c r="G6" s="89" t="n">
        <x:v>0</x:v>
      </x:c>
      <x:c r="H6" s="89" t="n">
        <x:v>0</x:v>
      </x:c>
      <x:c r="I6" s="88" t="str"/>
      <x:c r="J6" s="88" t="str">
        <x:v>Consistent with the approved ADR baseline and consolidated A–X requirements; no contradiction, technical impossibility, security risk, or data-loss risk identified.</x:v>
      </x:c>
      <x:c r="K6" s="88" t="str">
        <x:v>Approved</x:v>
      </x:c>
    </x:row>
    <x:row r="7">
      <x:c r="A7" s="87" t="str">
        <x:v>OPD-1-006</x:v>
      </x:c>
      <x:c r="B7" s="88" t="str">
        <x:v>B. Home and Life Indicators</x:v>
      </x:c>
      <x:c r="C7" s="88" t="str">
        <x:v>Home period navigation</x:v>
      </x:c>
      <x:c r="D7" s="88" t="str">
        <x:v>Current week only on Home in V1; history through indicator detail.</x:v>
      </x:c>
      <x:c r="E7" s="88" t="str">
        <x:v>Current week only on Home in V1; history through indicator detail.</x:v>
      </x:c>
      <x:c r="F7" s="88" t="str">
        <x:v>Approve as written</x:v>
      </x:c>
      <x:c r="G7" s="89" t="n">
        <x:v>2</x:v>
      </x:c>
      <x:c r="H7" s="89" t="n">
        <x:v>1</x:v>
      </x:c>
      <x:c r="I7" s="88" t="str">
        <x:v>FR-B-005, FR-B-018</x:v>
      </x:c>
      <x:c r="J7" s="88" t="str">
        <x:v>Consistent with the approved ADR baseline and consolidated A–X requirements; no contradiction, technical impossibility, security risk, or data-loss risk identified.</x:v>
      </x:c>
      <x:c r="K7" s="88" t="str">
        <x:v>Approved</x:v>
      </x:c>
    </x:row>
    <x:row r="8">
      <x:c r="A8" s="87" t="str">
        <x:v>OPD-1-007</x:v>
      </x:c>
      <x:c r="B8" s="88" t="str">
        <x:v>B. Home and Life Indicators</x:v>
      </x:c>
      <x:c r="C8" s="88" t="str">
        <x:v>Projected total</x:v>
      </x:c>
      <x:c r="D8" s="88" t="str">
        <x:v>Omit Actual plus Scheduled Potential combined total in V1.</x:v>
      </x:c>
      <x:c r="E8" s="88" t="str">
        <x:v>Omit Actual plus Scheduled Potential combined total in V1.</x:v>
      </x:c>
      <x:c r="F8" s="88" t="str">
        <x:v>Approve as written</x:v>
      </x:c>
      <x:c r="G8" s="89" t="n">
        <x:v>3</x:v>
      </x:c>
      <x:c r="H8" s="89" t="n">
        <x:v>2</x:v>
      </x:c>
      <x:c r="I8" s="88" t="str">
        <x:v>FR-B-003, FR-B-006, FR-B-019</x:v>
      </x:c>
      <x:c r="J8" s="88" t="str">
        <x:v>Consistent with the approved ADR baseline and consolidated A–X requirements; no contradiction, technical impossibility, security risk, or data-loss risk identified.</x:v>
      </x:c>
      <x:c r="K8" s="88" t="str">
        <x:v>Approved</x:v>
      </x:c>
    </x:row>
    <x:row r="9">
      <x:c r="A9" s="87" t="str">
        <x:v>OPD-1-008</x:v>
      </x:c>
      <x:c r="B9" s="88" t="str">
        <x:v>B. Home and Life Indicators</x:v>
      </x:c>
      <x:c r="C9" s="88" t="str">
        <x:v>Indicator order</x:v>
      </x:c>
      <x:c r="D9" s="88" t="str">
        <x:v>Use the fixed approved six-indicator order in V1.</x:v>
      </x:c>
      <x:c r="E9" s="88" t="str">
        <x:v>Use the fixed approved six-indicator order in V1.</x:v>
      </x:c>
      <x:c r="F9" s="88" t="str">
        <x:v>Approve as written</x:v>
      </x:c>
      <x:c r="G9" s="89" t="n">
        <x:v>0</x:v>
      </x:c>
      <x:c r="H9" s="89" t="n">
        <x:v>0</x:v>
      </x:c>
      <x:c r="I9" s="88" t="str"/>
      <x:c r="J9" s="88" t="str">
        <x:v>Consistent with the approved ADR baseline and consolidated A–X requirements; no contradiction, technical impossibility, security risk, or data-loss risk identified.</x:v>
      </x:c>
      <x:c r="K9" s="88" t="str">
        <x:v>Approved</x:v>
      </x:c>
    </x:row>
    <x:row r="10">
      <x:c r="A10" s="87" t="str">
        <x:v>OPD-1-009</x:v>
      </x:c>
      <x:c r="B10" s="88" t="str">
        <x:v>C. Planner Day View</x:v>
      </x:c>
      <x:c r="C10" s="88" t="str">
        <x:v>Cancelled and rescheduled presentation</x:v>
      </x:c>
      <x:c r="D10" s="88" t="str">
        <x:v>Use a Changes section while Awaiting Report remains prominent.</x:v>
      </x:c>
      <x:c r="E10" s="88" t="str">
        <x:v>Use a Changes section while Awaiting Report remains prominent.</x:v>
      </x:c>
      <x:c r="F10" s="88" t="str">
        <x:v>Approve as written</x:v>
      </x:c>
      <x:c r="G10" s="89" t="n">
        <x:v>1</x:v>
      </x:c>
      <x:c r="H10" s="89" t="n">
        <x:v>1</x:v>
      </x:c>
      <x:c r="I10" s="88" t="str">
        <x:v>FR-C-006</x:v>
      </x:c>
      <x:c r="J10" s="88" t="str">
        <x:v>Consistent with the approved ADR baseline and consolidated A–X requirements; no contradiction, technical impossibility, security risk, or data-loss risk identified.</x:v>
      </x:c>
      <x:c r="K10" s="88" t="str">
        <x:v>Approved</x:v>
      </x:c>
    </x:row>
    <x:row r="11">
      <x:c r="A11" s="87" t="str">
        <x:v>OPD-1-010</x:v>
      </x:c>
      <x:c r="B11" s="88" t="str">
        <x:v>C. Planner Day View</x:v>
      </x:c>
      <x:c r="C11" s="88" t="str">
        <x:v>Planner reopening</x:v>
      </x:c>
      <x:c r="D11" s="88" t="str">
        <x:v>Preserve the last selected day in-session and default to today after cold start.</x:v>
      </x:c>
      <x:c r="E11" s="88" t="str">
        <x:v>Preserve the last selected day in-session and default to today after cold start.</x:v>
      </x:c>
      <x:c r="F11" s="88" t="str">
        <x:v>Approve as written</x:v>
      </x:c>
      <x:c r="G11" s="89" t="n">
        <x:v>3</x:v>
      </x:c>
      <x:c r="H11" s="89" t="n">
        <x:v>3</x:v>
      </x:c>
      <x:c r="I11" s="88" t="str">
        <x:v>FR-C-001, FR-C-004, FR-C-017</x:v>
      </x:c>
      <x:c r="J11" s="88" t="str">
        <x:v>Consistent with the approved ADR baseline and consolidated A–X requirements; no contradiction, technical impossibility, security risk, or data-loss risk identified.</x:v>
      </x:c>
      <x:c r="K11" s="88" t="str">
        <x:v>Approved</x:v>
      </x:c>
    </x:row>
    <x:row r="12">
      <x:c r="A12" s="87" t="str">
        <x:v>OPD-1-011</x:v>
      </x:c>
      <x:c r="B12" s="88" t="str">
        <x:v>C. Planner Day View</x:v>
      </x:c>
      <x:c r="C12" s="88" t="str">
        <x:v>Day-section order</x:v>
      </x:c>
      <x:c r="D12" s="88" t="str">
        <x:v>All-day events, timed events, Tasks, overdue Tasks, Awaiting Report, then Changes.</x:v>
      </x:c>
      <x:c r="E12" s="88" t="str">
        <x:v>All-day events, timed events, Tasks, overdue Tasks, Awaiting Report, then Changes.</x:v>
      </x:c>
      <x:c r="F12" s="88" t="str">
        <x:v>Approve as written</x:v>
      </x:c>
      <x:c r="G12" s="89" t="n">
        <x:v>4</x:v>
      </x:c>
      <x:c r="H12" s="89" t="n">
        <x:v>4</x:v>
      </x:c>
      <x:c r="I12" s="88" t="str">
        <x:v>FR-C-002, FR-C-003, FR-C-005, FR-C-006</x:v>
      </x:c>
      <x:c r="J12" s="88" t="str">
        <x:v>Consistent with the approved ADR baseline and consolidated A–X requirements; no contradiction, technical impossibility, security risk, or data-loss risk identified.</x:v>
      </x:c>
      <x:c r="K12" s="88" t="str">
        <x:v>Approved</x:v>
      </x:c>
    </x:row>
    <x:row r="13">
      <x:c r="A13" s="87" t="str">
        <x:v>OPD-1-012</x:v>
      </x:c>
      <x:c r="B13" s="88" t="str">
        <x:v>D. Tasks</x:v>
      </x:c>
      <x:c r="C13" s="88" t="str">
        <x:v>Required-report completion transaction</x:v>
      </x:c>
      <x:c r="D13" s="88" t="str">
        <x:v>Keep the Task Incomplete until report and completion save coherently.</x:v>
      </x:c>
      <x:c r="E13" s="88" t="str">
        <x:v>Keep the Task Incomplete until report and completion save coherently.</x:v>
      </x:c>
      <x:c r="F13" s="88" t="str">
        <x:v>Approve as written</x:v>
      </x:c>
      <x:c r="G13" s="89" t="n">
        <x:v>0</x:v>
      </x:c>
      <x:c r="H13" s="89" t="n">
        <x:v>0</x:v>
      </x:c>
      <x:c r="I13" s="88" t="str"/>
      <x:c r="J13" s="88" t="str">
        <x:v>Consistent with the approved ADR baseline and consolidated A–X requirements; no contradiction, technical impossibility, security risk, or data-loss risk identified.</x:v>
      </x:c>
      <x:c r="K13" s="88" t="str">
        <x:v>Approved</x:v>
      </x:c>
    </x:row>
    <x:row r="14">
      <x:c r="A14" s="87" t="str">
        <x:v>OPD-1-013</x:v>
      </x:c>
      <x:c r="B14" s="88" t="str">
        <x:v>D. Tasks</x:v>
      </x:c>
      <x:c r="C14" s="88" t="str">
        <x:v>Reopening Completed Tasks</x:v>
      </x:c>
      <x:c r="D14" s="88" t="str">
        <x:v>Direct reopen only when no report or ledger effect exists; otherwise use correction.</x:v>
      </x:c>
      <x:c r="E14" s="88" t="str">
        <x:v>Direct reopen only when no report or ledger effect exists; otherwise use correction.</x:v>
      </x:c>
      <x:c r="F14" s="88" t="str">
        <x:v>Approve as written</x:v>
      </x:c>
      <x:c r="G14" s="89" t="n">
        <x:v>0</x:v>
      </x:c>
      <x:c r="H14" s="89" t="n">
        <x:v>0</x:v>
      </x:c>
      <x:c r="I14" s="88" t="str"/>
      <x:c r="J14" s="88" t="str">
        <x:v>Consistent with the approved ADR baseline and consolidated A–X requirements; no contradiction, technical impossibility, security risk, or data-loss risk identified.</x:v>
      </x:c>
      <x:c r="K14" s="88" t="str">
        <x:v>Approved</x:v>
      </x:c>
    </x:row>
    <x:row r="15">
      <x:c r="A15" s="87" t="str">
        <x:v>OPD-1-014</x:v>
      </x:c>
      <x:c r="B15" s="88" t="str">
        <x:v>D. Tasks</x:v>
      </x:c>
      <x:c r="C15" s="88" t="str">
        <x:v>Skipped meaning</x:v>
      </x:c>
      <x:c r="D15" s="88" t="str">
        <x:v>Skipped means intentionally not done for the relevant plan or period; Cancelled means no longer intended.</x:v>
      </x:c>
      <x:c r="E15" s="88" t="str">
        <x:v>Skipped means intentionally not done for the relevant plan or period; Cancelled means no longer intended.</x:v>
      </x:c>
      <x:c r="F15" s="88" t="str">
        <x:v>Approve as written</x:v>
      </x:c>
      <x:c r="G15" s="89" t="n">
        <x:v>2</x:v>
      </x:c>
      <x:c r="H15" s="89" t="n">
        <x:v>1</x:v>
      </x:c>
      <x:c r="I15" s="88" t="str">
        <x:v>FR-D-005, FR-D-019</x:v>
      </x:c>
      <x:c r="J15" s="88" t="str">
        <x:v>Consistent with the approved ADR baseline and consolidated A–X requirements; no contradiction, technical impossibility, security risk, or data-loss risk identified.</x:v>
      </x:c>
      <x:c r="K15" s="88" t="str">
        <x:v>Approved</x:v>
      </x:c>
    </x:row>
    <x:row r="16">
      <x:c r="A16" s="87" t="str">
        <x:v>OPD-1-015</x:v>
      </x:c>
      <x:c r="B16" s="88" t="str">
        <x:v>D. Tasks</x:v>
      </x:c>
      <x:c r="C16" s="88" t="str">
        <x:v>Task deletion</x:v>
      </x:c>
      <x:c r="D16" s="88" t="str">
        <x:v>No hard delete in V1; use Cancelled and later archive behavior.</x:v>
      </x:c>
      <x:c r="E16" s="88" t="str">
        <x:v>No hard delete in V1; use Cancelled and later archive behavior.</x:v>
      </x:c>
      <x:c r="F16" s="88" t="str">
        <x:v>Approve as written</x:v>
      </x:c>
      <x:c r="G16" s="89" t="n">
        <x:v>0</x:v>
      </x:c>
      <x:c r="H16" s="89" t="n">
        <x:v>0</x:v>
      </x:c>
      <x:c r="I16" s="88" t="str"/>
      <x:c r="J16" s="88" t="str">
        <x:v>Consistent with the approved ADR baseline and consolidated A–X requirements; no contradiction, technical impossibility, security risk, or data-loss risk identified.</x:v>
      </x:c>
      <x:c r="K16" s="88" t="str">
        <x:v>Approved</x:v>
      </x:c>
    </x:row>
    <x:row r="17">
      <x:c r="A17" s="87" t="str">
        <x:v>OPD-1-016</x:v>
      </x:c>
      <x:c r="B17" s="88" t="str">
        <x:v>E. Calendar Events and Recurrence</x:v>
      </x:c>
      <x:c r="C17" s="88" t="str">
        <x:v>Monthly month-end recurrence</x:v>
      </x:c>
      <x:c r="D17" s="88" t="str">
        <x:v>Use the final valid day in shorter months.</x:v>
      </x:c>
      <x:c r="E17" s="88" t="str">
        <x:v>Use the final valid day in shorter months.</x:v>
      </x:c>
      <x:c r="F17" s="88" t="str">
        <x:v>Approve as written</x:v>
      </x:c>
      <x:c r="G17" s="89" t="n">
        <x:v>1</x:v>
      </x:c>
      <x:c r="H17" s="89" t="n">
        <x:v>1</x:v>
      </x:c>
      <x:c r="I17" s="88" t="str">
        <x:v>FR-E-006</x:v>
      </x:c>
      <x:c r="J17" s="88" t="str">
        <x:v>Consistent with the approved ADR baseline and consolidated A–X requirements; no contradiction, technical impossibility, security risk, or data-loss risk identified.</x:v>
      </x:c>
      <x:c r="K17" s="88" t="str">
        <x:v>Approved</x:v>
      </x:c>
    </x:row>
    <x:row r="18">
      <x:c r="A18" s="87" t="str">
        <x:v>OPD-1-017</x:v>
      </x:c>
      <x:c r="B18" s="88" t="str">
        <x:v>E. Calendar Events and Recurrence</x:v>
      </x:c>
      <x:c r="C18" s="88" t="str">
        <x:v>February 29 recurrence</x:v>
      </x:c>
      <x:c r="D18" s="88" t="str">
        <x:v>Use February 28 in non-leap years.</x:v>
      </x:c>
      <x:c r="E18" s="88" t="str">
        <x:v>Use February 28 in non-leap years.</x:v>
      </x:c>
      <x:c r="F18" s="88" t="str">
        <x:v>Approve as written</x:v>
      </x:c>
      <x:c r="G18" s="89" t="n">
        <x:v>0</x:v>
      </x:c>
      <x:c r="H18" s="89" t="n">
        <x:v>0</x:v>
      </x:c>
      <x:c r="I18" s="88" t="str"/>
      <x:c r="J18" s="88" t="str">
        <x:v>Consistent with the approved ADR baseline and consolidated A–X requirements; no contradiction, technical impossibility, security risk, or data-loss risk identified.</x:v>
      </x:c>
      <x:c r="K18" s="88" t="str">
        <x:v>Approved</x:v>
      </x:c>
    </x:row>
    <x:row r="19">
      <x:c r="A19" s="87" t="str">
        <x:v>OPD-1-018</x:v>
      </x:c>
      <x:c r="B19" s="88" t="str">
        <x:v>E. Calendar Events and Recurrence</x:v>
      </x:c>
      <x:c r="C19" s="88" t="str">
        <x:v>Recurring edit scopes</x:v>
      </x:c>
      <x:c r="D19" s="88" t="str">
        <x:v>Support this occurrence, this and future, and entire series.</x:v>
      </x:c>
      <x:c r="E19" s="88" t="str">
        <x:v>Support this occurrence, this and future, and entire series.</x:v>
      </x:c>
      <x:c r="F19" s="88" t="str">
        <x:v>Approve as written</x:v>
      </x:c>
      <x:c r="G19" s="89" t="n">
        <x:v>2</x:v>
      </x:c>
      <x:c r="H19" s="89" t="n">
        <x:v>1</x:v>
      </x:c>
      <x:c r="I19" s="88" t="str">
        <x:v>FR-E-017, FR-E-018</x:v>
      </x:c>
      <x:c r="J19" s="88" t="str">
        <x:v>Consistent with the approved ADR baseline and consolidated A–X requirements; no contradiction, technical impossibility, security risk, or data-loss risk identified.</x:v>
      </x:c>
      <x:c r="K19" s="88" t="str">
        <x:v>Approved</x:v>
      </x:c>
    </x:row>
    <x:row r="20">
      <x:c r="A20" s="87" t="str">
        <x:v>OPD-1-019</x:v>
      </x:c>
      <x:c r="B20" s="88" t="str">
        <x:v>E. Calendar Events and Recurrence</x:v>
      </x:c>
      <x:c r="C20" s="88" t="str">
        <x:v>Recurrence end rules</x:v>
      </x:c>
      <x:c r="D20" s="88" t="str">
        <x:v>Support no end, end on date, and end after count.</x:v>
      </x:c>
      <x:c r="E20" s="88" t="str">
        <x:v>Support no end, end on date, and end after count.</x:v>
      </x:c>
      <x:c r="F20" s="88" t="str">
        <x:v>Approve as written</x:v>
      </x:c>
      <x:c r="G20" s="89" t="n">
        <x:v>0</x:v>
      </x:c>
      <x:c r="H20" s="89" t="n">
        <x:v>0</x:v>
      </x:c>
      <x:c r="I20" s="88" t="str"/>
      <x:c r="J20" s="88" t="str">
        <x:v>Consistent with the approved ADR baseline and consolidated A–X requirements; no contradiction, technical impossibility, security risk, or data-loss risk identified.</x:v>
      </x:c>
      <x:c r="K20" s="88" t="str">
        <x:v>Approved</x:v>
      </x:c>
    </x:row>
    <x:row r="21">
      <x:c r="A21" s="87" t="str">
        <x:v>OPD-1-020</x:v>
      </x:c>
      <x:c r="B21" s="88" t="str">
        <x:v>E. Calendar Events and Recurrence</x:v>
      </x:c>
      <x:c r="C21" s="88" t="str">
        <x:v>Event-time model</x:v>
      </x:c>
      <x:c r="D21" s="88" t="str">
        <x:v>Preserve original timezone and show converted local time when relevant.</x:v>
      </x:c>
      <x:c r="E21" s="88" t="str">
        <x:v>Timed events retain their original IANA time zone and show converted local time when relevant. All-day events remain date-based and must not shift dates through time-zone conversion.</x:v>
      </x:c>
      <x:c r="F21" s="88" t="str">
        <x:v>Approve with reconciled wording</x:v>
      </x:c>
      <x:c r="G21" s="89" t="n">
        <x:v>1</x:v>
      </x:c>
      <x:c r="H21" s="89" t="n">
        <x:v>1</x:v>
      </x:c>
      <x:c r="I21" s="88" t="str">
        <x:v>FR-E-014</x:v>
      </x:c>
      <x:c r="J21" s="88" t="str">
        <x:v>Separates zoned timed events from all-day calendar dates and prevents date corruption.</x:v>
      </x:c>
      <x:c r="K21" s="88" t="str">
        <x:v>Approved</x:v>
      </x:c>
    </x:row>
    <x:row r="22">
      <x:c r="A22" s="87" t="str">
        <x:v>OPD-2-001</x:v>
      </x:c>
      <x:c r="B22" s="88" t="str">
        <x:v>F. Task–Event Linking</x:v>
      </x:c>
      <x:c r="C22" s="88" t="str">
        <x:v>Multiple Tasks linked to one event</x:v>
      </x:c>
      <x:c r="D22" s="88" t="str">
        <x:v>Permit explicit linking but never calculate progress from link count.</x:v>
      </x:c>
      <x:c r="E22" s="88" t="str">
        <x:v>Permit explicit linking but never calculate progress from link count.</x:v>
      </x:c>
      <x:c r="F22" s="88" t="str">
        <x:v>Approve as written</x:v>
      </x:c>
      <x:c r="G22" s="89" t="n">
        <x:v>2</x:v>
      </x:c>
      <x:c r="H22" s="89" t="n">
        <x:v>2</x:v>
      </x:c>
      <x:c r="I22" s="88" t="str">
        <x:v>FR-F-004, FR-F-018</x:v>
      </x:c>
      <x:c r="J22" s="88" t="str">
        <x:v>Consistent with the approved ADR baseline and consolidated A–X requirements; no contradiction, technical impossibility, security risk, or data-loss risk identified.</x:v>
      </x:c>
      <x:c r="K22" s="88" t="str">
        <x:v>Approved</x:v>
      </x:c>
    </x:row>
    <x:row r="23">
      <x:c r="A23" s="87" t="str">
        <x:v>OPD-2-002</x:v>
      </x:c>
      <x:c r="B23" s="88" t="str">
        <x:v>F. Task–Event Linking</x:v>
      </x:c>
      <x:c r="C23" s="88" t="str">
        <x:v>Series-level Task linking</x:v>
      </x:c>
      <x:c r="D23" s="88" t="str">
        <x:v>Apply to future occurrences with occurrence-level overrides.</x:v>
      </x:c>
      <x:c r="E23" s="88" t="str">
        <x:v>Apply to future occurrences with occurrence-level overrides.</x:v>
      </x:c>
      <x:c r="F23" s="88" t="str">
        <x:v>Approve as written</x:v>
      </x:c>
      <x:c r="G23" s="89" t="n">
        <x:v>1</x:v>
      </x:c>
      <x:c r="H23" s="89" t="n">
        <x:v>0</x:v>
      </x:c>
      <x:c r="I23" s="88" t="str">
        <x:v>FR-F-009</x:v>
      </x:c>
      <x:c r="J23" s="88" t="str">
        <x:v>Consistent with the approved ADR baseline and consolidated A–X requirements; no contradiction, technical impossibility, security risk, or data-loss risk identified.</x:v>
      </x:c>
      <x:c r="K23" s="88" t="str">
        <x:v>Approved</x:v>
      </x:c>
    </x:row>
    <x:row r="24">
      <x:c r="A24" s="87" t="str">
        <x:v>OPD-2-003</x:v>
      </x:c>
      <x:c r="B24" s="88" t="str">
        <x:v>F. Task–Event Linking</x:v>
      </x:c>
      <x:c r="C24" s="88" t="str">
        <x:v>Scheduled Potential attribution</x:v>
      </x:c>
      <x:c r="D24" s="88" t="str">
        <x:v>Require one explicit canonical planning source per planned contribution.</x:v>
      </x:c>
      <x:c r="E24" s="88" t="str">
        <x:v>Require one explicit canonical planning source per planned contribution.</x:v>
      </x:c>
      <x:c r="F24" s="88" t="str">
        <x:v>Approve as written</x:v>
      </x:c>
      <x:c r="G24" s="89" t="n">
        <x:v>2</x:v>
      </x:c>
      <x:c r="H24" s="89" t="n">
        <x:v>1</x:v>
      </x:c>
      <x:c r="I24" s="88" t="str">
        <x:v>FR-F-013, FR-F-017</x:v>
      </x:c>
      <x:c r="J24" s="88" t="str">
        <x:v>Consistent with the approved ADR baseline and consolidated A–X requirements; no contradiction, technical impossibility, security risk, or data-loss risk identified.</x:v>
      </x:c>
      <x:c r="K24" s="88" t="str">
        <x:v>Approved</x:v>
      </x:c>
    </x:row>
    <x:row r="25">
      <x:c r="A25" s="87" t="str">
        <x:v>OPD-2-004</x:v>
      </x:c>
      <x:c r="B25" s="88" t="str">
        <x:v>G. Event and Task Outcome Reporting</x:v>
      </x:c>
      <x:c r="C25" s="88" t="str">
        <x:v>Draft handling</x:v>
      </x:c>
      <x:c r="D25" s="88" t="str">
        <x:v>Autosave locally and label clearly as Draft.</x:v>
      </x:c>
      <x:c r="E25" s="88" t="str">
        <x:v>Autosave locally and label clearly as Draft.</x:v>
      </x:c>
      <x:c r="F25" s="88" t="str">
        <x:v>Approve as written</x:v>
      </x:c>
      <x:c r="G25" s="89" t="n">
        <x:v>0</x:v>
      </x:c>
      <x:c r="H25" s="89" t="n">
        <x:v>0</x:v>
      </x:c>
      <x:c r="I25" s="88" t="str"/>
      <x:c r="J25" s="88" t="str">
        <x:v>Consistent with the approved ADR baseline and consolidated A–X requirements; no contradiction, technical impossibility, security risk, or data-loss risk identified.</x:v>
      </x:c>
      <x:c r="K25" s="88" t="str">
        <x:v>Approved</x:v>
      </x:c>
    </x:row>
    <x:row r="26">
      <x:c r="A26" s="87" t="str">
        <x:v>OPD-2-005</x:v>
      </x:c>
      <x:c r="B26" s="88" t="str">
        <x:v>G. Event and Task Outcome Reporting</x:v>
      </x:c>
      <x:c r="C26" s="88" t="str">
        <x:v>Correction reason</x:v>
      </x:c>
      <x:c r="D26" s="88" t="str">
        <x:v>Require a reason when the corrected report affected Actual.</x:v>
      </x:c>
      <x:c r="E26" s="88" t="str">
        <x:v>Require a reason when the corrected report affected Actual.</x:v>
      </x:c>
      <x:c r="F26" s="88" t="str">
        <x:v>Approve as written</x:v>
      </x:c>
      <x:c r="G26" s="89" t="n">
        <x:v>2</x:v>
      </x:c>
      <x:c r="H26" s="89" t="n">
        <x:v>2</x:v>
      </x:c>
      <x:c r="I26" s="88" t="str">
        <x:v>FR-G-006, FR-G-016</x:v>
      </x:c>
      <x:c r="J26" s="88" t="str">
        <x:v>Consistent with the approved ADR baseline and consolidated A–X requirements; no contradiction, technical impossibility, security risk, or data-loss risk identified.</x:v>
      </x:c>
      <x:c r="K26" s="88" t="str">
        <x:v>Approved</x:v>
      </x:c>
    </x:row>
    <x:row r="27">
      <x:c r="A27" s="87" t="str">
        <x:v>OPD-2-006</x:v>
      </x:c>
      <x:c r="B27" s="88" t="str">
        <x:v>G. Event and Task Outcome Reporting</x:v>
      </x:c>
      <x:c r="C27" s="88" t="str">
        <x:v>Private report notes</x:v>
      </x:c>
      <x:c r="D27" s="88" t="str">
        <x:v>Keep optional and non-contributory.</x:v>
      </x:c>
      <x:c r="E27" s="88" t="str">
        <x:v>Private report notes remain optional and non-contributory. They are excluded from logs, analytics, notification previews, and contribution rules; storage and synchronization follow the approved record privacy classification.</x:v>
      </x:c>
      <x:c r="F27" s="88" t="str">
        <x:v>Approve with reconciled wording</x:v>
      </x:c>
      <x:c r="G27" s="89" t="n">
        <x:v>0</x:v>
      </x:c>
      <x:c r="H27" s="89" t="n">
        <x:v>0</x:v>
      </x:c>
      <x:c r="I27" s="88" t="str"/>
      <x:c r="J27" s="88" t="str">
        <x:v>Makes the privacy boundary explicit without changing reporting outcomes.</x:v>
      </x:c>
      <x:c r="K27" s="88" t="str">
        <x:v>Approved</x:v>
      </x:c>
    </x:row>
    <x:row r="28">
      <x:c r="A28" s="87" t="str">
        <x:v>OPD-2-007</x:v>
      </x:c>
      <x:c r="B28" s="88" t="str">
        <x:v>H. Activity Ledger and Contribution History</x:v>
      </x:c>
      <x:c r="C28" s="88" t="str">
        <x:v>Manual activity logging</x:v>
      </x:c>
      <x:c r="D28" s="88" t="str">
        <x:v>Include a structured Activity Report and never raw ledger editing.</x:v>
      </x:c>
      <x:c r="E28" s="88" t="str">
        <x:v>Include a structured Activity Report and never raw ledger editing.</x:v>
      </x:c>
      <x:c r="F28" s="88" t="str">
        <x:v>Approve as written</x:v>
      </x:c>
      <x:c r="G28" s="89" t="n">
        <x:v>1</x:v>
      </x:c>
      <x:c r="H28" s="89" t="n">
        <x:v>1</x:v>
      </x:c>
      <x:c r="I28" s="88" t="str">
        <x:v>FR-H-001</x:v>
      </x:c>
      <x:c r="J28" s="88" t="str">
        <x:v>Consistent with the approved ADR baseline and consolidated A–X requirements; no contradiction, technical impossibility, security risk, or data-loss risk identified.</x:v>
      </x:c>
      <x:c r="K28" s="88" t="str">
        <x:v>Approved</x:v>
      </x:c>
    </x:row>
    <x:row r="29">
      <x:c r="A29" s="87" t="str">
        <x:v>OPD-2-008</x:v>
      </x:c>
      <x:c r="B29" s="88" t="str">
        <x:v>H. Activity Ledger and Contribution History</x:v>
      </x:c>
      <x:c r="C29" s="88" t="str">
        <x:v>Fractional values</x:v>
      </x:c>
      <x:c r="D29" s="88" t="str">
        <x:v>Support decimals when allowed by the indicator unit.</x:v>
      </x:c>
      <x:c r="E29" s="88" t="str">
        <x:v>Support fixed-decimal values only when the indicator unit permits them. Each unit defines allowed precision and rounding; canonical values must not use binary floating-point storage.</x:v>
      </x:c>
      <x:c r="F29" s="88" t="str">
        <x:v>Approve with reconciled wording</x:v>
      </x:c>
      <x:c r="G29" s="89" t="n">
        <x:v>0</x:v>
      </x:c>
      <x:c r="H29" s="89" t="n">
        <x:v>0</x:v>
      </x:c>
      <x:c r="I29" s="88" t="str"/>
      <x:c r="J29" s="88" t="str">
        <x:v>Prevents precision drift in ledger values and preserves deterministic Actual calculations.</x:v>
      </x:c>
      <x:c r="K29" s="88" t="str">
        <x:v>Approved</x:v>
      </x:c>
    </x:row>
    <x:row r="30">
      <x:c r="A30" s="87" t="str">
        <x:v>OPD-2-009</x:v>
      </x:c>
      <x:c r="B30" s="88" t="str">
        <x:v>H. Activity Ledger and Contribution History</x:v>
      </x:c>
      <x:c r="C30" s="88" t="str">
        <x:v>Contribution-history default</x:v>
      </x:c>
      <x:c r="D30" s="88" t="str">
        <x:v>Show effective entries first and reversed history inside correction detail.</x:v>
      </x:c>
      <x:c r="E30" s="88" t="str">
        <x:v>Show effective entries first and reversed history inside correction detail.</x:v>
      </x:c>
      <x:c r="F30" s="88" t="str">
        <x:v>Approve as written</x:v>
      </x:c>
      <x:c r="G30" s="89" t="n">
        <x:v>2</x:v>
      </x:c>
      <x:c r="H30" s="89" t="n">
        <x:v>1</x:v>
      </x:c>
      <x:c r="I30" s="88" t="str">
        <x:v>FR-H-012, FR-H-013</x:v>
      </x:c>
      <x:c r="J30" s="88" t="str">
        <x:v>Consistent with the approved ADR baseline and consolidated A–X requirements; no contradiction, technical impossibility, security risk, or data-loss risk identified.</x:v>
      </x:c>
      <x:c r="K30" s="88" t="str">
        <x:v>Approved</x:v>
      </x:c>
    </x:row>
    <x:row r="31">
      <x:c r="A31" s="87" t="str">
        <x:v>OPD-2-010</x:v>
      </x:c>
      <x:c r="B31" s="88" t="str">
        <x:v>I. Weekly Planning</x:v>
      </x:c>
      <x:c r="C31" s="88" t="str">
        <x:v>Week boundary</x:v>
      </x:c>
      <x:c r="D31" s="88" t="str">
        <x:v>Use Monday through Sunday in the Local Profile timezone.</x:v>
      </x:c>
      <x:c r="E31" s="88" t="str">
        <x:v>Use Monday through Sunday in the Local Profile timezone.</x:v>
      </x:c>
      <x:c r="F31" s="88" t="str">
        <x:v>Approve as written</x:v>
      </x:c>
      <x:c r="G31" s="89" t="n">
        <x:v>0</x:v>
      </x:c>
      <x:c r="H31" s="89" t="n">
        <x:v>0</x:v>
      </x:c>
      <x:c r="I31" s="88" t="str"/>
      <x:c r="J31" s="88" t="str">
        <x:v>Consistent with the approved ADR baseline and consolidated A–X requirements; no contradiction, technical impossibility, security risk, or data-loss risk identified.</x:v>
      </x:c>
      <x:c r="K31" s="88" t="str">
        <x:v>Approved</x:v>
      </x:c>
    </x:row>
    <x:row r="32">
      <x:c r="A32" s="87" t="str">
        <x:v>OPD-2-011</x:v>
      </x:c>
      <x:c r="B32" s="88" t="str">
        <x:v>I. Weekly Planning</x:v>
      </x:c>
      <x:c r="C32" s="88" t="str">
        <x:v>Review with unresolved reports</x:v>
      </x:c>
      <x:c r="D32" s="88" t="str">
        <x:v>Require explicit acknowledgement before review completion.</x:v>
      </x:c>
      <x:c r="E32" s="88" t="str">
        <x:v>Require explicit acknowledgement before review completion.</x:v>
      </x:c>
      <x:c r="F32" s="88" t="str">
        <x:v>Approve as written</x:v>
      </x:c>
      <x:c r="G32" s="89" t="n">
        <x:v>1</x:v>
      </x:c>
      <x:c r="H32" s="89" t="n">
        <x:v>0</x:v>
      </x:c>
      <x:c r="I32" s="88" t="str">
        <x:v>FR-I-011</x:v>
      </x:c>
      <x:c r="J32" s="88" t="str">
        <x:v>Consistent with the approved ADR baseline and consolidated A–X requirements; no contradiction, technical impossibility, security risk, or data-loss risk identified.</x:v>
      </x:c>
      <x:c r="K32" s="88" t="str">
        <x:v>Approved</x:v>
      </x:c>
    </x:row>
    <x:row r="33">
      <x:c r="A33" s="87" t="str">
        <x:v>OPD-2-012</x:v>
      </x:c>
      <x:c r="B33" s="88" t="str">
        <x:v>I. Weekly Planning</x:v>
      </x:c>
      <x:c r="C33" s="88" t="str">
        <x:v>Target revision display</x:v>
      </x:c>
      <x:c r="D33" s="88" t="str">
        <x:v>Show final target by default with revision history available.</x:v>
      </x:c>
      <x:c r="E33" s="88" t="str">
        <x:v>Show final target by default with revision history available.</x:v>
      </x:c>
      <x:c r="F33" s="88" t="str">
        <x:v>Approve as written</x:v>
      </x:c>
      <x:c r="G33" s="89" t="n">
        <x:v>1</x:v>
      </x:c>
      <x:c r="H33" s="89" t="n">
        <x:v>1</x:v>
      </x:c>
      <x:c r="I33" s="88" t="str">
        <x:v>FR-I-007</x:v>
      </x:c>
      <x:c r="J33" s="88" t="str">
        <x:v>Consistent with the approved ADR baseline and consolidated A–X requirements; no contradiction, technical impossibility, security risk, or data-loss risk identified.</x:v>
      </x:c>
      <x:c r="K33" s="88" t="str">
        <x:v>Approved</x:v>
      </x:c>
    </x:row>
    <x:row r="34">
      <x:c r="A34" s="87" t="str">
        <x:v>OPD-2-013</x:v>
      </x:c>
      <x:c r="B34" s="88" t="str">
        <x:v>J. Pathways, Goals, and Milestones</x:v>
      </x:c>
      <x:c r="C34" s="88" t="str">
        <x:v>Custom Pathways in V1</x:v>
      </x:c>
      <x:c r="D34" s="88" t="str">
        <x:v>Use bundled Pathways plus custom Goals and Milestones; defer custom Pathways.</x:v>
      </x:c>
      <x:c r="E34" s="88" t="str">
        <x:v>Use bundled Pathways plus custom Goals and Milestones; defer custom Pathways.</x:v>
      </x:c>
      <x:c r="F34" s="88" t="str">
        <x:v>Approve as written</x:v>
      </x:c>
      <x:c r="G34" s="89" t="n">
        <x:v>2</x:v>
      </x:c>
      <x:c r="H34" s="89" t="n">
        <x:v>2</x:v>
      </x:c>
      <x:c r="I34" s="88" t="str">
        <x:v>FR-J-005, FR-J-006</x:v>
      </x:c>
      <x:c r="J34" s="88" t="str">
        <x:v>Consistent with the approved ADR baseline and consolidated A–X requirements; no contradiction, technical impossibility, security risk, or data-loss risk identified.</x:v>
      </x:c>
      <x:c r="K34" s="88" t="str">
        <x:v>Approved</x:v>
      </x:c>
    </x:row>
    <x:row r="35">
      <x:c r="A35" s="87" t="str">
        <x:v>OPD-2-014</x:v>
      </x:c>
      <x:c r="B35" s="88" t="str">
        <x:v>J. Pathways, Goals, and Milestones</x:v>
      </x:c>
      <x:c r="C35" s="88" t="str">
        <x:v>Lifecycle values</x:v>
      </x:c>
      <x:c r="D35" s="88" t="str">
        <x:v>Approve the proposed Pathway, Goal, and Milestone lifecycle values.</x:v>
      </x:c>
      <x:c r="E35" s="88" t="str">
        <x:v>Use these V1 lifecycle values: Pathway = Available, Active, Paused, Completed, Archived; Goal = Active, Paused, Completed, Archived; Milestone = Planned, Completed, Archived. Reopen returns Completed records to Active or Planned; restore returns Archived records to their last known non-archived state when available.</x:v>
      </x:c>
      <x:c r="F35" s="88" t="str">
        <x:v>Replace vague recommendation with explicit proposal</x:v>
      </x:c>
      <x:c r="G35" s="89" t="n">
        <x:v>0</x:v>
      </x:c>
      <x:c r="H35" s="89" t="n">
        <x:v>0</x:v>
      </x:c>
      <x:c r="I35" s="88" t="str"/>
      <x:c r="J35" s="88" t="str">
        <x:v>The workbook says 'approve the proposed values' but does not enumerate them. This replacement supplies the implementation contract.</x:v>
      </x:c>
      <x:c r="K35" s="88" t="str">
        <x:v>Approved</x:v>
      </x:c>
    </x:row>
    <x:row r="36">
      <x:c r="A36" s="87" t="str">
        <x:v>OPD-2-015</x:v>
      </x:c>
      <x:c r="B36" s="88" t="str">
        <x:v>J. Pathways, Goals, and Milestones</x:v>
      </x:c>
      <x:c r="C36" s="88" t="str">
        <x:v>Manual completion</x:v>
      </x:c>
      <x:c r="D36" s="88" t="str">
        <x:v>Allow only through an explicit User Confirmation completion method.</x:v>
      </x:c>
      <x:c r="E36" s="88" t="str">
        <x:v>Allow only through an explicit User Confirmation completion method.</x:v>
      </x:c>
      <x:c r="F36" s="88" t="str">
        <x:v>Approve as written</x:v>
      </x:c>
      <x:c r="G36" s="89" t="n">
        <x:v>1</x:v>
      </x:c>
      <x:c r="H36" s="89" t="n">
        <x:v>0</x:v>
      </x:c>
      <x:c r="I36" s="88" t="str">
        <x:v>FR-J-012</x:v>
      </x:c>
      <x:c r="J36" s="88" t="str">
        <x:v>Consistent with the approved ADR baseline and consolidated A–X requirements; no contradiction, technical impossibility, security risk, or data-loss risk identified.</x:v>
      </x:c>
      <x:c r="K36" s="88" t="str">
        <x:v>Approved</x:v>
      </x:c>
    </x:row>
    <x:row r="37">
      <x:c r="A37" s="87" t="str">
        <x:v>OPD-2-016</x:v>
      </x:c>
      <x:c r="B37" s="88" t="str">
        <x:v>J. Pathways, Goals, and Milestones</x:v>
      </x:c>
      <x:c r="C37" s="88" t="str">
        <x:v>Universal percentages</x:v>
      </x:c>
      <x:c r="D37" s="88" t="str">
        <x:v>Do not include a universal Pathway percentage in V1.</x:v>
      </x:c>
      <x:c r="E37" s="88" t="str">
        <x:v>Do not include a universal Pathway percentage in V1.</x:v>
      </x:c>
      <x:c r="F37" s="88" t="str">
        <x:v>Approve as written</x:v>
      </x:c>
      <x:c r="G37" s="89" t="n">
        <x:v>0</x:v>
      </x:c>
      <x:c r="H37" s="89" t="n">
        <x:v>0</x:v>
      </x:c>
      <x:c r="I37" s="88" t="str"/>
      <x:c r="J37" s="88" t="str">
        <x:v>Consistent with the approved ADR baseline and consolidated A–X requirements; no contradiction, technical impossibility, security risk, or data-loss risk identified.</x:v>
      </x:c>
      <x:c r="K37" s="88" t="str">
        <x:v>Approved</x:v>
      </x:c>
    </x:row>
    <x:row r="38">
      <x:c r="A38" s="87" t="str">
        <x:v>OPD-3-001</x:v>
      </x:c>
      <x:c r="B38" s="88" t="str">
        <x:v>K. Covenant Path</x:v>
      </x:c>
      <x:c r="C38" s="88" t="str">
        <x:v>Covenant Path bundled sections</x:v>
      </x:c>
      <x:c r="D38" s="88" t="str">
        <x:v>Approve a limited factual set with no universal completion score.</x:v>
      </x:c>
      <x:c r="E38" s="88" t="str">
        <x:v>The V1 bundled Covenant Path sections are Scripture Study and Temple Visit only. They record factual plans, reports, and optional private reflections; there is no universal completion score or spiritual-quality assessment.</x:v>
      </x:c>
      <x:c r="F38" s="88" t="str">
        <x:v>Replace vague recommendation with explicit proposal</x:v>
      </x:c>
      <x:c r="G38" s="89" t="n">
        <x:v>0</x:v>
      </x:c>
      <x:c r="H38" s="89" t="n">
        <x:v>0</x:v>
      </x:c>
      <x:c r="I38" s="88" t="str"/>
      <x:c r="J38" s="88" t="str">
        <x:v>The workbook names a limited factual set but does not list it. The proposed set matches the only explicit Covenant Path contribution categories in the requirements.</x:v>
      </x:c>
      <x:c r="K38" s="88" t="str">
        <x:v>Approved</x:v>
      </x:c>
    </x:row>
    <x:row r="39">
      <x:c r="A39" s="87" t="str">
        <x:v>OPD-3-002</x:v>
      </x:c>
      <x:c r="B39" s="88" t="str">
        <x:v>K. Covenant Path</x:v>
      </x:c>
      <x:c r="C39" s="88" t="str">
        <x:v>Private reflection synchronization</x:v>
      </x:c>
      <x:c r="D39" s="88" t="str">
        <x:v>Local-only by default with separate cloud-sync opt-in.</x:v>
      </x:c>
      <x:c r="E39" s="88" t="str">
        <x:v>Private reflections are Extra Private and local-only by default. They may enter cloud synchronization only after a future explicit per-category opt-in exists; until then they remain local-only.</x:v>
      </x:c>
      <x:c r="F39" s="88" t="str">
        <x:v>Approve with reconciled wording</x:v>
      </x:c>
      <x:c r="G39" s="89" t="n">
        <x:v>0</x:v>
      </x:c>
      <x:c r="H39" s="89" t="n">
        <x:v>0</x:v>
      </x:c>
      <x:c r="I39" s="88" t="str"/>
      <x:c r="J39" s="88" t="str">
        <x:v>Consolidates the Covenant Path, synchronization, and Privacy Center policies without implying a V1 opt-in control that is not otherwise specified.</x:v>
      </x:c>
      <x:c r="K39" s="88" t="str">
        <x:v>Approved</x:v>
      </x:c>
    </x:row>
    <x:row r="40">
      <x:c r="A40" s="87" t="str">
        <x:v>OPD-3-003</x:v>
      </x:c>
      <x:c r="B40" s="88" t="str">
        <x:v>K. Covenant Path</x:v>
      </x:c>
      <x:c r="C40" s="88" t="str">
        <x:v>External resources</x:v>
      </x:c>
      <x:c r="D40" s="88" t="str">
        <x:v>Official bundled links plus clearly labeled private personal links.</x:v>
      </x:c>
      <x:c r="E40" s="88" t="str">
        <x:v>Official bundled links plus clearly labeled private personal links.</x:v>
      </x:c>
      <x:c r="F40" s="88" t="str">
        <x:v>Approve as written</x:v>
      </x:c>
      <x:c r="G40" s="89" t="n">
        <x:v>1</x:v>
      </x:c>
      <x:c r="H40" s="89" t="n">
        <x:v>0</x:v>
      </x:c>
      <x:c r="I40" s="88" t="str">
        <x:v>FR-K-011</x:v>
      </x:c>
      <x:c r="J40" s="88" t="str">
        <x:v>Consistent with the approved ADR baseline and consolidated A–X requirements; no contradiction, technical impossibility, security risk, or data-loss risk identified.</x:v>
      </x:c>
      <x:c r="K40" s="88" t="str">
        <x:v>Approved</x:v>
      </x:c>
    </x:row>
    <x:row r="41">
      <x:c r="A41" s="87" t="str">
        <x:v>OPD-3-004</x:v>
      </x:c>
      <x:c r="B41" s="88" t="str">
        <x:v>L. Contacts and Follow-Ups</x:v>
      </x:c>
      <x:c r="C41" s="88" t="str">
        <x:v>Group interaction contributions</x:v>
      </x:c>
      <x:c r="D41" s="88" t="str">
        <x:v>One contribution per explicitly confirmed meaningful Contact.</x:v>
      </x:c>
      <x:c r="E41" s="88" t="str">
        <x:v>One contribution per explicitly confirmed meaningful Contact.</x:v>
      </x:c>
      <x:c r="F41" s="88" t="str">
        <x:v>Approve as written</x:v>
      </x:c>
      <x:c r="G41" s="89" t="n">
        <x:v>2</x:v>
      </x:c>
      <x:c r="H41" s="89" t="n">
        <x:v>1</x:v>
      </x:c>
      <x:c r="I41" s="88" t="str">
        <x:v>FR-L-010, FR-L-019</x:v>
      </x:c>
      <x:c r="J41" s="88" t="str">
        <x:v>Consistent with the approved ADR baseline and consolidated A–X requirements; no contradiction, technical impossibility, security risk, or data-loss risk identified.</x:v>
      </x:c>
      <x:c r="K41" s="88" t="str">
        <x:v>Approved</x:v>
      </x:c>
    </x:row>
    <x:row r="42">
      <x:c r="A42" s="87" t="str">
        <x:v>OPD-3-005</x:v>
      </x:c>
      <x:c r="B42" s="88" t="str">
        <x:v>L. Contacts and Follow-Ups</x:v>
      </x:c>
      <x:c r="C42" s="88" t="str">
        <x:v>Contact photos</x:v>
      </x:c>
      <x:c r="D42" s="88" t="str">
        <x:v>Defer to V1.1.</x:v>
      </x:c>
      <x:c r="E42" s="88" t="str">
        <x:v>Defer to V1.1.</x:v>
      </x:c>
      <x:c r="F42" s="88" t="str">
        <x:v>Approve as written</x:v>
      </x:c>
      <x:c r="G42" s="89" t="n">
        <x:v>0</x:v>
      </x:c>
      <x:c r="H42" s="89" t="n">
        <x:v>0</x:v>
      </x:c>
      <x:c r="I42" s="88" t="str"/>
      <x:c r="J42" s="88" t="str">
        <x:v>Consistent with the approved ADR baseline and consolidated A–X requirements; no contradiction, technical impossibility, security risk, or data-loss risk identified.</x:v>
      </x:c>
      <x:c r="K42" s="88" t="str">
        <x:v>Approved</x:v>
      </x:c>
    </x:row>
    <x:row r="43">
      <x:c r="A43" s="87" t="str">
        <x:v>OPD-3-006</x:v>
      </x:c>
      <x:c r="B43" s="88" t="str">
        <x:v>L. Contacts and Follow-Ups</x:v>
      </x:c>
      <x:c r="C43" s="88" t="str">
        <x:v>Duplicate contact detection</x:v>
      </x:c>
      <x:c r="D43" s="88" t="str">
        <x:v>Suggest using normalized phone or email; never merge automatically.</x:v>
      </x:c>
      <x:c r="E43" s="88" t="str">
        <x:v>Suggest using normalized phone or email; never merge automatically.</x:v>
      </x:c>
      <x:c r="F43" s="88" t="str">
        <x:v>Approve as written</x:v>
      </x:c>
      <x:c r="G43" s="89" t="n">
        <x:v>1</x:v>
      </x:c>
      <x:c r="H43" s="89" t="n">
        <x:v>1</x:v>
      </x:c>
      <x:c r="I43" s="88" t="str">
        <x:v>FR-L-017</x:v>
      </x:c>
      <x:c r="J43" s="88" t="str">
        <x:v>Consistent with the approved ADR baseline and consolidated A–X requirements; no contradiction, technical impossibility, security risk, or data-loss risk identified.</x:v>
      </x:c>
      <x:c r="K43" s="88" t="str">
        <x:v>Approved</x:v>
      </x:c>
    </x:row>
    <x:row r="44">
      <x:c r="A44" s="87" t="str">
        <x:v>OPD-3-007</x:v>
      </x:c>
      <x:c r="B44" s="88" t="str">
        <x:v>M. Employment Applications</x:v>
      </x:c>
      <x:c r="C44" s="88" t="str">
        <x:v>Employment application lifecycle</x:v>
      </x:c>
      <x:c r="D44" s="88" t="str">
        <x:v>Use the structured lifecycle defined in Feature M.</x:v>
      </x:c>
      <x:c r="E44" s="88" t="str">
        <x:v>Employment Application lifecycle: active stages = Saved, Considering, Preparing, Submitted, Interviewing, Offered; terminal outcomes = Accepted, Rejected, Withdrawn, Closed Without Outcome. Archive is a separate visibility state, and reapplication creates a new cycle.</x:v>
      </x:c>
      <x:c r="F44" s="88" t="str">
        <x:v>Replace vague recommendation with explicit proposal</x:v>
      </x:c>
      <x:c r="G44" s="89" t="n">
        <x:v>2</x:v>
      </x:c>
      <x:c r="H44" s="89" t="n">
        <x:v>1</x:v>
      </x:c>
      <x:c r="I44" s="88" t="str">
        <x:v>FR-M-001, FR-M-020</x:v>
      </x:c>
      <x:c r="J44" s="88" t="str">
        <x:v>The workbook references a structured lifecycle without enumerating values.</x:v>
      </x:c>
      <x:c r="K44" s="88" t="str">
        <x:v>Approved</x:v>
      </x:c>
    </x:row>
    <x:row r="45">
      <x:c r="A45" s="87" t="str">
        <x:v>OPD-3-008</x:v>
      </x:c>
      <x:c r="B45" s="88" t="str">
        <x:v>M. Employment Applications</x:v>
      </x:c>
      <x:c r="C45" s="88" t="str">
        <x:v>Submission evidence</x:v>
      </x:c>
      <x:c r="D45" s="88" t="str">
        <x:v>Allow private reference text in V1 and defer attachments.</x:v>
      </x:c>
      <x:c r="E45" s="88" t="str">
        <x:v>Allow private reference text in V1 and defer attachments.</x:v>
      </x:c>
      <x:c r="F45" s="88" t="str">
        <x:v>Approve as written</x:v>
      </x:c>
      <x:c r="G45" s="89" t="n">
        <x:v>0</x:v>
      </x:c>
      <x:c r="H45" s="89" t="n">
        <x:v>0</x:v>
      </x:c>
      <x:c r="I45" s="88" t="str"/>
      <x:c r="J45" s="88" t="str">
        <x:v>Consistent with the approved ADR baseline and consolidated A–X requirements; no contradiction, technical impossibility, security risk, or data-loss risk identified.</x:v>
      </x:c>
      <x:c r="K45" s="88" t="str">
        <x:v>Approved</x:v>
      </x:c>
    </x:row>
    <x:row r="46">
      <x:c r="A46" s="87" t="str">
        <x:v>OPD-3-009</x:v>
      </x:c>
      <x:c r="B46" s="88" t="str">
        <x:v>M. Employment Applications</x:v>
      </x:c>
      <x:c r="C46" s="88" t="str">
        <x:v>Job Applications unit</x:v>
      </x:c>
      <x:c r="D46" s="88" t="str">
        <x:v>One distinct confirmed submission equals one contribution.</x:v>
      </x:c>
      <x:c r="E46" s="88" t="str">
        <x:v>One distinct confirmed submission equals one contribution.</x:v>
      </x:c>
      <x:c r="F46" s="88" t="str">
        <x:v>Approve as written</x:v>
      </x:c>
      <x:c r="G46" s="89" t="n">
        <x:v>2</x:v>
      </x:c>
      <x:c r="H46" s="89" t="n">
        <x:v>1</x:v>
      </x:c>
      <x:c r="I46" s="88" t="str">
        <x:v>FR-M-007, FR-M-016</x:v>
      </x:c>
      <x:c r="J46" s="88" t="str">
        <x:v>Consistent with the approved ADR baseline and consolidated A–X requirements; no contradiction, technical impossibility, security risk, or data-loss risk identified.</x:v>
      </x:c>
      <x:c r="K46" s="88" t="str">
        <x:v>Approved</x:v>
      </x:c>
    </x:row>
    <x:row r="47">
      <x:c r="A47" s="87" t="str">
        <x:v>OPD-3-010</x:v>
      </x:c>
      <x:c r="B47" s="88" t="str">
        <x:v>N. Education Planning</x:v>
      </x:c>
      <x:c r="C47" s="88" t="str">
        <x:v>Education stages</x:v>
      </x:c>
      <x:c r="D47" s="88" t="str">
        <x:v>Use the structured lifecycle defined in Feature N.</x:v>
      </x:c>
      <x:c r="E47" s="88" t="str">
        <x:v>Education application stages: Considering, Preparing, Submitted, Admitted, Enrolled, Deferred, Rejected, Withdrawn, and Discontinued. Archive is separate; admission and enrollment remain distinct confirmed outcomes.</x:v>
      </x:c>
      <x:c r="F47" s="88" t="str">
        <x:v>Replace vague recommendation with explicit proposal</x:v>
      </x:c>
      <x:c r="G47" s="89" t="n">
        <x:v>1</x:v>
      </x:c>
      <x:c r="H47" s="89" t="n">
        <x:v>0</x:v>
      </x:c>
      <x:c r="I47" s="88" t="str">
        <x:v>FR-N-009</x:v>
      </x:c>
      <x:c r="J47" s="88" t="str">
        <x:v>The workbook references structured stages without an explicit enum.</x:v>
      </x:c>
      <x:c r="K47" s="88" t="str">
        <x:v>Approved</x:v>
      </x:c>
    </x:row>
    <x:row r="48">
      <x:c r="A48" s="87" t="str">
        <x:v>OPD-3-011</x:v>
      </x:c>
      <x:c r="B48" s="88" t="str">
        <x:v>N. Education Planning</x:v>
      </x:c>
      <x:c r="C48" s="88" t="str">
        <x:v>Bundled education content</x:v>
      </x:c>
      <x:c r="D48" s="88" t="str">
        <x:v>Approve the initial provider and program set.</x:v>
      </x:c>
      <x:c r="E48" s="88" t="str">
        <x:v>Initial V1 bundled education entries: BYU-Pathway Worldwide, BYU-Hawaii, and My Plan (Tanay, Rizal), plus Custom Education Option. Degree-destination details remain content-driven and must carry official source and last-verified metadata.</x:v>
      </x:c>
      <x:c r="F48" s="88" t="str">
        <x:v>Replace vague recommendation with explicit proposal</x:v>
      </x:c>
      <x:c r="G48" s="89" t="n">
        <x:v>3</x:v>
      </x:c>
      <x:c r="H48" s="89" t="n">
        <x:v>3</x:v>
      </x:c>
      <x:c r="I48" s="88" t="str">
        <x:v>FR-N-001, FR-N-002, FR-N-013</x:v>
      </x:c>
      <x:c r="J48" s="88" t="str">
        <x:v>The workbook requests approval of an initial set but does not name it; this proposal reflects the locked Philippines-first product baseline.</x:v>
      </x:c>
      <x:c r="K48" s="88" t="str">
        <x:v>Approved</x:v>
      </x:c>
    </x:row>
    <x:row r="49">
      <x:c r="A49" s="87" t="str">
        <x:v>OPD-3-012</x:v>
      </x:c>
      <x:c r="B49" s="88" t="str">
        <x:v>N. Education Planning</x:v>
      </x:c>
      <x:c r="C49" s="88" t="str">
        <x:v>Content verification policy</x:v>
      </x:c>
      <x:c r="D49" s="88" t="str">
        <x:v>Require source, last-verified date, and Verify with Provider action.</x:v>
      </x:c>
      <x:c r="E49" s="88" t="str">
        <x:v>Require source, last-verified date, and Verify with Provider action.</x:v>
      </x:c>
      <x:c r="F49" s="88" t="str">
        <x:v>Approve as written</x:v>
      </x:c>
      <x:c r="G49" s="89" t="n">
        <x:v>1</x:v>
      </x:c>
      <x:c r="H49" s="89" t="n">
        <x:v>1</x:v>
      </x:c>
      <x:c r="I49" s="88" t="str">
        <x:v>FR-N-004</x:v>
      </x:c>
      <x:c r="J49" s="88" t="str">
        <x:v>Consistent with the approved ADR baseline and consolidated A–X requirements; no contradiction, technical impossibility, security risk, or data-loss risk identified.</x:v>
      </x:c>
      <x:c r="K49" s="88" t="str">
        <x:v>Approved</x:v>
      </x:c>
    </x:row>
    <x:row r="50">
      <x:c r="A50" s="87" t="str">
        <x:v>OPD-3-013</x:v>
      </x:c>
      <x:c r="B50" s="88" t="str">
        <x:v>O. Government Document Requirements</x:v>
      </x:c>
      <x:c r="C50" s="88" t="str">
        <x:v>Bundled government-document templates</x:v>
      </x:c>
      <x:c r="D50" s="88" t="str">
        <x:v>Approve the initial Philippines-first template set.</x:v>
      </x:c>
      <x:c r="E50" s="88" t="str">
        <x:v>Initial V1 Philippines government-document templates: PSA Birth Certificate, PSA Marriage Certificate, NBI Clearance, SSS registration/number, PhilHealth registration/number, Pag-IBIG MID registration, BIR TIN registration, Philippine Passport, and Driver's License, plus Custom Requirement.</x:v>
      </x:c>
      <x:c r="F50" s="88" t="str">
        <x:v>Replace vague recommendation with explicit proposal</x:v>
      </x:c>
      <x:c r="G50" s="89" t="n">
        <x:v>1</x:v>
      </x:c>
      <x:c r="H50" s="89" t="n">
        <x:v>1</x:v>
      </x:c>
      <x:c r="I50" s="88" t="str">
        <x:v>FR-O-001</x:v>
      </x:c>
      <x:c r="J50" s="88" t="str">
        <x:v>The workbook requests approval of an initial template set but does not enumerate it.</x:v>
      </x:c>
      <x:c r="K50" s="88" t="str">
        <x:v>Approved</x:v>
      </x:c>
    </x:row>
    <x:row r="51">
      <x:c r="A51" s="87" t="str">
        <x:v>OPD-3-014</x:v>
      </x:c>
      <x:c r="B51" s="88" t="str">
        <x:v>O. Government Document Requirements</x:v>
      </x:c>
      <x:c r="C51" s="88" t="str">
        <x:v>Sensitive references</x:v>
      </x:c>
      <x:c r="D51" s="88" t="str">
        <x:v>Use masked references only and no full numbers.</x:v>
      </x:c>
      <x:c r="E51" s="88" t="str">
        <x:v>Use masked references only and no full numbers.</x:v>
      </x:c>
      <x:c r="F51" s="88" t="str">
        <x:v>Approve as written</x:v>
      </x:c>
      <x:c r="G51" s="89" t="n">
        <x:v>0</x:v>
      </x:c>
      <x:c r="H51" s="89" t="n">
        <x:v>0</x:v>
      </x:c>
      <x:c r="I51" s="88" t="str"/>
      <x:c r="J51" s="88" t="str">
        <x:v>Consistent with the approved ADR baseline and consolidated A–X requirements; no contradiction, technical impossibility, security risk, or data-loss risk identified.</x:v>
      </x:c>
      <x:c r="K51" s="88" t="str">
        <x:v>Approved</x:v>
      </x:c>
    </x:row>
    <x:row r="52">
      <x:c r="A52" s="87" t="str">
        <x:v>OPD-3-015</x:v>
      </x:c>
      <x:c r="B52" s="88" t="str">
        <x:v>O. Government Document Requirements</x:v>
      </x:c>
      <x:c r="C52" s="88" t="str">
        <x:v>Renewal reminders</x:v>
      </x:c>
      <x:c r="D52" s="88" t="str">
        <x:v>Use a user-selected date with optional verified-content suggestion.</x:v>
      </x:c>
      <x:c r="E52" s="88" t="str">
        <x:v>Use a user-selected date with optional verified-content suggestion.</x:v>
      </x:c>
      <x:c r="F52" s="88" t="str">
        <x:v>Approve as written</x:v>
      </x:c>
      <x:c r="G52" s="89" t="n">
        <x:v>2</x:v>
      </x:c>
      <x:c r="H52" s="89" t="n">
        <x:v>2</x:v>
      </x:c>
      <x:c r="I52" s="88" t="str">
        <x:v>FR-O-005, FR-O-011</x:v>
      </x:c>
      <x:c r="J52" s="88" t="str">
        <x:v>Consistent with the approved ADR baseline and consolidated A–X requirements; no contradiction, technical impossibility, security risk, or data-loss risk identified.</x:v>
      </x:c>
      <x:c r="K52" s="88" t="str">
        <x:v>Approved</x:v>
      </x:c>
    </x:row>
    <x:row r="53">
      <x:c r="A53" s="87" t="str">
        <x:v>OPD-3-016</x:v>
      </x:c>
      <x:c r="B53" s="88" t="str">
        <x:v>O. Government Document Requirements</x:v>
      </x:c>
      <x:c r="C53" s="88" t="str">
        <x:v>Requirement-content notice</x:v>
      </x:c>
      <x:c r="D53" s="88" t="str">
        <x:v>Explain that time-sensitive procedures should be verified officially.</x:v>
      </x:c>
      <x:c r="E53" s="88" t="str">
        <x:v>Explain that time-sensitive procedures should be verified officially.</x:v>
      </x:c>
      <x:c r="F53" s="88" t="str">
        <x:v>Approve as written</x:v>
      </x:c>
      <x:c r="G53" s="89" t="n">
        <x:v>2</x:v>
      </x:c>
      <x:c r="H53" s="89" t="n">
        <x:v>2</x:v>
      </x:c>
      <x:c r="I53" s="88" t="str">
        <x:v>FR-O-004, FR-O-005</x:v>
      </x:c>
      <x:c r="J53" s="88" t="str">
        <x:v>Consistent with the approved ADR baseline and consolidated A–X requirements; no contradiction, technical impossibility, security risk, or data-loss risk identified.</x:v>
      </x:c>
      <x:c r="K53" s="88" t="str">
        <x:v>Approved</x:v>
      </x:c>
    </x:row>
    <x:row r="54">
      <x:c r="A54" s="87" t="str">
        <x:v>OPD-4-001</x:v>
      </x:c>
      <x:c r="B54" s="88" t="str">
        <x:v>P. Maps and Locations</x:v>
      </x:c>
      <x:c r="C54" s="88" t="str">
        <x:v>Saved Places timing</x:v>
      </x:c>
      <x:c r="D54" s="88" t="str">
        <x:v>Keep Saved Places in V1.1; V1 stores location on the owning record.</x:v>
      </x:c>
      <x:c r="E54" s="88" t="str">
        <x:v>Keep Saved Places in V1.1; V1 stores location on the owning record.</x:v>
      </x:c>
      <x:c r="F54" s="88" t="str">
        <x:v>Approve as written</x:v>
      </x:c>
      <x:c r="G54" s="89" t="n">
        <x:v>3</x:v>
      </x:c>
      <x:c r="H54" s="89" t="n">
        <x:v>1</x:v>
      </x:c>
      <x:c r="I54" s="88" t="str">
        <x:v>FR-P-006, FR-P-007, FR-P-014</x:v>
      </x:c>
      <x:c r="J54" s="88" t="str">
        <x:v>Consistent with the approved ADR baseline and consolidated A–X requirements; no contradiction, technical impossibility, security risk, or data-loss risk identified.</x:v>
      </x:c>
      <x:c r="K54" s="88" t="str">
        <x:v>Approved</x:v>
      </x:c>
    </x:row>
    <x:row r="55">
      <x:c r="A55" s="87" t="str">
        <x:v>OPD-4-002</x:v>
      </x:c>
      <x:c r="B55" s="88" t="str">
        <x:v>P. Maps and Locations</x:v>
      </x:c>
      <x:c r="C55" s="88" t="str">
        <x:v>Map provider</x:v>
      </x:c>
      <x:c r="D55" s="88" t="str">
        <x:v>Use Android application chooser.</x:v>
      </x:c>
      <x:c r="E55" s="88" t="str">
        <x:v>Use Android application chooser.</x:v>
      </x:c>
      <x:c r="F55" s="88" t="str">
        <x:v>Approve as written</x:v>
      </x:c>
      <x:c r="G55" s="89" t="n">
        <x:v>1</x:v>
      </x:c>
      <x:c r="H55" s="89" t="n">
        <x:v>1</x:v>
      </x:c>
      <x:c r="I55" s="88" t="str">
        <x:v>FR-P-003</x:v>
      </x:c>
      <x:c r="J55" s="88" t="str">
        <x:v>Consistent with the approved ADR baseline and consolidated A–X requirements; no contradiction, technical impossibility, security risk, or data-loss risk identified.</x:v>
      </x:c>
      <x:c r="K55" s="88" t="str">
        <x:v>Approved</x:v>
      </x:c>
    </x:row>
    <x:row r="56">
      <x:c r="A56" s="87" t="str">
        <x:v>OPD-4-003</x:v>
      </x:c>
      <x:c r="B56" s="88" t="str">
        <x:v>P. Maps and Locations</x:v>
      </x:c>
      <x:c r="C56" s="88" t="str">
        <x:v>Coordinate storage</x:v>
      </x:c>
      <x:c r="D56" s="88" t="str">
        <x:v>Store only when explicitly selected or confirmed.</x:v>
      </x:c>
      <x:c r="E56" s="88" t="str">
        <x:v>Store only when explicitly selected or confirmed.</x:v>
      </x:c>
      <x:c r="F56" s="88" t="str">
        <x:v>Approve as written</x:v>
      </x:c>
      <x:c r="G56" s="89" t="n">
        <x:v>0</x:v>
      </x:c>
      <x:c r="H56" s="89" t="n">
        <x:v>0</x:v>
      </x:c>
      <x:c r="I56" s="88" t="str"/>
      <x:c r="J56" s="88" t="str">
        <x:v>Consistent with the approved ADR baseline and consolidated A–X requirements; no contradiction, technical impossibility, security risk, or data-loss risk identified.</x:v>
      </x:c>
      <x:c r="K56" s="88" t="str">
        <x:v>Approved</x:v>
      </x:c>
    </x:row>
    <x:row r="57">
      <x:c r="A57" s="87" t="str">
        <x:v>OPD-4-004</x:v>
      </x:c>
      <x:c r="B57" s="88" t="str">
        <x:v>P. Maps and Locations</x:v>
      </x:c>
      <x:c r="C57" s="88" t="str">
        <x:v>External handoff disclosure</x:v>
      </x:c>
      <x:c r="D57" s="88" t="str">
        <x:v>Show the destination before external handoff.</x:v>
      </x:c>
      <x:c r="E57" s="88" t="str">
        <x:v>Show the destination before external handoff.</x:v>
      </x:c>
      <x:c r="F57" s="88" t="str">
        <x:v>Approve as written</x:v>
      </x:c>
      <x:c r="G57" s="89" t="n">
        <x:v>0</x:v>
      </x:c>
      <x:c r="H57" s="89" t="n">
        <x:v>0</x:v>
      </x:c>
      <x:c r="I57" s="88" t="str"/>
      <x:c r="J57" s="88" t="str">
        <x:v>Consistent with the approved ADR baseline and consolidated A–X requirements; no contradiction, technical impossibility, security risk, or data-loss risk identified.</x:v>
      </x:c>
      <x:c r="K57" s="88" t="str">
        <x:v>Approved</x:v>
      </x:c>
    </x:row>
    <x:row r="58">
      <x:c r="A58" s="87" t="str">
        <x:v>OPD-4-005</x:v>
      </x:c>
      <x:c r="B58" s="88" t="str">
        <x:v>Q. Notifications and Reminders</x:v>
      </x:c>
      <x:c r="C58" s="88" t="str">
        <x:v>Quiet-hours default</x:v>
      </x:c>
      <x:c r="D58" s="88" t="str">
        <x:v>Off by default.</x:v>
      </x:c>
      <x:c r="E58" s="88" t="str">
        <x:v>Off by default.</x:v>
      </x:c>
      <x:c r="F58" s="88" t="str">
        <x:v>Approve as written</x:v>
      </x:c>
      <x:c r="G58" s="89" t="n">
        <x:v>2</x:v>
      </x:c>
      <x:c r="H58" s="89" t="n">
        <x:v>2</x:v>
      </x:c>
      <x:c r="I58" s="88" t="str">
        <x:v>FR-Q-008, FR-Q-015</x:v>
      </x:c>
      <x:c r="J58" s="88" t="str">
        <x:v>Consistent with the approved ADR baseline and consolidated A–X requirements; no contradiction, technical impossibility, security risk, or data-loss risk identified.</x:v>
      </x:c>
      <x:c r="K58" s="88" t="str">
        <x:v>Approved</x:v>
      </x:c>
    </x:row>
    <x:row r="59">
      <x:c r="A59" s="87" t="str">
        <x:v>OPD-4-006</x:v>
      </x:c>
      <x:c r="B59" s="88" t="str">
        <x:v>Q. Notifications and Reminders</x:v>
      </x:c>
      <x:c r="C59" s="88" t="str">
        <x:v>Notification preview default</x:v>
      </x:c>
      <x:c r="D59" s="88" t="str">
        <x:v>Use generic privacy-safe text until user opts into detail.</x:v>
      </x:c>
      <x:c r="E59" s="88" t="str">
        <x:v>Use generic privacy-safe text until user opts into detail.</x:v>
      </x:c>
      <x:c r="F59" s="88" t="str">
        <x:v>Approve as written</x:v>
      </x:c>
      <x:c r="G59" s="89" t="n">
        <x:v>1</x:v>
      </x:c>
      <x:c r="H59" s="89" t="n">
        <x:v>1</x:v>
      </x:c>
      <x:c r="I59" s="88" t="str">
        <x:v>FR-Q-009</x:v>
      </x:c>
      <x:c r="J59" s="88" t="str">
        <x:v>Consistent with the approved ADR baseline and consolidated A–X requirements; no contradiction, technical impossibility, security risk, or data-loss risk identified.</x:v>
      </x:c>
      <x:c r="K59" s="88" t="str">
        <x:v>Approved</x:v>
      </x:c>
    </x:row>
    <x:row r="60">
      <x:c r="A60" s="87" t="str">
        <x:v>OPD-4-007</x:v>
      </x:c>
      <x:c r="B60" s="88" t="str">
        <x:v>Q. Notifications and Reminders</x:v>
      </x:c>
      <x:c r="C60" s="88" t="str">
        <x:v>Past reminders after restart</x:v>
      </x:c>
      <x:c r="D60" s="88" t="str">
        <x:v>Do not replay expired reminders; use in-app attention states.</x:v>
      </x:c>
      <x:c r="E60" s="88" t="str">
        <x:v>Do not replay expired reminders; use in-app attention states.</x:v>
      </x:c>
      <x:c r="F60" s="88" t="str">
        <x:v>Approve as written</x:v>
      </x:c>
      <x:c r="G60" s="89" t="n">
        <x:v>2</x:v>
      </x:c>
      <x:c r="H60" s="89" t="n">
        <x:v>0</x:v>
      </x:c>
      <x:c r="I60" s="88" t="str">
        <x:v>FR-Q-010, FR-Q-014</x:v>
      </x:c>
      <x:c r="J60" s="88" t="str">
        <x:v>Consistent with the approved ADR baseline and consolidated A–X requirements; no contradiction, technical impossibility, security risk, or data-loss risk identified.</x:v>
      </x:c>
      <x:c r="K60" s="88" t="str">
        <x:v>Approved</x:v>
      </x:c>
    </x:row>
    <x:row r="61">
      <x:c r="A61" s="87" t="str">
        <x:v>OPD-4-008</x:v>
      </x:c>
      <x:c r="B61" s="88" t="str">
        <x:v>Q. Notifications and Reminders</x:v>
      </x:c>
      <x:c r="C61" s="88" t="str">
        <x:v>Notification actions</x:v>
      </x:c>
      <x:c r="D61" s="88" t="str">
        <x:v>V1 actions open or snooze only.</x:v>
      </x:c>
      <x:c r="E61" s="88" t="str">
        <x:v>V1 actions open or snooze only.</x:v>
      </x:c>
      <x:c r="F61" s="88" t="str">
        <x:v>Approve as written</x:v>
      </x:c>
      <x:c r="G61" s="89" t="n">
        <x:v>0</x:v>
      </x:c>
      <x:c r="H61" s="89" t="n">
        <x:v>0</x:v>
      </x:c>
      <x:c r="I61" s="88" t="str"/>
      <x:c r="J61" s="88" t="str">
        <x:v>Consistent with the approved ADR baseline and consolidated A–X requirements; no contradiction, technical impossibility, security risk, or data-loss risk identified.</x:v>
      </x:c>
      <x:c r="K61" s="88" t="str">
        <x:v>Approved</x:v>
      </x:c>
    </x:row>
    <x:row r="62">
      <x:c r="A62" s="87" t="str">
        <x:v>OPD-4-009</x:v>
      </x:c>
      <x:c r="B62" s="88" t="str">
        <x:v>R. BetterCalendar Import</x:v>
      </x:c>
      <x:c r="C62" s="88" t="str">
        <x:v>Imported completion fields</x:v>
      </x:c>
      <x:c r="D62" s="88" t="str">
        <x:v>Preserve as source metadata requiring review; do not map directly to outcomes.</x:v>
      </x:c>
      <x:c r="E62" s="88" t="str">
        <x:v>Preserve as source metadata requiring review; do not map directly to outcomes.</x:v>
      </x:c>
      <x:c r="F62" s="88" t="str">
        <x:v>Approve as written</x:v>
      </x:c>
      <x:c r="G62" s="89" t="n">
        <x:v>7</x:v>
      </x:c>
      <x:c r="H62" s="89" t="n">
        <x:v>6</x:v>
      </x:c>
      <x:c r="I62" s="88" t="str">
        <x:v>FR-R-002, FR-R-005, FR-R-007, FR-R-008, FR-R-009, FR-R-012, FR-R-016</x:v>
      </x:c>
      <x:c r="J62" s="88" t="str">
        <x:v>Consistent with the approved ADR baseline and consolidated A–X requirements; no contradiction, technical impossibility, security risk, or data-loss risk identified.</x:v>
      </x:c>
      <x:c r="K62" s="88" t="str">
        <x:v>Approved</x:v>
      </x:c>
    </x:row>
    <x:row r="63">
      <x:c r="A63" s="87" t="str">
        <x:v>OPD-4-010</x:v>
      </x:c>
      <x:c r="B63" s="88" t="str">
        <x:v>R. BetterCalendar Import</x:v>
      </x:c>
      <x:c r="C63" s="88" t="str">
        <x:v>Unknown fields</x:v>
      </x:c>
      <x:c r="D63" s="88" t="str">
        <x:v>Retain a privacy-safe manifest, not full unknown payload duplication.</x:v>
      </x:c>
      <x:c r="E63" s="88" t="str">
        <x:v>Retain a privacy-safe manifest, not full unknown payload duplication.</x:v>
      </x:c>
      <x:c r="F63" s="88" t="str">
        <x:v>Approve as written</x:v>
      </x:c>
      <x:c r="G63" s="89" t="n">
        <x:v>0</x:v>
      </x:c>
      <x:c r="H63" s="89" t="n">
        <x:v>0</x:v>
      </x:c>
      <x:c r="I63" s="88" t="str"/>
      <x:c r="J63" s="88" t="str">
        <x:v>Consistent with the approved ADR baseline and consolidated A–X requirements; no contradiction, technical impossibility, security risk, or data-loss risk identified.</x:v>
      </x:c>
      <x:c r="K63" s="88" t="str">
        <x:v>Approved</x:v>
      </x:c>
    </x:row>
    <x:row r="64">
      <x:c r="A64" s="87" t="str">
        <x:v>OPD-4-011</x:v>
      </x:c>
      <x:c r="B64" s="88" t="str">
        <x:v>R. BetterCalendar Import</x:v>
      </x:c>
      <x:c r="C64" s="88" t="str">
        <x:v>Existing-record conflicts</x:v>
      </x:c>
      <x:c r="D64" s="88" t="str">
        <x:v>Default to Skip Existing when stable source identity matches.</x:v>
      </x:c>
      <x:c r="E64" s="88" t="str">
        <x:v>Default to Skip Existing when stable source identity matches.</x:v>
      </x:c>
      <x:c r="F64" s="88" t="str">
        <x:v>Approve as written</x:v>
      </x:c>
      <x:c r="G64" s="89" t="n">
        <x:v>2</x:v>
      </x:c>
      <x:c r="H64" s="89" t="n">
        <x:v>1</x:v>
      </x:c>
      <x:c r="I64" s="88" t="str">
        <x:v>FR-R-009, FR-R-015</x:v>
      </x:c>
      <x:c r="J64" s="88" t="str">
        <x:v>Consistent with the approved ADR baseline and consolidated A–X requirements; no contradiction, technical impossibility, security risk, or data-loss risk identified.</x:v>
      </x:c>
      <x:c r="K64" s="88" t="str">
        <x:v>Approved</x:v>
      </x:c>
    </x:row>
    <x:row r="65">
      <x:c r="A65" s="87" t="str">
        <x:v>OPD-4-012</x:v>
      </x:c>
      <x:c r="B65" s="88" t="str">
        <x:v>R. BetterCalendar Import</x:v>
      </x:c>
      <x:c r="C65" s="88" t="str">
        <x:v>BetterCalendar settings</x:v>
      </x:c>
      <x:c r="D65" s="88" t="str">
        <x:v>Import only explicitly supported non-sensitive preferences.</x:v>
      </x:c>
      <x:c r="E65" s="88" t="str">
        <x:v>Import only explicitly supported non-sensitive preferences.</x:v>
      </x:c>
      <x:c r="F65" s="88" t="str">
        <x:v>Approve as written</x:v>
      </x:c>
      <x:c r="G65" s="89" t="n">
        <x:v>3</x:v>
      </x:c>
      <x:c r="H65" s="89" t="n">
        <x:v>1</x:v>
      </x:c>
      <x:c r="I65" s="88" t="str">
        <x:v>FR-R-003, FR-R-013, FR-R-017</x:v>
      </x:c>
      <x:c r="J65" s="88" t="str">
        <x:v>Consistent with the approved ADR baseline and consolidated A–X requirements; no contradiction, technical impossibility, security risk, or data-loss risk identified.</x:v>
      </x:c>
      <x:c r="K65" s="88" t="str">
        <x:v>Approved</x:v>
      </x:c>
    </x:row>
    <x:row r="66">
      <x:c r="A66" s="87" t="str">
        <x:v>OPD-4-013</x:v>
      </x:c>
      <x:c r="B66" s="88" t="str">
        <x:v>R. BetterCalendar Import</x:v>
      </x:c>
      <x:c r="C66" s="88" t="str">
        <x:v>Rollback availability</x:v>
      </x:c>
      <x:c r="D66" s="88" t="str">
        <x:v>Allow rollback until imported records receive dependent edits.</x:v>
      </x:c>
      <x:c r="E66" s="88" t="str">
        <x:v>Allow rollback until imported records receive dependent edits.</x:v>
      </x:c>
      <x:c r="F66" s="88" t="str">
        <x:v>Approve as written</x:v>
      </x:c>
      <x:c r="G66" s="89" t="n">
        <x:v>4</x:v>
      </x:c>
      <x:c r="H66" s="89" t="n">
        <x:v>3</x:v>
      </x:c>
      <x:c r="I66" s="88" t="str">
        <x:v>FR-R-008, FR-R-010, FR-R-016, FR-R-020</x:v>
      </x:c>
      <x:c r="J66" s="88" t="str">
        <x:v>Consistent with the approved ADR baseline and consolidated A–X requirements; no contradiction, technical impossibility, security risk, or data-loss risk identified.</x:v>
      </x:c>
      <x:c r="K66" s="88" t="str">
        <x:v>Approved</x:v>
      </x:c>
    </x:row>
    <x:row r="67">
      <x:c r="A67" s="87" t="str">
        <x:v>OPD-4-014</x:v>
      </x:c>
      <x:c r="B67" s="88" t="str">
        <x:v>S. Backup, Export, and Restore</x:v>
      </x:c>
      <x:c r="C67" s="88" t="str">
        <x:v>Native backup protection</x:v>
      </x:c>
      <x:c r="D67" s="88" t="str">
        <x:v>Use a user-set passphrase or platform-protected encrypted package.</x:v>
      </x:c>
      <x:c r="E67" s="88" t="str">
        <x:v>Portable .ntbackup files use user-passphrase encryption. Device-bound platform protection may protect temporary local recovery checkpoints, but it must not replace portable disaster-recovery protection.</x:v>
      </x:c>
      <x:c r="F67" s="88" t="str">
        <x:v>Approve with reconciled wording</x:v>
      </x:c>
      <x:c r="G67" s="89" t="n">
        <x:v>6</x:v>
      </x:c>
      <x:c r="H67" s="89" t="n">
        <x:v>6</x:v>
      </x:c>
      <x:c r="I67" s="88" t="str">
        <x:v>FR-S-003, FR-S-004, FR-S-005, FR-S-006, FR-S-007, FR-S-019</x:v>
      </x:c>
      <x:c r="J67" s="88" t="str">
        <x:v>Preserves portability across replacement devices and avoids a device-bound backup that cannot fulfill disaster recovery.</x:v>
      </x:c>
      <x:c r="K67" s="88" t="str">
        <x:v>Approved</x:v>
      </x:c>
    </x:row>
    <x:row r="68">
      <x:c r="A68" s="87" t="str">
        <x:v>OPD-4-015</x:v>
      </x:c>
      <x:c r="B68" s="88" t="str">
        <x:v>S. Backup, Export, and Restore</x:v>
      </x:c>
      <x:c r="C68" s="88" t="str">
        <x:v>Restore modes</x:v>
      </x:c>
      <x:c r="D68" s="88" t="str">
        <x:v>Support Merge and Replace Local Profile with stronger safeguards for Replace.</x:v>
      </x:c>
      <x:c r="E68" s="88" t="str">
        <x:v>Support Merge and Replace Local Profile with stronger safeguards for Replace.</x:v>
      </x:c>
      <x:c r="F68" s="88" t="str">
        <x:v>Approve as written</x:v>
      </x:c>
      <x:c r="G68" s="89" t="n">
        <x:v>5</x:v>
      </x:c>
      <x:c r="H68" s="89" t="n">
        <x:v>5</x:v>
      </x:c>
      <x:c r="I68" s="88" t="str">
        <x:v>FR-S-002, FR-S-009, FR-S-010, FR-S-011, FR-S-012</x:v>
      </x:c>
      <x:c r="J68" s="88" t="str">
        <x:v>Consistent with the approved ADR baseline and consolidated A–X requirements; no contradiction, technical impossibility, security risk, or data-loss risk identified.</x:v>
      </x:c>
      <x:c r="K68" s="88" t="str">
        <x:v>Approved</x:v>
      </x:c>
    </x:row>
    <x:row r="69">
      <x:c r="A69" s="87" t="str">
        <x:v>OPD-4-016</x:v>
      </x:c>
      <x:c r="B69" s="88" t="str">
        <x:v>S. Backup, Export, and Restore</x:v>
      </x:c>
      <x:c r="C69" s="88" t="str">
        <x:v>Human-readable export format</x:v>
      </x:c>
      <x:c r="D69" s="88" t="str">
        <x:v>Use structured JSON plus selected CSV summaries.</x:v>
      </x:c>
      <x:c r="E69" s="88" t="str">
        <x:v>Use structured JSON plus selected CSV summaries.</x:v>
      </x:c>
      <x:c r="F69" s="88" t="str">
        <x:v>Approve as written</x:v>
      </x:c>
      <x:c r="G69" s="89" t="n">
        <x:v>2</x:v>
      </x:c>
      <x:c r="H69" s="89" t="n">
        <x:v>2</x:v>
      </x:c>
      <x:c r="I69" s="88" t="str">
        <x:v>FR-S-007, FR-S-018</x:v>
      </x:c>
      <x:c r="J69" s="88" t="str">
        <x:v>Consistent with the approved ADR baseline and consolidated A–X requirements; no contradiction, technical impossibility, security risk, or data-loss risk identified.</x:v>
      </x:c>
      <x:c r="K69" s="88" t="str">
        <x:v>Approved</x:v>
      </x:c>
    </x:row>
    <x:row r="70">
      <x:c r="A70" s="87" t="str">
        <x:v>OPD-4-017</x:v>
      </x:c>
      <x:c r="B70" s="88" t="str">
        <x:v>S. Backup, Export, and Restore</x:v>
      </x:c>
      <x:c r="C70" s="88" t="str">
        <x:v>Partial restore boundaries</x:v>
      </x:c>
      <x:c r="D70" s="88" t="str">
        <x:v>Allow only dependency-safe domain packages.</x:v>
      </x:c>
      <x:c r="E70" s="88" t="str">
        <x:v>Allow only dependency-safe domain packages.</x:v>
      </x:c>
      <x:c r="F70" s="88" t="str">
        <x:v>Approve as written</x:v>
      </x:c>
      <x:c r="G70" s="89" t="n">
        <x:v>2</x:v>
      </x:c>
      <x:c r="H70" s="89" t="n">
        <x:v>2</x:v>
      </x:c>
      <x:c r="I70" s="88" t="str">
        <x:v>FR-S-012, FR-S-016</x:v>
      </x:c>
      <x:c r="J70" s="88" t="str">
        <x:v>Consistent with the approved ADR baseline and consolidated A–X requirements; no contradiction, technical impossibility, security risk, or data-loss risk identified.</x:v>
      </x:c>
      <x:c r="K70" s="88" t="str">
        <x:v>Approved</x:v>
      </x:c>
    </x:row>
    <x:row r="71">
      <x:c r="A71" s="87" t="str">
        <x:v>OPD-4-018</x:v>
      </x:c>
      <x:c r="B71" s="88" t="str">
        <x:v>S. Backup, Export, and Restore</x:v>
      </x:c>
      <x:c r="C71" s="88" t="str">
        <x:v>Automatic backup timing</x:v>
      </x:c>
      <x:c r="D71" s="88" t="str">
        <x:v>Defer automatic backup to V1.1.</x:v>
      </x:c>
      <x:c r="E71" s="88" t="str">
        <x:v>Defer automatic backup to V1.1.</x:v>
      </x:c>
      <x:c r="F71" s="88" t="str">
        <x:v>Approve as written</x:v>
      </x:c>
      <x:c r="G71" s="89" t="n">
        <x:v>1</x:v>
      </x:c>
      <x:c r="H71" s="89" t="n">
        <x:v>0</x:v>
      </x:c>
      <x:c r="I71" s="88" t="str">
        <x:v>FR-S-020</x:v>
      </x:c>
      <x:c r="J71" s="88" t="str">
        <x:v>Consistent with the approved ADR baseline and consolidated A–X requirements; no contradiction, technical impossibility, security risk, or data-loss risk identified.</x:v>
      </x:c>
      <x:c r="K71" s="88" t="str">
        <x:v>Approved</x:v>
      </x:c>
    </x:row>
    <x:row r="72">
      <x:c r="A72" s="87" t="str">
        <x:v>OPD-4-019</x:v>
      </x:c>
      <x:c r="B72" s="88" t="str">
        <x:v>T. Account and Synchronization</x:v>
      </x:c>
      <x:c r="C72" s="88" t="str">
        <x:v>First-sync conflict default</x:v>
      </x:c>
      <x:c r="D72" s="88" t="str">
        <x:v>Never auto-select cloud-wins.</x:v>
      </x:c>
      <x:c r="E72" s="88" t="str">
        <x:v>Never auto-select cloud-wins.</x:v>
      </x:c>
      <x:c r="F72" s="88" t="str">
        <x:v>Approve as written</x:v>
      </x:c>
      <x:c r="G72" s="89" t="n">
        <x:v>2</x:v>
      </x:c>
      <x:c r="H72" s="89" t="n">
        <x:v>2</x:v>
      </x:c>
      <x:c r="I72" s="88" t="str">
        <x:v>FR-T-006, FR-T-007</x:v>
      </x:c>
      <x:c r="J72" s="88" t="str">
        <x:v>Consistent with the approved ADR baseline and consolidated A–X requirements; no contradiction, technical impossibility, security risk, or data-loss risk identified.</x:v>
      </x:c>
      <x:c r="K72" s="88" t="str">
        <x:v>Approved</x:v>
      </x:c>
    </x:row>
    <x:row r="73">
      <x:c r="A73" s="87" t="str">
        <x:v>OPD-4-020</x:v>
      </x:c>
      <x:c r="B73" s="88" t="str">
        <x:v>T. Account and Synchronization</x:v>
      </x:c>
      <x:c r="C73" s="88" t="str">
        <x:v>Sign-out default</x:v>
      </x:c>
      <x:c r="D73" s="88" t="str">
        <x:v>Retain Local Profile and transition to local-only operation.</x:v>
      </x:c>
      <x:c r="E73" s="88" t="str">
        <x:v>Retain Local Profile and transition to local-only operation.</x:v>
      </x:c>
      <x:c r="F73" s="88" t="str">
        <x:v>Approve as written</x:v>
      </x:c>
      <x:c r="G73" s="89" t="n">
        <x:v>5</x:v>
      </x:c>
      <x:c r="H73" s="89" t="n">
        <x:v>4</x:v>
      </x:c>
      <x:c r="I73" s="88" t="str">
        <x:v>FR-T-002, FR-T-003, FR-T-006, FR-T-011, FR-T-020</x:v>
      </x:c>
      <x:c r="J73" s="88" t="str">
        <x:v>Consistent with the approved ADR baseline and consolidated A–X requirements; no contradiction, technical impossibility, security risk, or data-loss risk identified.</x:v>
      </x:c>
      <x:c r="K73" s="88" t="str">
        <x:v>Approved</x:v>
      </x:c>
    </x:row>
    <x:row r="74">
      <x:c r="A74" s="87" t="str">
        <x:v>OPD-4-021</x:v>
      </x:c>
      <x:c r="B74" s="88" t="str">
        <x:v>T. Account and Synchronization</x:v>
      </x:c>
      <x:c r="C74" s="88" t="str">
        <x:v>Cloud-account deletion</x:v>
      </x:c>
      <x:c r="D74" s="88" t="str">
        <x:v>Delete cloud data only; local deletion remains separate.</x:v>
      </x:c>
      <x:c r="E74" s="88" t="str">
        <x:v>Delete cloud data only; local deletion remains separate.</x:v>
      </x:c>
      <x:c r="F74" s="88" t="str">
        <x:v>Approve as written</x:v>
      </x:c>
      <x:c r="G74" s="89" t="n">
        <x:v>6</x:v>
      </x:c>
      <x:c r="H74" s="89" t="n">
        <x:v>5</x:v>
      </x:c>
      <x:c r="I74" s="88" t="str">
        <x:v>FR-T-002, FR-T-003, FR-T-006, FR-T-012, FR-T-013, FR-T-014</x:v>
      </x:c>
      <x:c r="J74" s="88" t="str">
        <x:v>Consistent with the approved ADR baseline and consolidated A–X requirements; no contradiction, technical impossibility, security risk, or data-loss risk identified.</x:v>
      </x:c>
      <x:c r="K74" s="88" t="str">
        <x:v>Approved</x:v>
      </x:c>
    </x:row>
    <x:row r="75">
      <x:c r="A75" s="87" t="str">
        <x:v>OPD-4-022</x:v>
      </x:c>
      <x:c r="B75" s="88" t="str">
        <x:v>T. Account and Synchronization</x:v>
      </x:c>
      <x:c r="C75" s="88" t="str">
        <x:v>Replacement-device recovery</x:v>
      </x:c>
      <x:c r="D75" s="88" t="str">
        <x:v>Require preview when local data already exists.</x:v>
      </x:c>
      <x:c r="E75" s="88" t="str">
        <x:v>Require preview when local data already exists.</x:v>
      </x:c>
      <x:c r="F75" s="88" t="str">
        <x:v>Approve as written</x:v>
      </x:c>
      <x:c r="G75" s="89" t="n">
        <x:v>3</x:v>
      </x:c>
      <x:c r="H75" s="89" t="n">
        <x:v>3</x:v>
      </x:c>
      <x:c r="I75" s="88" t="str">
        <x:v>FR-T-003, FR-T-013, FR-T-014</x:v>
      </x:c>
      <x:c r="J75" s="88" t="str">
        <x:v>Consistent with the approved ADR baseline and consolidated A–X requirements; no contradiction, technical impossibility, security risk, or data-loss risk identified.</x:v>
      </x:c>
      <x:c r="K75" s="88" t="str">
        <x:v>Approved</x:v>
      </x:c>
    </x:row>
    <x:row r="76">
      <x:c r="A76" s="87" t="str">
        <x:v>OPD-4-023</x:v>
      </x:c>
      <x:c r="B76" s="88" t="str">
        <x:v>T. Account and Synchronization</x:v>
      </x:c>
      <x:c r="C76" s="88" t="str">
        <x:v>Conflict granularity</x:v>
      </x:c>
      <x:c r="D76" s="88" t="str">
        <x:v>Auto-reconcile only provably nonconflicting records.</x:v>
      </x:c>
      <x:c r="E76" s="88" t="str">
        <x:v>Auto-reconcile only provably nonconflicting records.</x:v>
      </x:c>
      <x:c r="F76" s="88" t="str">
        <x:v>Approve as written</x:v>
      </x:c>
      <x:c r="G76" s="89" t="n">
        <x:v>0</x:v>
      </x:c>
      <x:c r="H76" s="89" t="n">
        <x:v>0</x:v>
      </x:c>
      <x:c r="I76" s="88" t="str"/>
      <x:c r="J76" s="88" t="str">
        <x:v>Consistent with the approved ADR baseline and consolidated A–X requirements; no contradiction, technical impossibility, security risk, or data-loss risk identified.</x:v>
      </x:c>
      <x:c r="K76" s="88" t="str">
        <x:v>Approved</x:v>
      </x:c>
    </x:row>
    <x:row r="77">
      <x:c r="A77" s="87" t="str">
        <x:v>OPD-4-024</x:v>
      </x:c>
      <x:c r="B77" s="88" t="str">
        <x:v>T. Account and Synchronization</x:v>
      </x:c>
      <x:c r="C77" s="88" t="str">
        <x:v>Sensitive-category sync</x:v>
      </x:c>
      <x:c r="D77" s="88" t="str">
        <x:v>Private reflections remain local-only by default.</x:v>
      </x:c>
      <x:c r="E77" s="88" t="str">
        <x:v>Private reflections are Extra Private and local-only by default. They may enter cloud synchronization only after a future explicit per-category opt-in exists; until then they remain local-only.</x:v>
      </x:c>
      <x:c r="F77" s="88" t="str">
        <x:v>Approve with reconciled wording</x:v>
      </x:c>
      <x:c r="G77" s="89" t="n">
        <x:v>2</x:v>
      </x:c>
      <x:c r="H77" s="89" t="n">
        <x:v>1</x:v>
      </x:c>
      <x:c r="I77" s="88" t="str">
        <x:v>FR-T-012, FR-T-014</x:v>
      </x:c>
      <x:c r="J77" s="88" t="str">
        <x:v>Uses the same canonical privacy policy as OPD-3-002 and OPD-5-011.</x:v>
      </x:c>
      <x:c r="K77" s="88" t="str">
        <x:v>Approved</x:v>
      </x:c>
    </x:row>
    <x:row r="78">
      <x:c r="A78" s="87" t="str">
        <x:v>OPD-5-001</x:v>
      </x:c>
      <x:c r="B78" s="88" t="str">
        <x:v>U. Notifications and Background Work</x:v>
      </x:c>
      <x:c r="C78" s="88" t="str">
        <x:v>Exact alarm use</x:v>
      </x:c>
      <x:c r="D78" s="88" t="str">
        <x:v>Use exact alarms only for approved time-critical user reminders when Android policy and permission allow; otherwise use normal scheduled work.</x:v>
      </x:c>
      <x:c r="E78" s="88" t="str">
        <x:v>Use exact alarms only for user-selected, clock-time-critical reminders when Android policy permits and the required special access is granted. Otherwise use inexact scheduling with factual delay messaging. Never use exact alarms for synchronization, content checks, backups, or generic maintenance.</x:v>
      </x:c>
      <x:c r="F78" s="88" t="str">
        <x:v>Approve with reconciled wording</x:v>
      </x:c>
      <x:c r="G78" s="89" t="n">
        <x:v>1</x:v>
      </x:c>
      <x:c r="H78" s="89" t="n">
        <x:v>0</x:v>
      </x:c>
      <x:c r="I78" s="88" t="str">
        <x:v>FR-U-018</x:v>
      </x:c>
      <x:c r="J78" s="88" t="str">
        <x:v>Narrows exact alarms to genuine user-facing time-critical reminders and prevents policy-heavy use for ordinary background work.</x:v>
      </x:c>
      <x:c r="K78" s="88" t="str">
        <x:v>Approved</x:v>
      </x:c>
    </x:row>
    <x:row r="79">
      <x:c r="A79" s="87" t="str">
        <x:v>OPD-5-002</x:v>
      </x:c>
      <x:c r="B79" s="88" t="str">
        <x:v>U. Notifications and Background Work</x:v>
      </x:c>
      <x:c r="C79" s="88" t="str">
        <x:v>Foreground service boundary</x:v>
      </x:c>
      <x:c r="D79" s="88" t="str">
        <x:v>Use only for user-initiated long-running work that Android cannot safely complete otherwise.</x:v>
      </x:c>
      <x:c r="E79" s="88" t="str">
        <x:v>Use only for user-initiated long-running work that Android cannot safely complete otherwise.</x:v>
      </x:c>
      <x:c r="F79" s="88" t="str">
        <x:v>Approve as written</x:v>
      </x:c>
      <x:c r="G79" s="89" t="n">
        <x:v>2</x:v>
      </x:c>
      <x:c r="H79" s="89" t="n">
        <x:v>0</x:v>
      </x:c>
      <x:c r="I79" s="88" t="str">
        <x:v>FR-U-011, FR-U-018</x:v>
      </x:c>
      <x:c r="J79" s="88" t="str">
        <x:v>Consistent with the approved ADR baseline and consolidated A–X requirements; no contradiction, technical impossibility, security risk, or data-loss risk identified.</x:v>
      </x:c>
      <x:c r="K79" s="88" t="str">
        <x:v>Approved</x:v>
      </x:c>
    </x:row>
    <x:row r="80">
      <x:c r="A80" s="87" t="str">
        <x:v>OPD-5-003</x:v>
      </x:c>
      <x:c r="B80" s="88" t="str">
        <x:v>U. Notifications and Background Work</x:v>
      </x:c>
      <x:c r="C80" s="88" t="str">
        <x:v>Background diagnostic detail</x:v>
      </x:c>
      <x:c r="D80" s="88" t="str">
        <x:v>Show category, state, and timestamps without exposing private payloads.</x:v>
      </x:c>
      <x:c r="E80" s="88" t="str">
        <x:v>Show category, state, and timestamps without exposing private payloads.</x:v>
      </x:c>
      <x:c r="F80" s="88" t="str">
        <x:v>Approve as written</x:v>
      </x:c>
      <x:c r="G80" s="89" t="n">
        <x:v>5</x:v>
      </x:c>
      <x:c r="H80" s="89" t="n">
        <x:v>5</x:v>
      </x:c>
      <x:c r="I80" s="88" t="str">
        <x:v>FR-U-002, FR-U-009, FR-U-012, FR-U-013, FR-U-019</x:v>
      </x:c>
      <x:c r="J80" s="88" t="str">
        <x:v>Consistent with the approved ADR baseline and consolidated A–X requirements; no contradiction, technical impossibility, security risk, or data-loss risk identified.</x:v>
      </x:c>
      <x:c r="K80" s="88" t="str">
        <x:v>Approved</x:v>
      </x:c>
    </x:row>
    <x:row r="81">
      <x:c r="A81" s="87" t="str">
        <x:v>OPD-5-004</x:v>
      </x:c>
      <x:c r="B81" s="88" t="str">
        <x:v>U. Notifications and Background Work</x:v>
      </x:c>
      <x:c r="C81" s="88" t="str">
        <x:v>Content-check cadence</x:v>
      </x:c>
      <x:c r="D81" s="88" t="str">
        <x:v>Use a conservative periodic check with manual refresh always available.</x:v>
      </x:c>
      <x:c r="E81" s="88" t="str">
        <x:v>Attempt an automatic official-content check once every 24 hours when eligible, with operating-system flex and delay allowed. Manual refresh remains available at any time, and failure preserves bundled or last-known-valid content.</x:v>
      </x:c>
      <x:c r="F81" s="88" t="str">
        <x:v>Approve with reconciled wording</x:v>
      </x:c>
      <x:c r="G81" s="89" t="n">
        <x:v>1</x:v>
      </x:c>
      <x:c r="H81" s="89" t="n">
        <x:v>1</x:v>
      </x:c>
      <x:c r="I81" s="88" t="str">
        <x:v>FR-U-008</x:v>
      </x:c>
      <x:c r="J81" s="88" t="str">
        <x:v>Turns 'conservative periodic' into a testable V1 cadence while retaining best-effort Android execution.</x:v>
      </x:c>
      <x:c r="K81" s="88" t="str">
        <x:v>Approved</x:v>
      </x:c>
    </x:row>
    <x:row r="82">
      <x:c r="A82" s="87" t="str">
        <x:v>OPD-5-005</x:v>
      </x:c>
      <x:c r="B82" s="88" t="str">
        <x:v>V. Device-Calendar Manual Import and Export</x:v>
      </x:c>
      <x:c r="C82" s="88" t="str">
        <x:v>Device-calendar import scope</x:v>
      </x:c>
      <x:c r="D82" s="88" t="str">
        <x:v>Default to explicit calendar and date-range selection.</x:v>
      </x:c>
      <x:c r="E82" s="88" t="str">
        <x:v>Default to explicit calendar and date-range selection.</x:v>
      </x:c>
      <x:c r="F82" s="88" t="str">
        <x:v>Approve as written</x:v>
      </x:c>
      <x:c r="G82" s="89" t="n">
        <x:v>4</x:v>
      </x:c>
      <x:c r="H82" s="89" t="n">
        <x:v>3</x:v>
      </x:c>
      <x:c r="I82" s="88" t="str">
        <x:v>FR-V-001, FR-V-002, FR-V-004, FR-V-020</x:v>
      </x:c>
      <x:c r="J82" s="88" t="str">
        <x:v>Consistent with the approved ADR baseline and consolidated A–X requirements; no contradiction, technical impossibility, security risk, or data-loss risk identified.</x:v>
      </x:c>
      <x:c r="K82" s="88" t="str">
        <x:v>Approved</x:v>
      </x:c>
    </x:row>
    <x:row r="83">
      <x:c r="A83" s="87" t="str">
        <x:v>OPD-5-006</x:v>
      </x:c>
      <x:c r="B83" s="88" t="str">
        <x:v>V. Device-Calendar Manual Import and Export</x:v>
      </x:c>
      <x:c r="C83" s="88" t="str">
        <x:v>Export update behavior</x:v>
      </x:c>
      <x:c r="D83" s="88" t="str">
        <x:v>When a stable mapping exists, offer Update Existing or Create New; never update silently.</x:v>
      </x:c>
      <x:c r="E83" s="88" t="str">
        <x:v>When a stable mapping exists, offer Update Existing or Create New; never update silently.</x:v>
      </x:c>
      <x:c r="F83" s="88" t="str">
        <x:v>Approve as written</x:v>
      </x:c>
      <x:c r="G83" s="89" t="n">
        <x:v>3</x:v>
      </x:c>
      <x:c r="H83" s="89" t="n">
        <x:v>1</x:v>
      </x:c>
      <x:c r="I83" s="88" t="str">
        <x:v>FR-V-010, FR-V-017, FR-V-018</x:v>
      </x:c>
      <x:c r="J83" s="88" t="str">
        <x:v>Consistent with the approved ADR baseline and consolidated A–X requirements; no contradiction, technical impossibility, security risk, or data-loss risk identified.</x:v>
      </x:c>
      <x:c r="K83" s="88" t="str">
        <x:v>Approved</x:v>
      </x:c>
    </x:row>
    <x:row r="84">
      <x:c r="A84" s="87" t="str">
        <x:v>OPD-5-007</x:v>
      </x:c>
      <x:c r="B84" s="88" t="str">
        <x:v>V. Device-Calendar Manual Import and Export</x:v>
      </x:c>
      <x:c r="C84" s="88" t="str">
        <x:v>Exported description default</x:v>
      </x:c>
      <x:c r="D84" s="88" t="str">
        <x:v>Export title, time, location, and a minimal non-sensitive note only.</x:v>
      </x:c>
      <x:c r="E84" s="88" t="str">
        <x:v>Default export fields are title, start/end, all-day status, a non-precise location, and an optional fixed non-sensitive source note. Exclude descriptions, user notes, reflections, document references, contribution metadata, and precise coordinates. Show the field preview before commit.</x:v>
      </x:c>
      <x:c r="F84" s="88" t="str">
        <x:v>Approve with reconciled wording</x:v>
      </x:c>
      <x:c r="G84" s="89" t="n">
        <x:v>1</x:v>
      </x:c>
      <x:c r="H84" s="89" t="n">
        <x:v>0</x:v>
      </x:c>
      <x:c r="I84" s="88" t="str">
        <x:v>FR-V-015</x:v>
      </x:c>
      <x:c r="J84" s="88" t="str">
        <x:v>Reconciles useful calendar export with the sensitive-field and precise-location privacy boundaries.</x:v>
      </x:c>
      <x:c r="K84" s="88" t="str">
        <x:v>Approved</x:v>
      </x:c>
    </x:row>
    <x:row r="85">
      <x:c r="A85" s="87" t="str">
        <x:v>OPD-5-008</x:v>
      </x:c>
      <x:c r="B85" s="88" t="str">
        <x:v>V. Device-Calendar Manual Import and Export</x:v>
      </x:c>
      <x:c r="C85" s="88" t="str">
        <x:v>Unsupported recurrence handling</x:v>
      </x:c>
      <x:c r="D85" s="88" t="str">
        <x:v>Import supported occurrences or skip with preview; never flatten silently.</x:v>
      </x:c>
      <x:c r="E85" s="88" t="str">
        <x:v>Import supported occurrences or skip with preview; never flatten silently.</x:v>
      </x:c>
      <x:c r="F85" s="88" t="str">
        <x:v>Approve as written</x:v>
      </x:c>
      <x:c r="G85" s="89" t="n">
        <x:v>1</x:v>
      </x:c>
      <x:c r="H85" s="89" t="n">
        <x:v>0</x:v>
      </x:c>
      <x:c r="I85" s="88" t="str">
        <x:v>FR-V-019</x:v>
      </x:c>
      <x:c r="J85" s="88" t="str">
        <x:v>Consistent with the approved ADR baseline and consolidated A–X requirements; no contradiction, technical impossibility, security risk, or data-loss risk identified.</x:v>
      </x:c>
      <x:c r="K85" s="88" t="str">
        <x:v>Approved</x:v>
      </x:c>
    </x:row>
    <x:row r="86">
      <x:c r="A86" s="87" t="str">
        <x:v>OPD-5-009</x:v>
      </x:c>
      <x:c r="B86" s="88" t="str">
        <x:v>V. Device-Calendar Manual Import and Export</x:v>
      </x:c>
      <x:c r="C86" s="88" t="str">
        <x:v>Duplicate exact fingerprint window</x:v>
      </x:c>
      <x:c r="D86" s="88" t="str">
        <x:v>Use provider calendar, normalized title, start, end, all-day flag, and recurrence identity.</x:v>
      </x:c>
      <x:c r="E86" s="88" t="str">
        <x:v>Use provider calendar, normalized title, start, end, all-day flag, and recurrence identity.</x:v>
      </x:c>
      <x:c r="F86" s="88" t="str">
        <x:v>Approve as written</x:v>
      </x:c>
      <x:c r="G86" s="89" t="n">
        <x:v>2</x:v>
      </x:c>
      <x:c r="H86" s="89" t="n">
        <x:v>0</x:v>
      </x:c>
      <x:c r="I86" s="88" t="str">
        <x:v>FR-V-011, FR-V-019</x:v>
      </x:c>
      <x:c r="J86" s="88" t="str">
        <x:v>Consistent with the approved ADR baseline and consolidated A–X requirements; no contradiction, technical impossibility, security risk, or data-loss risk identified.</x:v>
      </x:c>
      <x:c r="K86" s="88" t="str">
        <x:v>Approved</x:v>
      </x:c>
    </x:row>
    <x:row r="87">
      <x:c r="A87" s="87" t="str">
        <x:v>OPD-5-010</x:v>
      </x:c>
      <x:c r="B87" s="88" t="str">
        <x:v>W. Privacy Lock, Permissions, and Privacy Center</x:v>
      </x:c>
      <x:c r="C87" s="88" t="str">
        <x:v>Privacy Lock fallback</x:v>
      </x:c>
      <x:c r="D87" s="88" t="str">
        <x:v>Use OS device credential when biometric authentication is unavailable.</x:v>
      </x:c>
      <x:c r="E87" s="88" t="str">
        <x:v>Use OS biometric authentication when available, with OS device credential as the V1 fallback. Do not implement or store a separate app PIN in V1.</x:v>
      </x:c>
      <x:c r="F87" s="88" t="str">
        <x:v>Approve with reconciled wording</x:v>
      </x:c>
      <x:c r="G87" s="89" t="n">
        <x:v>3</x:v>
      </x:c>
      <x:c r="H87" s="89" t="n">
        <x:v>3</x:v>
      </x:c>
      <x:c r="I87" s="88" t="str">
        <x:v>FR-W-003, FR-W-011, FR-W-020</x:v>
      </x:c>
      <x:c r="J87" s="88" t="str">
        <x:v>Canonical Privacy Lock fallback; supersedes the app-PIN alternative in OPD-1-002.</x:v>
      </x:c>
      <x:c r="K87" s="88" t="str">
        <x:v>Approved</x:v>
      </x:c>
    </x:row>
    <x:row r="88">
      <x:c r="A88" s="87" t="str">
        <x:v>OPD-5-011</x:v>
      </x:c>
      <x:c r="B88" s="88" t="str">
        <x:v>W. Privacy Lock, Permissions, and Privacy Center</x:v>
      </x:c>
      <x:c r="C88" s="88" t="str">
        <x:v>Private reflection default</x:v>
      </x:c>
      <x:c r="D88" s="88" t="str">
        <x:v>Extra Private and local-only until explicit sync opt-in.</x:v>
      </x:c>
      <x:c r="E88" s="88" t="str">
        <x:v>Private reflections are Extra Private and local-only by default. They may enter cloud synchronization only after a future explicit per-category opt-in exists; until then they remain local-only.</x:v>
      </x:c>
      <x:c r="F88" s="88" t="str">
        <x:v>Approve with reconciled wording</x:v>
      </x:c>
      <x:c r="G88" s="89" t="n">
        <x:v>1</x:v>
      </x:c>
      <x:c r="H88" s="89" t="n">
        <x:v>1</x:v>
      </x:c>
      <x:c r="I88" s="88" t="str">
        <x:v>FR-W-013</x:v>
      </x:c>
      <x:c r="J88" s="88" t="str">
        <x:v>Canonical shared policy for Covenant Path, synchronization, and Privacy Center.</x:v>
      </x:c>
      <x:c r="K88" s="88" t="str">
        <x:v>Approved</x:v>
      </x:c>
    </x:row>
    <x:row r="89">
      <x:c r="A89" s="87" t="str">
        <x:v>OPD-5-012</x:v>
      </x:c>
      <x:c r="B89" s="88" t="str">
        <x:v>W. Privacy Lock, Permissions, and Privacy Center</x:v>
      </x:c>
      <x:c r="C89" s="88" t="str">
        <x:v>App-switcher protection</x:v>
      </x:c>
      <x:c r="D89" s="88" t="str">
        <x:v>Enable the strongest supported obscuring without claiming universal OS coverage.</x:v>
      </x:c>
      <x:c r="E89" s="88" t="str">
        <x:v>Enable the strongest supported obscuring without claiming universal OS coverage.</x:v>
      </x:c>
      <x:c r="F89" s="88" t="str">
        <x:v>Approve as written</x:v>
      </x:c>
      <x:c r="G89" s="89" t="n">
        <x:v>1</x:v>
      </x:c>
      <x:c r="H89" s="89" t="n">
        <x:v>1</x:v>
      </x:c>
      <x:c r="I89" s="88" t="str">
        <x:v>FR-W-006</x:v>
      </x:c>
      <x:c r="J89" s="88" t="str">
        <x:v>Consistent with the approved ADR baseline and consolidated A–X requirements; no contradiction, technical impossibility, security risk, or data-loss risk identified.</x:v>
      </x:c>
      <x:c r="K89" s="88" t="str">
        <x:v>Approved</x:v>
      </x:c>
    </x:row>
    <x:row r="90">
      <x:c r="A90" s="87" t="str">
        <x:v>OPD-5-013</x:v>
      </x:c>
      <x:c r="B90" s="88" t="str">
        <x:v>W. Privacy Lock, Permissions, and Privacy Center</x:v>
      </x:c>
      <x:c r="C90" s="88" t="str">
        <x:v>Analytics policy</x:v>
      </x:c>
      <x:c r="D90" s="88" t="str">
        <x:v>No private payload analytics; only aggregate operational events when approved.</x:v>
      </x:c>
      <x:c r="E90" s="88" t="str">
        <x:v>No private payload analytics; only aggregate operational events when approved.</x:v>
      </x:c>
      <x:c r="F90" s="88" t="str">
        <x:v>Approve as written</x:v>
      </x:c>
      <x:c r="G90" s="89" t="n">
        <x:v>2</x:v>
      </x:c>
      <x:c r="H90" s="89" t="n">
        <x:v>1</x:v>
      </x:c>
      <x:c r="I90" s="88" t="str">
        <x:v>FR-W-012, FR-W-013</x:v>
      </x:c>
      <x:c r="J90" s="88" t="str">
        <x:v>Consistent with the approved ADR baseline and consolidated A–X requirements; no contradiction, technical impossibility, security risk, or data-loss risk identified.</x:v>
      </x:c>
      <x:c r="K90" s="88" t="str">
        <x:v>Approved</x:v>
      </x:c>
    </x:row>
    <x:row r="91">
      <x:c r="A91" s="87" t="str">
        <x:v>OPD-5-014</x:v>
      </x:c>
      <x:c r="B91" s="88" t="str">
        <x:v>W. Privacy Lock, Permissions, and Privacy Center</x:v>
      </x:c>
      <x:c r="C91" s="88" t="str">
        <x:v>Local encryption claim</x:v>
      </x:c>
      <x:c r="D91" s="88" t="str">
        <x:v>State only protections actually implemented and verified.</x:v>
      </x:c>
      <x:c r="E91" s="88" t="str">
        <x:v>State only protections actually implemented and verified.</x:v>
      </x:c>
      <x:c r="F91" s="88" t="str">
        <x:v>Approve as written</x:v>
      </x:c>
      <x:c r="G91" s="89" t="n">
        <x:v>1</x:v>
      </x:c>
      <x:c r="H91" s="89" t="n">
        <x:v>1</x:v>
      </x:c>
      <x:c r="I91" s="88" t="str">
        <x:v>FR-W-015</x:v>
      </x:c>
      <x:c r="J91" s="88" t="str">
        <x:v>Consistent with the approved ADR baseline and consolidated A–X requirements; no contradiction, technical impossibility, security risk, or data-loss risk identified.</x:v>
      </x:c>
      <x:c r="K91" s="88" t="str">
        <x:v>Approved</x:v>
      </x:c>
    </x:row>
    <x:row r="92">
      <x:c r="A92" s="87" t="str">
        <x:v>OPD-5-015</x:v>
      </x:c>
      <x:c r="B92" s="88" t="str">
        <x:v>X. Settings, Account and Sync Center, and More Screen</x:v>
      </x:c>
      <x:c r="C92" s="88" t="str">
        <x:v>Device-specific preferences</x:v>
      </x:c>
      <x:c r="D92" s="88" t="str">
        <x:v>Keep notification channels, permissions, privacy-lock timeout, and local appearance overrides device-specific.</x:v>
      </x:c>
      <x:c r="E92" s="88" t="str">
        <x:v>Keep notification channels, permissions, privacy-lock timeout, and local appearance overrides device-specific.</x:v>
      </x:c>
      <x:c r="F92" s="88" t="str">
        <x:v>Approve as written</x:v>
      </x:c>
      <x:c r="G92" s="89" t="n">
        <x:v>3</x:v>
      </x:c>
      <x:c r="H92" s="89" t="n">
        <x:v>1</x:v>
      </x:c>
      <x:c r="I92" s="88" t="str">
        <x:v>FR-X-006, FR-X-011, FR-X-018</x:v>
      </x:c>
      <x:c r="J92" s="88" t="str">
        <x:v>Consistent with the approved ADR baseline and consolidated A–X requirements; no contradiction, technical impossibility, security risk, or data-loss risk identified.</x:v>
      </x:c>
      <x:c r="K92" s="88" t="str">
        <x:v>Approved</x:v>
      </x:c>
    </x:row>
    <x:row r="93">
      <x:c r="A93" s="87" t="str">
        <x:v>OPD-5-016</x:v>
      </x:c>
      <x:c r="B93" s="88" t="str">
        <x:v>X. Settings, Account and Sync Center, and More Screen</x:v>
      </x:c>
      <x:c r="C93" s="88" t="str">
        <x:v>Globally synchronized preferences</x:v>
      </x:c>
      <x:c r="D93" s="88" t="str">
        <x:v>Sync only explicitly approved user preferences that are safe across devices.</x:v>
      </x:c>
      <x:c r="E93" s="88" t="str">
        <x:v>Use a default-deny allowlist for synchronized preferences. V1 synchronizes no preference merely because an account exists; only preferences explicitly named by an approved vertical-slice specification may sync. Device-specific settings from OPD-5-015 never sync.</x:v>
      </x:c>
      <x:c r="F93" s="88" t="str">
        <x:v>Approve with reconciled wording</x:v>
      </x:c>
      <x:c r="G93" s="89" t="n">
        <x:v>1</x:v>
      </x:c>
      <x:c r="H93" s="89" t="n">
        <x:v>0</x:v>
      </x:c>
      <x:c r="I93" s="88" t="str">
        <x:v>FR-X-018</x:v>
      </x:c>
      <x:c r="J93" s="88" t="str">
        <x:v>Prevents accidental cross-device propagation and makes the safe global-preference boundary testable.</x:v>
      </x:c>
      <x:c r="K93" s="88" t="str">
        <x:v>Approved</x:v>
      </x:c>
    </x:row>
    <x:row r="94">
      <x:c r="A94" s="87" t="str">
        <x:v>OPD-5-017</x:v>
      </x:c>
      <x:c r="B94" s="88" t="str">
        <x:v>X. Settings, Account and Sync Center, and More Screen</x:v>
      </x:c>
      <x:c r="C94" s="88" t="str">
        <x:v>Connected-device management</x:v>
      </x:c>
      <x:c r="D94" s="88" t="str">
        <x:v>Allow review and session revocation in V1.1 unless required for launch security.</x:v>
      </x:c>
      <x:c r="E94" s="88" t="str">
        <x:v>Allow review and session revocation in V1.1 unless required for launch security.</x:v>
      </x:c>
      <x:c r="F94" s="88" t="str">
        <x:v>Approve as written</x:v>
      </x:c>
      <x:c r="G94" s="89" t="n">
        <x:v>2</x:v>
      </x:c>
      <x:c r="H94" s="89" t="n">
        <x:v>1</x:v>
      </x:c>
      <x:c r="I94" s="88" t="str">
        <x:v>FR-X-012, FR-X-014</x:v>
      </x:c>
      <x:c r="J94" s="88" t="str">
        <x:v>Consistent with the approved ADR baseline and consolidated A–X requirements; no contradiction, technical impossibility, security risk, or data-loss risk identified.</x:v>
      </x:c>
      <x:c r="K94" s="88" t="str">
        <x:v>Approved</x:v>
      </x:c>
    </x:row>
    <x:row r="95">
      <x:c r="A95" s="87" t="str">
        <x:v>OPD-5-018</x:v>
      </x:c>
      <x:c r="B95" s="88" t="str">
        <x:v>X. Settings, Account and Sync Center, and More Screen</x:v>
      </x:c>
      <x:c r="C95" s="88" t="str">
        <x:v>Remove synchronized data action</x:v>
      </x:c>
      <x:c r="D95" s="88" t="str">
        <x:v>Require backup guidance and separate handling of local-only records.</x:v>
      </x:c>
      <x:c r="E95" s="88" t="str">
        <x:v>Require backup guidance and separate handling of local-only records.</x:v>
      </x:c>
      <x:c r="F95" s="88" t="str">
        <x:v>Approve as written</x:v>
      </x:c>
      <x:c r="G95" s="89" t="n">
        <x:v>4</x:v>
      </x:c>
      <x:c r="H95" s="89" t="n">
        <x:v>3</x:v>
      </x:c>
      <x:c r="I95" s="88" t="str">
        <x:v>FR-X-008, FR-X-010, FR-X-011, FR-X-019</x:v>
      </x:c>
      <x:c r="J95" s="88" t="str">
        <x:v>Consistent with the approved ADR baseline and consolidated A–X requirements; no contradiction, technical impossibility, security risk, or data-loss risk identified.</x:v>
      </x:c>
      <x:c r="K95" s="88" t="str">
        <x:v>Approved</x:v>
      </x:c>
    </x:row>
    <x:row r="96">
      <x:c r="A96" s="87" t="str">
        <x:v>OPD-5-019</x:v>
      </x:c>
      <x:c r="B96" s="88" t="str">
        <x:v>X. Settings, Account and Sync Center, and More Screen</x:v>
      </x:c>
      <x:c r="C96" s="88" t="str">
        <x:v>More information architecture</x:v>
      </x:c>
      <x:c r="D96" s="88" t="str">
        <x:v>Use one canonical destination per settings area with contextual deep links rather than duplicates.</x:v>
      </x:c>
      <x:c r="E96" s="88" t="str">
        <x:v>Use one canonical destination per settings area with contextual deep links rather than duplicates.</x:v>
      </x:c>
      <x:c r="F96" s="88" t="str">
        <x:v>Approve as written</x:v>
      </x:c>
      <x:c r="G96" s="89" t="n">
        <x:v>0</x:v>
      </x:c>
      <x:c r="H96" s="89" t="n">
        <x:v>0</x:v>
      </x:c>
      <x:c r="I96" s="88" t="str"/>
      <x:c r="J96" s="88" t="str">
        <x:v>Consistent with the approved ADR baseline and consolidated A–X requirements; no contradiction, technical impossibility, security risk, or data-loss risk identified.</x:v>
      </x:c>
      <x:c r="K96" s="88" t="str">
        <x:v>Approved</x:v>
      </x:c>
    </x:row>
  </x:sheetData>
  <x:conditionalFormatting sqref="A2:K96">
    <x:cfRule type="expression" dxfId="9" priority="1">
      <x:formula>MOD(ROW(),2)=0</x:formula>
    </x:cfRule>
  </x:conditionalFormatting>
  <x:conditionalFormatting sqref="F2:F96">
    <x:cfRule type="expression" dxfId="10" priority="2">
      <x:formula>$F2="Approve as written"</x:formula>
    </x:cfRule>
    <x:cfRule type="expression" dxfId="11" priority="3">
      <x:formula>$F2="Approve with reconciled wording"</x:formula>
    </x:cfRule>
    <x:cfRule type="expression" dxfId="12" priority="4">
      <x:formula>$F2="Replace vague recommendation with explicit proposal"</x:formula>
    </x:cfRule>
  </x:conditionalFormatting>
  <x:conditionalFormatting sqref="K2:K96">
    <x:cfRule type="expression" dxfId="13" priority="5">
      <x:formula>$K2="Pending user approval"</x:formula>
    </x:cfRule>
  </x:conditionalFormatting>
  <x:dataValidations count="1">
    <x:dataValidation type="list" sqref="K2:K96">
      <x:formula1>"Pending user approval,Approved,Rejected,Needs revision"</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30" hidden="0" customWidth="1"/>
    <x:col min="3" max="3" width="30" hidden="0" customWidth="1"/>
    <x:col min="4" max="4" width="34" hidden="0" customWidth="1"/>
    <x:col min="5" max="5" width="34" hidden="0" customWidth="1"/>
    <x:col min="6" max="6" width="54" hidden="0" customWidth="1"/>
    <x:col min="7" max="7" width="18" hidden="0" customWidth="1"/>
  </x:cols>
  <x:sheetData>
    <x:row r="1" ht="34" customHeight="1">
      <x:c r="A1" s="86" t="str">
        <x:v>Decision ID</x:v>
      </x:c>
      <x:c r="B1" s="86" t="str">
        <x:v>Feature Group</x:v>
      </x:c>
      <x:c r="C1" s="86" t="str">
        <x:v>Decision</x:v>
      </x:c>
      <x:c r="D1" s="86" t="str">
        <x:v>Proposed Traceability Repair</x:v>
      </x:c>
      <x:c r="E1" s="86" t="str">
        <x:v>Requirement IDs to Backfill</x:v>
      </x:c>
      <x:c r="F1" s="86" t="str">
        <x:v>Reason</x:v>
      </x:c>
      <x:c r="G1" s="86" t="str">
        <x:v>Approval Status</x:v>
      </x:c>
    </x:row>
    <x:row r="2">
      <x:c r="A2" s="87" t="str">
        <x:v>OPD-1-002</x:v>
      </x:c>
      <x:c r="B2" s="88" t="str">
        <x:v>A. App Startup and Guest Onboarding</x:v>
      </x:c>
      <x:c r="C2" s="88" t="str">
        <x:v>Privacy-lock fallback</x:v>
      </x:c>
      <x:c r="D2" s="88" t="str">
        <x:v>Backfill existing FR links</x:v>
      </x:c>
      <x:c r="E2" s="88" t="str">
        <x:v>FR-A-008; FR-W-003; FR-W-020</x:v>
      </x:c>
      <x:c r="F2" s="88" t="str">
        <x:v>Cross-feature Privacy Lock policy was implicit but not linked.</x:v>
      </x:c>
      <x:c r="G2" s="88" t="str">
        <x:v>Approved and applied</x:v>
      </x:c>
    </x:row>
    <x:row r="3">
      <x:c r="A3" s="87" t="str">
        <x:v>OPD-1-003</x:v>
      </x:c>
      <x:c r="B3" s="88" t="str">
        <x:v>A. App Startup and Guest Onboarding</x:v>
      </x:c>
      <x:c r="C3" s="88" t="str">
        <x:v>Default relock timing</x:v>
      </x:c>
      <x:c r="D3" s="88" t="str">
        <x:v>Backfill existing FR links</x:v>
      </x:c>
      <x:c r="E3" s="88" t="str">
        <x:v>FR-A-008; FR-W-005</x:v>
      </x:c>
      <x:c r="F3" s="88" t="str">
        <x:v>Relock timing elaborates startup/resume protection.</x:v>
      </x:c>
      <x:c r="G3" s="88" t="str">
        <x:v>Approved and applied</x:v>
      </x:c>
    </x:row>
    <x:row r="4">
      <x:c r="A4" s="87" t="str">
        <x:v>OPD-1-005</x:v>
      </x:c>
      <x:c r="B4" s="88" t="str">
        <x:v>B. Home and Life Indicators</x:v>
      </x:c>
      <x:c r="C4" s="88" t="str">
        <x:v>Initial Weekly Targets</x:v>
      </x:c>
      <x:c r="D4" s="88" t="str">
        <x:v>Backfill existing FR links</x:v>
      </x:c>
      <x:c r="E4" s="88" t="str">
        <x:v>FR-B-007; FR-I-004</x:v>
      </x:c>
      <x:c r="F4" s="88" t="str">
        <x:v>Initial target state is implicit in no-target and weekly-target requirements.</x:v>
      </x:c>
      <x:c r="G4" s="88" t="str">
        <x:v>Approved and applied</x:v>
      </x:c>
    </x:row>
    <x:row r="5">
      <x:c r="A5" s="87" t="str">
        <x:v>OPD-1-008</x:v>
      </x:c>
      <x:c r="B5" s="88" t="str">
        <x:v>B. Home and Life Indicators</x:v>
      </x:c>
      <x:c r="C5" s="88" t="str">
        <x:v>Indicator order</x:v>
      </x:c>
      <x:c r="D5" s="88" t="str">
        <x:v>Backfill existing FR links</x:v>
      </x:c>
      <x:c r="E5" s="88" t="str">
        <x:v>FR-B-002</x:v>
      </x:c>
      <x:c r="F5" s="88" t="str">
        <x:v>Fixed order elaborates the six-indicator Home presentation.</x:v>
      </x:c>
      <x:c r="G5" s="88" t="str">
        <x:v>Approved and applied</x:v>
      </x:c>
    </x:row>
    <x:row r="6">
      <x:c r="A6" s="87" t="str">
        <x:v>OPD-1-012</x:v>
      </x:c>
      <x:c r="B6" s="88" t="str">
        <x:v>D. Tasks</x:v>
      </x:c>
      <x:c r="C6" s="88" t="str">
        <x:v>Required-report completion transaction</x:v>
      </x:c>
      <x:c r="D6" s="88" t="str">
        <x:v>Backfill existing FR links</x:v>
      </x:c>
      <x:c r="E6" s="88" t="str">
        <x:v>FR-D-010; FR-G-007</x:v>
      </x:c>
      <x:c r="F6" s="88" t="str">
        <x:v>Required-report completion transaction is already represented by bypass prevention and coherent commit.</x:v>
      </x:c>
      <x:c r="G6" s="88" t="str">
        <x:v>Approved and applied</x:v>
      </x:c>
    </x:row>
    <x:row r="7">
      <x:c r="A7" s="87" t="str">
        <x:v>OPD-1-013</x:v>
      </x:c>
      <x:c r="B7" s="88" t="str">
        <x:v>D. Tasks</x:v>
      </x:c>
      <x:c r="C7" s="88" t="str">
        <x:v>Reopening Completed Tasks</x:v>
      </x:c>
      <x:c r="D7" s="88" t="str">
        <x:v>Backfill existing FR links</x:v>
      </x:c>
      <x:c r="E7" s="88" t="str">
        <x:v>FR-D-018; FR-G-010; FR-G-011; FR-G-012</x:v>
      </x:c>
      <x:c r="F7" s="88" t="str">
        <x:v>Reopen-versus-correction policy is implicit in historical correction requirements.</x:v>
      </x:c>
      <x:c r="G7" s="88" t="str">
        <x:v>Approved and applied</x:v>
      </x:c>
    </x:row>
    <x:row r="8">
      <x:c r="A8" s="87" t="str">
        <x:v>OPD-1-015</x:v>
      </x:c>
      <x:c r="B8" s="88" t="str">
        <x:v>D. Tasks</x:v>
      </x:c>
      <x:c r="C8" s="88" t="str">
        <x:v>Task deletion</x:v>
      </x:c>
      <x:c r="D8" s="88" t="str">
        <x:v>Backfill existing FR links</x:v>
      </x:c>
      <x:c r="E8" s="88" t="str">
        <x:v>FR-D-005; FR-D-019</x:v>
      </x:c>
      <x:c r="F8" s="88" t="str">
        <x:v>Task deletion policy resolves to Cancelled/Skipped semantics rather than hard deletion.</x:v>
      </x:c>
      <x:c r="G8" s="88" t="str">
        <x:v>Approved and applied</x:v>
      </x:c>
    </x:row>
    <x:row r="9">
      <x:c r="A9" s="87" t="str">
        <x:v>OPD-1-017</x:v>
      </x:c>
      <x:c r="B9" s="88" t="str">
        <x:v>E. Calendar Events and Recurrence</x:v>
      </x:c>
      <x:c r="C9" s="88" t="str">
        <x:v>February 29 recurrence</x:v>
      </x:c>
      <x:c r="D9" s="88" t="str">
        <x:v>Backfill existing FR links</x:v>
      </x:c>
      <x:c r="E9" s="88" t="str">
        <x:v>FR-E-007</x:v>
      </x:c>
      <x:c r="F9" s="88" t="str">
        <x:v>February 29 behavior is a yearly-recurrence edge case.</x:v>
      </x:c>
      <x:c r="G9" s="88" t="str">
        <x:v>Approved and applied</x:v>
      </x:c>
    </x:row>
    <x:row r="10">
      <x:c r="A10" s="87" t="str">
        <x:v>OPD-1-019</x:v>
      </x:c>
      <x:c r="B10" s="88" t="str">
        <x:v>E. Calendar Events and Recurrence</x:v>
      </x:c>
      <x:c r="C10" s="88" t="str">
        <x:v>Recurrence end rules</x:v>
      </x:c>
      <x:c r="D10" s="88" t="str">
        <x:v>Backfill existing FR links</x:v>
      </x:c>
      <x:c r="E10" s="88" t="str">
        <x:v>FR-E-004; FR-E-005; FR-E-006; FR-E-007</x:v>
      </x:c>
      <x:c r="F10" s="88" t="str">
        <x:v>Recurrence end rules elaborate supported recurrence creation.</x:v>
      </x:c>
      <x:c r="G10" s="88" t="str">
        <x:v>Approved and applied</x:v>
      </x:c>
    </x:row>
    <x:row r="11">
      <x:c r="A11" s="87" t="str">
        <x:v>OPD-2-004</x:v>
      </x:c>
      <x:c r="B11" s="88" t="str">
        <x:v>G. Event and Task Outcome Reporting</x:v>
      </x:c>
      <x:c r="C11" s="88" t="str">
        <x:v>Draft handling</x:v>
      </x:c>
      <x:c r="D11" s="88" t="str">
        <x:v>Backfill existing FR links</x:v>
      </x:c>
      <x:c r="E11" s="88" t="str">
        <x:v>FR-G-004; FR-G-005; FR-G-017</x:v>
      </x:c>
      <x:c r="F11" s="88" t="str">
        <x:v>Autosave and Draft labeling are already represented by draft requirements.</x:v>
      </x:c>
      <x:c r="G11" s="88" t="str">
        <x:v>Approved and applied</x:v>
      </x:c>
    </x:row>
    <x:row r="12">
      <x:c r="A12" s="87" t="str">
        <x:v>OPD-2-006</x:v>
      </x:c>
      <x:c r="B12" s="88" t="str">
        <x:v>G. Event and Task Outcome Reporting</x:v>
      </x:c>
      <x:c r="C12" s="88" t="str">
        <x:v>Private report notes</x:v>
      </x:c>
      <x:c r="D12" s="88" t="str">
        <x:v>Record as vertical-slice constraint</x:v>
      </x:c>
      <x:c r="E12" s="88" t="str"/>
      <x:c r="F12" s="88" t="str">
        <x:v>No standalone FR is required; bind the optional note field to reporting privacy and non-contribution rules.</x:v>
      </x:c>
      <x:c r="G12" s="88" t="str">
        <x:v>Approved and applied</x:v>
      </x:c>
    </x:row>
    <x:row r="13">
      <x:c r="A13" s="87" t="str">
        <x:v>OPD-2-008</x:v>
      </x:c>
      <x:c r="B13" s="88" t="str">
        <x:v>H. Activity Ledger and Contribution History</x:v>
      </x:c>
      <x:c r="C13" s="88" t="str">
        <x:v>Fractional values</x:v>
      </x:c>
      <x:c r="D13" s="88" t="str">
        <x:v>Backfill existing FR links</x:v>
      </x:c>
      <x:c r="E13" s="88" t="str">
        <x:v>FR-H-005</x:v>
      </x:c>
      <x:c r="F13" s="88" t="str">
        <x:v>Fractional-value support elaborates ledger value and unit semantics.</x:v>
      </x:c>
      <x:c r="G13" s="88" t="str">
        <x:v>Approved and applied</x:v>
      </x:c>
    </x:row>
    <x:row r="14">
      <x:c r="A14" s="87" t="str">
        <x:v>OPD-2-010</x:v>
      </x:c>
      <x:c r="B14" s="88" t="str">
        <x:v>I. Weekly Planning</x:v>
      </x:c>
      <x:c r="C14" s="88" t="str">
        <x:v>Week boundary</x:v>
      </x:c>
      <x:c r="D14" s="88" t="str">
        <x:v>Backfill existing FR links</x:v>
      </x:c>
      <x:c r="E14" s="88" t="str">
        <x:v>FR-I-001; FR-I-002</x:v>
      </x:c>
      <x:c r="F14" s="88" t="str">
        <x:v>Week boundary elaborates weekly-plan period identity.</x:v>
      </x:c>
      <x:c r="G14" s="88" t="str">
        <x:v>Approved and applied</x:v>
      </x:c>
    </x:row>
    <x:row r="15">
      <x:c r="A15" s="87" t="str">
        <x:v>OPD-2-014</x:v>
      </x:c>
      <x:c r="B15" s="88" t="str">
        <x:v>J. Pathways, Goals, and Milestones</x:v>
      </x:c>
      <x:c r="C15" s="88" t="str">
        <x:v>Lifecycle values</x:v>
      </x:c>
      <x:c r="D15" s="88" t="str">
        <x:v>Backfill existing FR links</x:v>
      </x:c>
      <x:c r="E15" s="88" t="str">
        <x:v>FR-J-007; FR-J-008; FR-J-009; FR-J-010</x:v>
      </x:c>
      <x:c r="F15" s="88" t="str">
        <x:v>Lifecycle enum elaborates pause, complete, reopen, and archive behavior.</x:v>
      </x:c>
      <x:c r="G15" s="88" t="str">
        <x:v>Approved and applied</x:v>
      </x:c>
    </x:row>
    <x:row r="16">
      <x:c r="A16" s="87" t="str">
        <x:v>OPD-2-016</x:v>
      </x:c>
      <x:c r="B16" s="88" t="str">
        <x:v>J. Pathways, Goals, and Milestones</x:v>
      </x:c>
      <x:c r="C16" s="88" t="str">
        <x:v>Universal percentages</x:v>
      </x:c>
      <x:c r="D16" s="88" t="str">
        <x:v>Backfill existing FR links</x:v>
      </x:c>
      <x:c r="E16" s="88" t="str">
        <x:v>FR-J-015</x:v>
      </x:c>
      <x:c r="F16" s="88" t="str">
        <x:v>No universal percentage directly supports the prohibition on unexplained percentages.</x:v>
      </x:c>
      <x:c r="G16" s="88" t="str">
        <x:v>Approved and applied</x:v>
      </x:c>
    </x:row>
    <x:row r="17">
      <x:c r="A17" s="87" t="str">
        <x:v>OPD-3-001</x:v>
      </x:c>
      <x:c r="B17" s="88" t="str">
        <x:v>K. Covenant Path</x:v>
      </x:c>
      <x:c r="C17" s="88" t="str">
        <x:v>Covenant Path bundled sections</x:v>
      </x:c>
      <x:c r="D17" s="88" t="str">
        <x:v>Backfill existing FR links</x:v>
      </x:c>
      <x:c r="E17" s="88" t="str">
        <x:v>FR-K-010; FR-K-011; FR-K-014</x:v>
      </x:c>
      <x:c r="F17" s="88" t="str">
        <x:v>Bundled sections must align with factual contributions, resources, and no scoring.</x:v>
      </x:c>
      <x:c r="G17" s="88" t="str">
        <x:v>Approved and applied</x:v>
      </x:c>
    </x:row>
    <x:row r="18">
      <x:c r="A18" s="87" t="str">
        <x:v>OPD-3-002</x:v>
      </x:c>
      <x:c r="B18" s="88" t="str">
        <x:v>K. Covenant Path</x:v>
      </x:c>
      <x:c r="C18" s="88" t="str">
        <x:v>Private reflection synchronization</x:v>
      </x:c>
      <x:c r="D18" s="88" t="str">
        <x:v>Backfill existing FR links</x:v>
      </x:c>
      <x:c r="E18" s="88" t="str">
        <x:v>FR-K-008; FR-K-009; FR-W-013</x:v>
      </x:c>
      <x:c r="F18" s="88" t="str">
        <x:v>Reflection synchronization policy spans Covenant Path and Privacy Center.</x:v>
      </x:c>
      <x:c r="G18" s="88" t="str">
        <x:v>Approved and applied</x:v>
      </x:c>
    </x:row>
    <x:row r="19">
      <x:c r="A19" s="87" t="str">
        <x:v>OPD-3-005</x:v>
      </x:c>
      <x:c r="B19" s="88" t="str">
        <x:v>L. Contacts and Follow-Ups</x:v>
      </x:c>
      <x:c r="C19" s="88" t="str">
        <x:v>Contact photos</x:v>
      </x:c>
      <x:c r="D19" s="88" t="str">
        <x:v>Add V1.1 candidate traceability</x:v>
      </x:c>
      <x:c r="E19" s="88" t="str"/>
      <x:c r="F19" s="88" t="str">
        <x:v>Contact photos are a scope decision, not a V1 requirement; add to the V1.1 candidate register.</x:v>
      </x:c>
      <x:c r="G19" s="88" t="str">
        <x:v>Approved and applied</x:v>
      </x:c>
    </x:row>
    <x:row r="20">
      <x:c r="A20" s="87" t="str">
        <x:v>OPD-3-008</x:v>
      </x:c>
      <x:c r="B20" s="88" t="str">
        <x:v>M. Employment Applications</x:v>
      </x:c>
      <x:c r="C20" s="88" t="str">
        <x:v>Submission evidence</x:v>
      </x:c>
      <x:c r="D20" s="88" t="str">
        <x:v>Record as vertical-slice and V1.1 constraint</x:v>
      </x:c>
      <x:c r="E20" s="88" t="str"/>
      <x:c r="F20" s="88" t="str">
        <x:v>Private reference text is a V1 field constraint; attachments remain a V1.1 candidate.</x:v>
      </x:c>
      <x:c r="G20" s="88" t="str">
        <x:v>Approved and applied</x:v>
      </x:c>
    </x:row>
    <x:row r="21">
      <x:c r="A21" s="87" t="str">
        <x:v>OPD-3-014</x:v>
      </x:c>
      <x:c r="B21" s="88" t="str">
        <x:v>O. Government Document Requirements</x:v>
      </x:c>
      <x:c r="C21" s="88" t="str">
        <x:v>Sensitive references</x:v>
      </x:c>
      <x:c r="D21" s="88" t="str">
        <x:v>Backfill existing FR links</x:v>
      </x:c>
      <x:c r="E21" s="88" t="str">
        <x:v>FR-O-013; FR-O-014</x:v>
      </x:c>
      <x:c r="F21" s="88" t="str">
        <x:v>Masked-reference policy is already represented by the document-reference requirements.</x:v>
      </x:c>
      <x:c r="G21" s="88" t="str">
        <x:v>Approved and applied</x:v>
      </x:c>
    </x:row>
    <x:row r="22">
      <x:c r="A22" s="87" t="str">
        <x:v>OPD-4-003</x:v>
      </x:c>
      <x:c r="B22" s="88" t="str">
        <x:v>P. Maps and Locations</x:v>
      </x:c>
      <x:c r="C22" s="88" t="str">
        <x:v>Coordinate storage</x:v>
      </x:c>
      <x:c r="D22" s="88" t="str">
        <x:v>Backfill existing FR links</x:v>
      </x:c>
      <x:c r="E22" s="88" t="str">
        <x:v>FR-P-007</x:v>
      </x:c>
      <x:c r="F22" s="88" t="str">
        <x:v>Coordinate storage elaborates optional-coordinate identity.</x:v>
      </x:c>
      <x:c r="G22" s="88" t="str">
        <x:v>Approved and applied</x:v>
      </x:c>
    </x:row>
    <x:row r="23">
      <x:c r="A23" s="87" t="str">
        <x:v>OPD-4-004</x:v>
      </x:c>
      <x:c r="B23" s="88" t="str">
        <x:v>P. Maps and Locations</x:v>
      </x:c>
      <x:c r="C23" s="88" t="str">
        <x:v>External handoff disclosure</x:v>
      </x:c>
      <x:c r="D23" s="88" t="str">
        <x:v>Backfill existing FR links</x:v>
      </x:c>
      <x:c r="E23" s="88" t="str">
        <x:v>FR-P-003</x:v>
      </x:c>
      <x:c r="F23" s="88" t="str">
        <x:v>Destination disclosure elaborates the external maps handoff.</x:v>
      </x:c>
      <x:c r="G23" s="88" t="str">
        <x:v>Approved and applied</x:v>
      </x:c>
    </x:row>
    <x:row r="24">
      <x:c r="A24" s="87" t="str">
        <x:v>OPD-4-008</x:v>
      </x:c>
      <x:c r="B24" s="88" t="str">
        <x:v>Q. Notifications and Reminders</x:v>
      </x:c>
      <x:c r="C24" s="88" t="str">
        <x:v>Notification actions</x:v>
      </x:c>
      <x:c r="D24" s="88" t="str">
        <x:v>Record as vertical-slice constraint</x:v>
      </x:c>
      <x:c r="E24" s="88" t="str"/>
      <x:c r="F24" s="88" t="str">
        <x:v>The open/snooze action allowlist is a notification UX constraint rather than a new capability requirement.</x:v>
      </x:c>
      <x:c r="G24" s="88" t="str">
        <x:v>Approved and applied</x:v>
      </x:c>
    </x:row>
    <x:row r="25">
      <x:c r="A25" s="87" t="str">
        <x:v>OPD-4-010</x:v>
      </x:c>
      <x:c r="B25" s="88" t="str">
        <x:v>R. BetterCalendar Import</x:v>
      </x:c>
      <x:c r="C25" s="88" t="str">
        <x:v>Unknown fields</x:v>
      </x:c>
      <x:c r="D25" s="88" t="str">
        <x:v>Backfill existing FR links</x:v>
      </x:c>
      <x:c r="E25" s="88" t="str">
        <x:v>FR-R-012; FR-R-020</x:v>
      </x:c>
      <x:c r="F25" s="88" t="str">
        <x:v>Unknown-field manifest behavior is covered by unsupported-field and import-summary requirements.</x:v>
      </x:c>
      <x:c r="G25" s="88" t="str">
        <x:v>Approved and applied</x:v>
      </x:c>
    </x:row>
    <x:row r="26">
      <x:c r="A26" s="87" t="str">
        <x:v>OPD-4-023</x:v>
      </x:c>
      <x:c r="B26" s="88" t="str">
        <x:v>T. Account and Synchronization</x:v>
      </x:c>
      <x:c r="C26" s="88" t="str">
        <x:v>Conflict granularity</x:v>
      </x:c>
      <x:c r="D26" s="88" t="str">
        <x:v>Backfill existing FR links</x:v>
      </x:c>
      <x:c r="E26" s="88" t="str">
        <x:v>FR-T-017</x:v>
      </x:c>
      <x:c r="F26" s="88" t="str">
        <x:v>Conflict granularity elaborates conflict preservation and reconciliation.</x:v>
      </x:c>
      <x:c r="G26" s="88" t="str">
        <x:v>Approved and applied</x:v>
      </x:c>
    </x:row>
    <x:row r="27">
      <x:c r="A27" s="87" t="str">
        <x:v>OPD-5-019</x:v>
      </x:c>
      <x:c r="B27" s="88" t="str">
        <x:v>X. Settings, Account and Sync Center, and More Screen</x:v>
      </x:c>
      <x:c r="C27" s="88" t="str">
        <x:v>More information architecture</x:v>
      </x:c>
      <x:c r="D27" s="88" t="str">
        <x:v>Backfill existing FR links</x:v>
      </x:c>
      <x:c r="E27" s="88" t="str">
        <x:v>FR-X-016; FR-X-024</x:v>
      </x:c>
      <x:c r="F27" s="88" t="str">
        <x:v>Canonical More destinations are already represented by duplicate-route prevention and Privacy Center routing.</x:v>
      </x:c>
      <x:c r="G27" s="88" t="str">
        <x:v>Approved and applied</x:v>
      </x:c>
    </x:row>
  </x:sheetData>
  <x:conditionalFormatting sqref="A2:G27">
    <x:cfRule type="expression" dxfId="14" priority="1">
      <x:formula>MOD(ROW(),2)=0</x:formula>
    </x:cfRule>
  </x:conditionalFormatting>
  <x:conditionalFormatting sqref="D2:D27">
    <x:cfRule type="expression" dxfId="15" priority="2">
      <x:formula>$D2="Backfill existing FR links"</x:formula>
    </x:cfRule>
    <x:cfRule type="expression" dxfId="16" priority="3">
      <x:formula>ISNUMBER(SEARCH("vertical-slice",$D2))</x:formula>
    </x:cfRule>
    <x:cfRule type="expression" dxfId="17" priority="4">
      <x:formula>ISNUMBER(SEARCH("V1.1",$D2))</x:formula>
    </x:cfRule>
  </x:conditionalFormatting>
  <x:conditionalFormatting sqref="G2:G27">
    <x:cfRule type="expression" dxfId="18" priority="5">
      <x:formula>$G2="Pending approval"</x:formula>
    </x:cfRule>
  </x:conditionalFormatting>
  <x:dataValidations count="1">
    <x:dataValidation type="list" sqref="G2:G27">
      <x:formula1>"Pending approval,Approved,Rejected,Needs revision"</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30" hidden="0" customWidth="1"/>
    <x:col min="2" max="2" width="68" hidden="0" customWidth="1"/>
    <x:col min="3" max="3" width="28" hidden="0" customWidth="1"/>
    <x:col min="4" max="4" width="54" hidden="0" customWidth="1"/>
  </x:cols>
  <x:sheetData>
    <x:row r="1" ht="30" customHeight="1">
      <x:c r="A1" s="86" t="str">
        <x:v>Source</x:v>
      </x:c>
      <x:c r="B1" s="86" t="str">
        <x:v>Official URL</x:v>
      </x:c>
      <x:c r="C1" s="86" t="str">
        <x:v>Supports Decisions</x:v>
      </x:c>
      <x:c r="D1" s="86" t="str">
        <x:v>Verification Note</x:v>
      </x:c>
    </x:row>
    <x:row r="2">
      <x:c r="A2" s="88" t="str">
        <x:v>Android exact-alarm guidance</x:v>
      </x:c>
      <x:c r="B2" s="88" t="str">
        <x:v>https://developer.android.com/develop/background-work/services/alarms</x:v>
      </x:c>
      <x:c r="C2" s="88" t="str">
        <x:v>OPD-5-001</x:v>
      </x:c>
      <x:c r="D2" s="88" t="str">
        <x:v>Exact alarms require explicit capability checks and are appropriate only for precise user-facing timing.</x:v>
      </x:c>
    </x:row>
    <x:row r="3">
      <x:c r="A3" s="88" t="str">
        <x:v>Android 14 exact-alarm changes</x:v>
      </x:c>
      <x:c r="B3" s="88" t="str">
        <x:v>https://developer.android.com/about/versions/14/changes/schedule-exact-alarms</x:v>
      </x:c>
      <x:c r="C3" s="88" t="str">
        <x:v>OPD-5-001</x:v>
      </x:c>
      <x:c r="D3" s="88" t="str">
        <x:v>Exact-alarm special access is denied by default for most newly installed apps, supporting a narrow fallback-first policy.</x:v>
      </x:c>
    </x:row>
    <x:row r="4">
      <x:c r="A4" s="88" t="str">
        <x:v>Android foreground services</x:v>
      </x:c>
      <x:c r="B4" s="88" t="str">
        <x:v>https://developer.android.com/develop/background-work/services/fgs</x:v>
      </x:c>
      <x:c r="C4" s="88" t="str">
        <x:v>OPD-5-002</x:v>
      </x:c>
      <x:c r="D4" s="88" t="str">
        <x:v>Foreground services are user-visible and intended for noticeable work.</x:v>
      </x:c>
    </x:row>
    <x:row r="5">
      <x:c r="A5" s="88" t="str">
        <x:v>Android background data transfer options</x:v>
      </x:c>
      <x:c r="B5" s="88" t="str">
        <x:v>https://developer.android.com/develop/background-work/background-tasks/data-transfer-options</x:v>
      </x:c>
      <x:c r="C5" s="88" t="str">
        <x:v>OPD-5-002; OPD-5-004</x:v>
      </x:c>
      <x:c r="D5" s="88" t="str">
        <x:v>Supports choosing background mechanisms based on user initiation and execution needs.</x:v>
      </x:c>
    </x:row>
    <x:row r="6">
      <x:c r="A6" s="88" t="str">
        <x:v>Android biometric authentication</x:v>
      </x:c>
      <x:c r="B6" s="88" t="str">
        <x:v>https://developer.android.com/identity/sign-in/biometric-auth</x:v>
      </x:c>
      <x:c r="C6" s="88" t="str">
        <x:v>OPD-1-002; OPD-5-010</x:v>
      </x:c>
      <x:c r="D6" s="88" t="str">
        <x:v>Supports OS-provided biometric prompts and device-credential fallback.</x:v>
      </x:c>
    </x:row>
    <x:row r="7">
      <x:c r="A7" s="88" t="str">
        <x:v>Android sensitive activity protection</x:v>
      </x:c>
      <x:c r="B7" s="88" t="str">
        <x:v>https://developer.android.com/security/fraud-prevention/activities</x:v>
      </x:c>
      <x:c r="C7" s="88" t="str">
        <x:v>OPD-5-012</x:v>
      </x:c>
      <x:c r="D7" s="88" t="str">
        <x:v>Supports FLAG_SECURE-style protection while retaining truthful platform-limit wording.</x:v>
      </x:c>
    </x:row>
  </x:sheetData>
  <x:conditionalFormatting sqref="A2:D7">
    <x:cfRule type="expression" dxfId="22" priority="1">
      <x:formula>MOD(ROW(),2)=0</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10" hidden="0" customWidth="1"/>
    <x:col min="2" max="2" width="34" hidden="0" customWidth="1"/>
    <x:col min="3" max="3" width="25" hidden="0" customWidth="1"/>
    <x:col min="4" max="4" width="12" hidden="0" customWidth="1"/>
    <x:col min="5" max="5" width="12" hidden="0" customWidth="1"/>
    <x:col min="6" max="6" width="10" hidden="0" customWidth="1"/>
    <x:col min="7" max="7" width="10" hidden="0" customWidth="1"/>
    <x:col min="8" max="8" width="23" hidden="0" customWidth="1"/>
  </x:cols>
  <x:sheetData>
    <x:row r="1">
      <x:c r="A1" s="128" t="str">
        <x:v>Next Transfer - Phase 3 Vertical Slice Dashboard</x:v>
      </x:c>
      <x:c r="B1" s="128"/>
      <x:c r="C1" s="128"/>
      <x:c r="D1" s="128"/>
      <x:c r="E1" s="128"/>
      <x:c r="F1" s="128"/>
      <x:c r="G1" s="128"/>
      <x:c r="H1" s="128"/>
    </x:row>
    <x:row r="3">
      <x:c r="A3" s="133" t="str">
        <x:v>Metric</x:v>
      </x:c>
      <x:c r="B3" s="133"/>
      <x:c r="C3" s="133" t="str">
        <x:v>Value</x:v>
      </x:c>
    </x:row>
    <x:row r="4">
      <x:c r="A4" s="40" t="str">
        <x:v>Approved OPDs</x:v>
      </x:c>
      <x:c r="B4" s="40"/>
      <x:c r="C4" s="40" t="n">
        <x:f>COUNTA('Decision Constraints'!$D$4:$D$98)</x:f>
        <x:v>95</x:v>
      </x:c>
    </x:row>
    <x:row r="5">
      <x:c r="A5" s="40" t="str">
        <x:v>Vertical Slices</x:v>
      </x:c>
      <x:c r="B5" s="40"/>
      <x:c r="C5" s="40" t="n">
        <x:f>COUNTA('Vertical Slice Register'!$A$4:$A$23)</x:f>
        <x:v>20</x:v>
      </x:c>
    </x:row>
    <x:row r="6">
      <x:c r="A6" s="40" t="str">
        <x:v>Functional Requirements</x:v>
      </x:c>
      <x:c r="B6" s="40"/>
      <x:c r="C6" s="40" t="n">
        <x:f>COUNTA('FR Slice Mapping'!$E$4:$E$486)</x:f>
        <x:v>483</x:v>
      </x:c>
    </x:row>
    <x:row r="7">
      <x:c r="A7" s="40" t="str">
        <x:v>Release-Blocking FRs</x:v>
      </x:c>
      <x:c r="B7" s="40"/>
      <x:c r="C7" s="40" t="n">
        <x:f>COUNTIF('FR Slice Mapping'!$J$4:$J$486,"Yes")</x:f>
        <x:v>361</x:v>
      </x:c>
    </x:row>
    <x:row r="8">
      <x:c r="A8" s="40" t="str">
        <x:v>Pending Specification Approvals</x:v>
      </x:c>
      <x:c r="B8" s="40"/>
      <x:c r="C8" s="40" t="n">
        <x:f>COUNTIF('Vertical Slice Register'!$R$4:$R$23,"Pending product approval")</x:f>
        <x:v>20</x:v>
      </x:c>
    </x:row>
    <x:row r="10">
      <x:c r="A10" s="133" t="str">
        <x:v>Slice ID</x:v>
      </x:c>
      <x:c r="B10" s="133" t="str">
        <x:v>Title</x:v>
      </x:c>
      <x:c r="C10" s="133" t="str">
        <x:v>Wave</x:v>
      </x:c>
      <x:c r="D10" s="133" t="str">
        <x:v>FR Count</x:v>
      </x:c>
      <x:c r="E10" s="133" t="str">
        <x:v>Blockers</x:v>
      </x:c>
      <x:c r="F10" s="133" t="str">
        <x:v>V1.1</x:v>
      </x:c>
      <x:c r="G10" s="133" t="str">
        <x:v>Deferred</x:v>
      </x:c>
      <x:c r="H10" s="133" t="str">
        <x:v>Specification Status</x:v>
      </x:c>
    </x:row>
    <x:row r="11">
      <x:c r="A11" s="40" t="str">
        <x:v>VS-01</x:v>
      </x:c>
      <x:c r="B11" s="40" t="str">
        <x:v>Guest Startup and Local Profile</x:v>
      </x:c>
      <x:c r="C11" s="40" t="str">
        <x:v>Wave 1 — Foundation</x:v>
      </x:c>
      <x:c r="D11" s="40" t="n">
        <x:f>COUNTIF('FR Slice Mapping'!$A$4:$A$486,A11)</x:f>
        <x:v>20</x:v>
      </x:c>
      <x:c r="E11" s="40" t="n">
        <x:f>COUNTIFS('FR Slice Mapping'!$A$4:$A$486,A11,'FR Slice Mapping'!$J$4:$J$486,"Yes")</x:f>
        <x:v>13</x:v>
      </x:c>
      <x:c r="F11" s="40" t="n">
        <x:f>COUNTIFS('FR Slice Mapping'!$A$4:$A$486,A11,'FR Slice Mapping'!$K$4:$K$486,"V1.1")</x:f>
        <x:v>0</x:v>
      </x:c>
      <x:c r="G11" s="40" t="n">
        <x:f>COUNTIFS('FR Slice Mapping'!$A$4:$A$486,A11,'FR Slice Mapping'!$K$4:$K$486,"Deferred")</x:f>
        <x:v>0</x:v>
      </x:c>
      <x:c r="H11" s="40" t="str">
        <x:f>INDEX('Vertical Slice Register'!$R$4:$R$23,MATCH(A11,'Vertical Slice Register'!$A$4:$A$23,0))</x:f>
        <x:v>Pending product approval</x:v>
      </x:c>
    </x:row>
    <x:row r="12">
      <x:c r="A12" s="40" t="str">
        <x:v>VS-02</x:v>
      </x:c>
      <x:c r="B12" s="40" t="str">
        <x:v>Privacy Lock, Permissions, and Privacy Center</x:v>
      </x:c>
      <x:c r="C12" s="40" t="str">
        <x:v>Wave 1 — Foundation</x:v>
      </x:c>
      <x:c r="D12" s="40" t="n">
        <x:f>COUNTIF('FR Slice Mapping'!$A$4:$A$486,A12)</x:f>
        <x:v>22</x:v>
      </x:c>
      <x:c r="E12" s="40" t="n">
        <x:f>COUNTIFS('FR Slice Mapping'!$A$4:$A$486,A12,'FR Slice Mapping'!$J$4:$J$486,"Yes")</x:f>
        <x:v>21</x:v>
      </x:c>
      <x:c r="F12" s="40" t="n">
        <x:f>COUNTIFS('FR Slice Mapping'!$A$4:$A$486,A12,'FR Slice Mapping'!$K$4:$K$486,"V1.1")</x:f>
        <x:v>0</x:v>
      </x:c>
      <x:c r="G12" s="40" t="n">
        <x:f>COUNTIFS('FR Slice Mapping'!$A$4:$A$486,A12,'FR Slice Mapping'!$K$4:$K$486,"Deferred")</x:f>
        <x:v>0</x:v>
      </x:c>
      <x:c r="H12" s="40" t="str">
        <x:f>INDEX('Vertical Slice Register'!$R$4:$R$23,MATCH(A12,'Vertical Slice Register'!$A$4:$A$23,0))</x:f>
        <x:v>Pending product approval</x:v>
      </x:c>
    </x:row>
    <x:row r="13">
      <x:c r="A13" s="40" t="str">
        <x:v>VS-03</x:v>
      </x:c>
      <x:c r="B13" s="40" t="str">
        <x:v>Planner Day and Tasks</x:v>
      </x:c>
      <x:c r="C13" s="40" t="str">
        <x:v>Wave 2 — Core Planning Loop</x:v>
      </x:c>
      <x:c r="D13" s="40" t="n">
        <x:f>COUNTIF('FR Slice Mapping'!$A$4:$A$486,A13)</x:f>
        <x:v>40</x:v>
      </x:c>
      <x:c r="E13" s="40" t="n">
        <x:f>COUNTIFS('FR Slice Mapping'!$A$4:$A$486,A13,'FR Slice Mapping'!$J$4:$J$486,"Yes")</x:f>
        <x:v>26</x:v>
      </x:c>
      <x:c r="F13" s="40" t="n">
        <x:f>COUNTIFS('FR Slice Mapping'!$A$4:$A$486,A13,'FR Slice Mapping'!$K$4:$K$486,"V1.1")</x:f>
        <x:v>0</x:v>
      </x:c>
      <x:c r="G13" s="40" t="n">
        <x:f>COUNTIFS('FR Slice Mapping'!$A$4:$A$486,A13,'FR Slice Mapping'!$K$4:$K$486,"Deferred")</x:f>
        <x:v>0</x:v>
      </x:c>
      <x:c r="H13" s="40" t="str">
        <x:f>INDEX('Vertical Slice Register'!$R$4:$R$23,MATCH(A13,'Vertical Slice Register'!$A$4:$A$23,0))</x:f>
        <x:v>Pending product approval</x:v>
      </x:c>
    </x:row>
    <x:row r="14">
      <x:c r="A14" s="40" t="str">
        <x:v>VS-04</x:v>
      </x:c>
      <x:c r="B14" s="40" t="str">
        <x:v>Calendar Events and Recurrence</x:v>
      </x:c>
      <x:c r="C14" s="40" t="str">
        <x:v>Wave 2 — Core Planning Loop</x:v>
      </x:c>
      <x:c r="D14" s="40" t="n">
        <x:f>COUNTIF('FR Slice Mapping'!$A$4:$A$486,A14)</x:f>
        <x:v>24</x:v>
      </x:c>
      <x:c r="E14" s="40" t="n">
        <x:f>COUNTIFS('FR Slice Mapping'!$A$4:$A$486,A14,'FR Slice Mapping'!$J$4:$J$486,"Yes")</x:f>
        <x:v>17</x:v>
      </x:c>
      <x:c r="F14" s="40" t="n">
        <x:f>COUNTIFS('FR Slice Mapping'!$A$4:$A$486,A14,'FR Slice Mapping'!$K$4:$K$486,"V1.1")</x:f>
        <x:v>0</x:v>
      </x:c>
      <x:c r="G14" s="40" t="n">
        <x:f>COUNTIFS('FR Slice Mapping'!$A$4:$A$486,A14,'FR Slice Mapping'!$K$4:$K$486,"Deferred")</x:f>
        <x:v>0</x:v>
      </x:c>
      <x:c r="H14" s="40" t="str">
        <x:f>INDEX('Vertical Slice Register'!$R$4:$R$23,MATCH(A14,'Vertical Slice Register'!$A$4:$A$23,0))</x:f>
        <x:v>Pending product approval</x:v>
      </x:c>
    </x:row>
    <x:row r="15">
      <x:c r="A15" s="40" t="str">
        <x:v>VS-05</x:v>
      </x:c>
      <x:c r="B15" s="40" t="str">
        <x:v>Task–Event Linking</x:v>
      </x:c>
      <x:c r="C15" s="40" t="str">
        <x:v>Wave 2 — Core Planning Loop</x:v>
      </x:c>
      <x:c r="D15" s="40" t="n">
        <x:f>COUNTIF('FR Slice Mapping'!$A$4:$A$486,A15)</x:f>
        <x:v>18</x:v>
      </x:c>
      <x:c r="E15" s="40" t="n">
        <x:f>COUNTIFS('FR Slice Mapping'!$A$4:$A$486,A15,'FR Slice Mapping'!$J$4:$J$486,"Yes")</x:f>
        <x:v>15</x:v>
      </x:c>
      <x:c r="F15" s="40" t="n">
        <x:f>COUNTIFS('FR Slice Mapping'!$A$4:$A$486,A15,'FR Slice Mapping'!$K$4:$K$486,"V1.1")</x:f>
        <x:v>0</x:v>
      </x:c>
      <x:c r="G15" s="40" t="n">
        <x:f>COUNTIFS('FR Slice Mapping'!$A$4:$A$486,A15,'FR Slice Mapping'!$K$4:$K$486,"Deferred")</x:f>
        <x:v>0</x:v>
      </x:c>
      <x:c r="H15" s="40" t="str">
        <x:f>INDEX('Vertical Slice Register'!$R$4:$R$23,MATCH(A15,'Vertical Slice Register'!$A$4:$A$23,0))</x:f>
        <x:v>Pending product approval</x:v>
      </x:c>
    </x:row>
    <x:row r="16">
      <x:c r="A16" s="40" t="str">
        <x:v>VS-06</x:v>
      </x:c>
      <x:c r="B16" s="40" t="str">
        <x:v>Outcome Reporting and Activity Ledger</x:v>
      </x:c>
      <x:c r="C16" s="40" t="str">
        <x:v>Wave 2 — Core Planning Loop</x:v>
      </x:c>
      <x:c r="D16" s="40" t="n">
        <x:f>COUNTIF('FR Slice Mapping'!$A$4:$A$486,A16)</x:f>
        <x:v>40</x:v>
      </x:c>
      <x:c r="E16" s="40" t="n">
        <x:f>COUNTIFS('FR Slice Mapping'!$A$4:$A$486,A16,'FR Slice Mapping'!$J$4:$J$486,"Yes")</x:f>
        <x:v>28</x:v>
      </x:c>
      <x:c r="F16" s="40" t="n">
        <x:f>COUNTIFS('FR Slice Mapping'!$A$4:$A$486,A16,'FR Slice Mapping'!$K$4:$K$486,"V1.1")</x:f>
        <x:v>0</x:v>
      </x:c>
      <x:c r="G16" s="40" t="n">
        <x:f>COUNTIFS('FR Slice Mapping'!$A$4:$A$486,A16,'FR Slice Mapping'!$K$4:$K$486,"Deferred")</x:f>
        <x:v>0</x:v>
      </x:c>
      <x:c r="H16" s="40" t="str">
        <x:f>INDEX('Vertical Slice Register'!$R$4:$R$23,MATCH(A16,'Vertical Slice Register'!$A$4:$A$23,0))</x:f>
        <x:v>Pending product approval</x:v>
      </x:c>
    </x:row>
    <x:row r="17">
      <x:c r="A17" s="40" t="str">
        <x:v>VS-07</x:v>
      </x:c>
      <x:c r="B17" s="40" t="str">
        <x:v>Home and Life Indicators</x:v>
      </x:c>
      <x:c r="C17" s="40" t="str">
        <x:v>Wave 2 — Core Planning Loop</x:v>
      </x:c>
      <x:c r="D17" s="40" t="n">
        <x:f>COUNTIF('FR Slice Mapping'!$A$4:$A$486,A17)</x:f>
        <x:v>20</x:v>
      </x:c>
      <x:c r="E17" s="40" t="n">
        <x:f>COUNTIFS('FR Slice Mapping'!$A$4:$A$486,A17,'FR Slice Mapping'!$J$4:$J$486,"Yes")</x:f>
        <x:v>13</x:v>
      </x:c>
      <x:c r="F17" s="40" t="n">
        <x:f>COUNTIFS('FR Slice Mapping'!$A$4:$A$486,A17,'FR Slice Mapping'!$K$4:$K$486,"V1.1")</x:f>
        <x:v>0</x:v>
      </x:c>
      <x:c r="G17" s="40" t="n">
        <x:f>COUNTIFS('FR Slice Mapping'!$A$4:$A$486,A17,'FR Slice Mapping'!$K$4:$K$486,"Deferred")</x:f>
        <x:v>0</x:v>
      </x:c>
      <x:c r="H17" s="40" t="str">
        <x:f>INDEX('Vertical Slice Register'!$R$4:$R$23,MATCH(A17,'Vertical Slice Register'!$A$4:$A$23,0))</x:f>
        <x:v>Pending product approval</x:v>
      </x:c>
    </x:row>
    <x:row r="18">
      <x:c r="A18" s="40" t="str">
        <x:v>VS-08</x:v>
      </x:c>
      <x:c r="B18" s="40" t="str">
        <x:v>Weekly Planning Lifecycle</x:v>
      </x:c>
      <x:c r="C18" s="40" t="str">
        <x:v>Wave 2 — Core Planning Loop</x:v>
      </x:c>
      <x:c r="D18" s="40" t="n">
        <x:f>COUNTIF('FR Slice Mapping'!$A$4:$A$486,A18)</x:f>
        <x:v>20</x:v>
      </x:c>
      <x:c r="E18" s="40" t="n">
        <x:f>COUNTIFS('FR Slice Mapping'!$A$4:$A$486,A18,'FR Slice Mapping'!$J$4:$J$486,"Yes")</x:f>
        <x:v>12</x:v>
      </x:c>
      <x:c r="F18" s="40" t="n">
        <x:f>COUNTIFS('FR Slice Mapping'!$A$4:$A$486,A18,'FR Slice Mapping'!$K$4:$K$486,"V1.1")</x:f>
        <x:v>0</x:v>
      </x:c>
      <x:c r="G18" s="40" t="n">
        <x:f>COUNTIFS('FR Slice Mapping'!$A$4:$A$486,A18,'FR Slice Mapping'!$K$4:$K$486,"Deferred")</x:f>
        <x:v>0</x:v>
      </x:c>
      <x:c r="H18" s="40" t="str">
        <x:f>INDEX('Vertical Slice Register'!$R$4:$R$23,MATCH(A18,'Vertical Slice Register'!$A$4:$A$23,0))</x:f>
        <x:v>Pending product approval</x:v>
      </x:c>
    </x:row>
    <x:row r="19">
      <x:c r="A19" s="40" t="str">
        <x:v>VS-09</x:v>
      </x:c>
      <x:c r="B19" s="40" t="str">
        <x:v>Pathways, Goals, and Milestones</x:v>
      </x:c>
      <x:c r="C19" s="40" t="str">
        <x:v>Wave 3 — Pathways and Life Administration</x:v>
      </x:c>
      <x:c r="D19" s="40" t="n">
        <x:f>COUNTIF('FR Slice Mapping'!$A$4:$A$486,A19)</x:f>
        <x:v>22</x:v>
      </x:c>
      <x:c r="E19" s="40" t="n">
        <x:f>COUNTIFS('FR Slice Mapping'!$A$4:$A$486,A19,'FR Slice Mapping'!$J$4:$J$486,"Yes")</x:f>
        <x:v>16</x:v>
      </x:c>
      <x:c r="F19" s="40" t="n">
        <x:f>COUNTIFS('FR Slice Mapping'!$A$4:$A$486,A19,'FR Slice Mapping'!$K$4:$K$486,"V1.1")</x:f>
        <x:v>0</x:v>
      </x:c>
      <x:c r="G19" s="40" t="n">
        <x:f>COUNTIFS('FR Slice Mapping'!$A$4:$A$486,A19,'FR Slice Mapping'!$K$4:$K$486,"Deferred")</x:f>
        <x:v>0</x:v>
      </x:c>
      <x:c r="H19" s="40" t="str">
        <x:f>INDEX('Vertical Slice Register'!$R$4:$R$23,MATCH(A19,'Vertical Slice Register'!$A$4:$A$23,0))</x:f>
        <x:v>Pending product approval</x:v>
      </x:c>
    </x:row>
    <x:row r="20">
      <x:c r="A20" s="40" t="str">
        <x:v>VS-10</x:v>
      </x:c>
      <x:c r="B20" s="40" t="str">
        <x:v>Covenant Path</x:v>
      </x:c>
      <x:c r="C20" s="40" t="str">
        <x:v>Wave 3 — Pathways and Life Administration</x:v>
      </x:c>
      <x:c r="D20" s="40" t="n">
        <x:f>COUNTIF('FR Slice Mapping'!$A$4:$A$486,A20)</x:f>
        <x:v>20</x:v>
      </x:c>
      <x:c r="E20" s="40" t="n">
        <x:f>COUNTIFS('FR Slice Mapping'!$A$4:$A$486,A20,'FR Slice Mapping'!$J$4:$J$486,"Yes")</x:f>
        <x:v>18</x:v>
      </x:c>
      <x:c r="F20" s="40" t="n">
        <x:f>COUNTIFS('FR Slice Mapping'!$A$4:$A$486,A20,'FR Slice Mapping'!$K$4:$K$486,"V1.1")</x:f>
        <x:v>0</x:v>
      </x:c>
      <x:c r="G20" s="40" t="n">
        <x:f>COUNTIFS('FR Slice Mapping'!$A$4:$A$486,A20,'FR Slice Mapping'!$K$4:$K$486,"Deferred")</x:f>
        <x:v>0</x:v>
      </x:c>
      <x:c r="H20" s="40" t="str">
        <x:f>INDEX('Vertical Slice Register'!$R$4:$R$23,MATCH(A20,'Vertical Slice Register'!$A$4:$A$23,0))</x:f>
        <x:v>Pending product approval</x:v>
      </x:c>
    </x:row>
    <x:row r="21">
      <x:c r="A21" s="40" t="str">
        <x:v>VS-11</x:v>
      </x:c>
      <x:c r="B21" s="40" t="str">
        <x:v>Contacts and Follow-Ups</x:v>
      </x:c>
      <x:c r="C21" s="40" t="str">
        <x:v>Wave 3 — Pathways and Life Administration</x:v>
      </x:c>
      <x:c r="D21" s="40" t="n">
        <x:f>COUNTIF('FR Slice Mapping'!$A$4:$A$486,A21)</x:f>
        <x:v>20</x:v>
      </x:c>
      <x:c r="E21" s="40" t="n">
        <x:f>COUNTIFS('FR Slice Mapping'!$A$4:$A$486,A21,'FR Slice Mapping'!$J$4:$J$486,"Yes")</x:f>
        <x:v>16</x:v>
      </x:c>
      <x:c r="F21" s="40" t="n">
        <x:f>COUNTIFS('FR Slice Mapping'!$A$4:$A$486,A21,'FR Slice Mapping'!$K$4:$K$486,"V1.1")</x:f>
        <x:v>0</x:v>
      </x:c>
      <x:c r="G21" s="40" t="n">
        <x:f>COUNTIFS('FR Slice Mapping'!$A$4:$A$486,A21,'FR Slice Mapping'!$K$4:$K$486,"Deferred")</x:f>
        <x:v>0</x:v>
      </x:c>
      <x:c r="H21" s="40" t="str">
        <x:f>INDEX('Vertical Slice Register'!$R$4:$R$23,MATCH(A21,'Vertical Slice Register'!$A$4:$A$23,0))</x:f>
        <x:v>Pending product approval</x:v>
      </x:c>
    </x:row>
    <x:row r="22">
      <x:c r="A22" s="40" t="str">
        <x:v>VS-12</x:v>
      </x:c>
      <x:c r="B22" s="40" t="str">
        <x:v>Employment Applications</x:v>
      </x:c>
      <x:c r="C22" s="40" t="str">
        <x:v>Wave 3 — Pathways and Life Administration</x:v>
      </x:c>
      <x:c r="D22" s="40" t="n">
        <x:f>COUNTIF('FR Slice Mapping'!$A$4:$A$486,A22)</x:f>
        <x:v>20</x:v>
      </x:c>
      <x:c r="E22" s="40" t="n">
        <x:f>COUNTIFS('FR Slice Mapping'!$A$4:$A$486,A22,'FR Slice Mapping'!$J$4:$J$486,"Yes")</x:f>
        <x:v>15</x:v>
      </x:c>
      <x:c r="F22" s="40" t="n">
        <x:f>COUNTIFS('FR Slice Mapping'!$A$4:$A$486,A22,'FR Slice Mapping'!$K$4:$K$486,"V1.1")</x:f>
        <x:v>0</x:v>
      </x:c>
      <x:c r="G22" s="40" t="n">
        <x:f>COUNTIFS('FR Slice Mapping'!$A$4:$A$486,A22,'FR Slice Mapping'!$K$4:$K$486,"Deferred")</x:f>
        <x:v>0</x:v>
      </x:c>
      <x:c r="H22" s="40" t="str">
        <x:f>INDEX('Vertical Slice Register'!$R$4:$R$23,MATCH(A22,'Vertical Slice Register'!$A$4:$A$23,0))</x:f>
        <x:v>Pending product approval</x:v>
      </x:c>
    </x:row>
    <x:row r="23">
      <x:c r="A23" s="40" t="str">
        <x:v>VS-13</x:v>
      </x:c>
      <x:c r="B23" s="40" t="str">
        <x:v>Education Planning</x:v>
      </x:c>
      <x:c r="C23" s="40" t="str">
        <x:v>Wave 3 — Pathways and Life Administration</x:v>
      </x:c>
      <x:c r="D23" s="40" t="n">
        <x:f>COUNTIF('FR Slice Mapping'!$A$4:$A$486,A23)</x:f>
        <x:v>20</x:v>
      </x:c>
      <x:c r="E23" s="40" t="n">
        <x:f>COUNTIFS('FR Slice Mapping'!$A$4:$A$486,A23,'FR Slice Mapping'!$J$4:$J$486,"Yes")</x:f>
        <x:v>14</x:v>
      </x:c>
      <x:c r="F23" s="40" t="n">
        <x:f>COUNTIFS('FR Slice Mapping'!$A$4:$A$486,A23,'FR Slice Mapping'!$K$4:$K$486,"V1.1")</x:f>
        <x:v>0</x:v>
      </x:c>
      <x:c r="G23" s="40" t="n">
        <x:f>COUNTIFS('FR Slice Mapping'!$A$4:$A$486,A23,'FR Slice Mapping'!$K$4:$K$486,"Deferred")</x:f>
        <x:v>0</x:v>
      </x:c>
      <x:c r="H23" s="40" t="str">
        <x:f>INDEX('Vertical Slice Register'!$R$4:$R$23,MATCH(A23,'Vertical Slice Register'!$A$4:$A$23,0))</x:f>
        <x:v>Pending product approval</x:v>
      </x:c>
    </x:row>
    <x:row r="24">
      <x:c r="A24" s="40" t="str">
        <x:v>VS-14</x:v>
      </x:c>
      <x:c r="B24" s="40" t="str">
        <x:v>Government Document Requirements</x:v>
      </x:c>
      <x:c r="C24" s="40" t="str">
        <x:v>Wave 3 — Pathways and Life Administration</x:v>
      </x:c>
      <x:c r="D24" s="40" t="n">
        <x:f>COUNTIF('FR Slice Mapping'!$A$4:$A$486,A24)</x:f>
        <x:v>20</x:v>
      </x:c>
      <x:c r="E24" s="40" t="n">
        <x:f>COUNTIFS('FR Slice Mapping'!$A$4:$A$486,A24,'FR Slice Mapping'!$J$4:$J$486,"Yes")</x:f>
        <x:v>16</x:v>
      </x:c>
      <x:c r="F24" s="40" t="n">
        <x:f>COUNTIFS('FR Slice Mapping'!$A$4:$A$486,A24,'FR Slice Mapping'!$K$4:$K$486,"V1.1")</x:f>
        <x:v>0</x:v>
      </x:c>
      <x:c r="G24" s="40" t="n">
        <x:f>COUNTIFS('FR Slice Mapping'!$A$4:$A$486,A24,'FR Slice Mapping'!$K$4:$K$486,"Deferred")</x:f>
        <x:v>0</x:v>
      </x:c>
      <x:c r="H24" s="40" t="str">
        <x:f>INDEX('Vertical Slice Register'!$R$4:$R$23,MATCH(A24,'Vertical Slice Register'!$A$4:$A$23,0))</x:f>
        <x:v>Pending product approval</x:v>
      </x:c>
    </x:row>
    <x:row r="25">
      <x:c r="A25" s="40" t="str">
        <x:v>VS-15</x:v>
      </x:c>
      <x:c r="B25" s="40" t="str">
        <x:v>Maps and Locations</x:v>
      </x:c>
      <x:c r="C25" s="40" t="str">
        <x:v>Wave 3 — Pathways and Life Administration</x:v>
      </x:c>
      <x:c r="D25" s="40" t="n">
        <x:f>COUNTIF('FR Slice Mapping'!$A$4:$A$486,A25)</x:f>
        <x:v>15</x:v>
      </x:c>
      <x:c r="E25" s="40" t="n">
        <x:f>COUNTIFS('FR Slice Mapping'!$A$4:$A$486,A25,'FR Slice Mapping'!$J$4:$J$486,"Yes")</x:f>
        <x:v>11</x:v>
      </x:c>
      <x:c r="F25" s="40" t="n">
        <x:f>COUNTIFS('FR Slice Mapping'!$A$4:$A$486,A25,'FR Slice Mapping'!$K$4:$K$486,"V1.1")</x:f>
        <x:v>2</x:v>
      </x:c>
      <x:c r="G25" s="40" t="n">
        <x:f>COUNTIFS('FR Slice Mapping'!$A$4:$A$486,A25,'FR Slice Mapping'!$K$4:$K$486,"Deferred")</x:f>
        <x:v>0</x:v>
      </x:c>
      <x:c r="H25" s="40" t="str">
        <x:f>INDEX('Vertical Slice Register'!$R$4:$R$23,MATCH(A25,'Vertical Slice Register'!$A$4:$A$23,0))</x:f>
        <x:v>Pending product approval</x:v>
      </x:c>
    </x:row>
    <x:row r="26">
      <x:c r="A26" s="40" t="str">
        <x:v>VS-16</x:v>
      </x:c>
      <x:c r="B26" s="40" t="str">
        <x:v>Notifications and Background Work</x:v>
      </x:c>
      <x:c r="C26" s="40" t="str">
        <x:v>Wave 4 — Device Services and Reliability</x:v>
      </x:c>
      <x:c r="D26" s="40" t="n">
        <x:f>COUNTIF('FR Slice Mapping'!$A$4:$A$486,A26)</x:f>
        <x:v>36</x:v>
      </x:c>
      <x:c r="E26" s="40" t="n">
        <x:f>COUNTIFS('FR Slice Mapping'!$A$4:$A$486,A26,'FR Slice Mapping'!$J$4:$J$486,"Yes")</x:f>
        <x:v>28</x:v>
      </x:c>
      <x:c r="F26" s="40" t="n">
        <x:f>COUNTIFS('FR Slice Mapping'!$A$4:$A$486,A26,'FR Slice Mapping'!$K$4:$K$486,"V1.1")</x:f>
        <x:v>0</x:v>
      </x:c>
      <x:c r="G26" s="40" t="n">
        <x:f>COUNTIFS('FR Slice Mapping'!$A$4:$A$486,A26,'FR Slice Mapping'!$K$4:$K$486,"Deferred")</x:f>
        <x:v>0</x:v>
      </x:c>
      <x:c r="H26" s="40" t="str">
        <x:f>INDEX('Vertical Slice Register'!$R$4:$R$23,MATCH(A26,'Vertical Slice Register'!$A$4:$A$23,0))</x:f>
        <x:v>Pending product approval</x:v>
      </x:c>
    </x:row>
    <x:row r="27">
      <x:c r="A27" s="40" t="str">
        <x:v>VS-17</x:v>
      </x:c>
      <x:c r="B27" s="40" t="str">
        <x:v>BetterCalendar Import</x:v>
      </x:c>
      <x:c r="C27" s="40" t="str">
        <x:v>Wave 4 — Device Services and Reliability</x:v>
      </x:c>
      <x:c r="D27" s="40" t="n">
        <x:f>COUNTIF('FR Slice Mapping'!$A$4:$A$486,A27)</x:f>
        <x:v>20</x:v>
      </x:c>
      <x:c r="E27" s="40" t="n">
        <x:f>COUNTIFS('FR Slice Mapping'!$A$4:$A$486,A27,'FR Slice Mapping'!$J$4:$J$486,"Yes")</x:f>
        <x:v>15</x:v>
      </x:c>
      <x:c r="F27" s="40" t="n">
        <x:f>COUNTIFS('FR Slice Mapping'!$A$4:$A$486,A27,'FR Slice Mapping'!$K$4:$K$486,"V1.1")</x:f>
        <x:v>0</x:v>
      </x:c>
      <x:c r="G27" s="40" t="n">
        <x:f>COUNTIFS('FR Slice Mapping'!$A$4:$A$486,A27,'FR Slice Mapping'!$K$4:$K$486,"Deferred")</x:f>
        <x:v>0</x:v>
      </x:c>
      <x:c r="H27" s="40" t="str">
        <x:f>INDEX('Vertical Slice Register'!$R$4:$R$23,MATCH(A27,'Vertical Slice Register'!$A$4:$A$23,0))</x:f>
        <x:v>Pending product approval</x:v>
      </x:c>
    </x:row>
    <x:row r="28">
      <x:c r="A28" s="40" t="str">
        <x:v>VS-18</x:v>
      </x:c>
      <x:c r="B28" s="40" t="str">
        <x:v>Backup, Export, and Restore</x:v>
      </x:c>
      <x:c r="C28" s="40" t="str">
        <x:v>Wave 4 — Device Services and Reliability</x:v>
      </x:c>
      <x:c r="D28" s="40" t="n">
        <x:f>COUNTIF('FR Slice Mapping'!$A$4:$A$486,A28)</x:f>
        <x:v>20</x:v>
      </x:c>
      <x:c r="E28" s="40" t="n">
        <x:f>COUNTIFS('FR Slice Mapping'!$A$4:$A$486,A28,'FR Slice Mapping'!$J$4:$J$486,"Yes")</x:f>
        <x:v>19</x:v>
      </x:c>
      <x:c r="F28" s="40" t="n">
        <x:f>COUNTIFS('FR Slice Mapping'!$A$4:$A$486,A28,'FR Slice Mapping'!$K$4:$K$486,"V1.1")</x:f>
        <x:v>1</x:v>
      </x:c>
      <x:c r="G28" s="40" t="n">
        <x:f>COUNTIFS('FR Slice Mapping'!$A$4:$A$486,A28,'FR Slice Mapping'!$K$4:$K$486,"Deferred")</x:f>
        <x:v>0</x:v>
      </x:c>
      <x:c r="H28" s="40" t="str">
        <x:f>INDEX('Vertical Slice Register'!$R$4:$R$23,MATCH(A28,'Vertical Slice Register'!$A$4:$A$23,0))</x:f>
        <x:v>Pending product approval</x:v>
      </x:c>
    </x:row>
    <x:row r="29">
      <x:c r="A29" s="40" t="str">
        <x:v>VS-19</x:v>
      </x:c>
      <x:c r="B29" s="40" t="str">
        <x:v>Account, Synchronization, and More Center</x:v>
      </x:c>
      <x:c r="C29" s="40" t="str">
        <x:v>Wave 4 — Device Services and Reliability</x:v>
      </x:c>
      <x:c r="D29" s="40" t="n">
        <x:f>COUNTIF('FR Slice Mapping'!$A$4:$A$486,A29)</x:f>
        <x:v>46</x:v>
      </x:c>
      <x:c r="E29" s="40" t="n">
        <x:f>COUNTIFS('FR Slice Mapping'!$A$4:$A$486,A29,'FR Slice Mapping'!$J$4:$J$486,"Yes")</x:f>
        <x:v>35</x:v>
      </x:c>
      <x:c r="F29" s="40" t="n">
        <x:f>COUNTIFS('FR Slice Mapping'!$A$4:$A$486,A29,'FR Slice Mapping'!$K$4:$K$486,"V1.1")</x:f>
        <x:v>1</x:v>
      </x:c>
      <x:c r="G29" s="40" t="n">
        <x:f>COUNTIFS('FR Slice Mapping'!$A$4:$A$486,A29,'FR Slice Mapping'!$K$4:$K$486,"Deferred")</x:f>
        <x:v>0</x:v>
      </x:c>
      <x:c r="H29" s="40" t="str">
        <x:f>INDEX('Vertical Slice Register'!$R$4:$R$23,MATCH(A29,'Vertical Slice Register'!$A$4:$A$23,0))</x:f>
        <x:v>Pending product approval</x:v>
      </x:c>
    </x:row>
    <x:row r="30">
      <x:c r="A30" s="40" t="str">
        <x:v>VS-20</x:v>
      </x:c>
      <x:c r="B30" s="40" t="str">
        <x:v>Device-Calendar Manual Transfer</x:v>
      </x:c>
      <x:c r="C30" s="40" t="str">
        <x:v>Wave 4 — Device Services and Reliability</x:v>
      </x:c>
      <x:c r="D30" s="40" t="n">
        <x:f>COUNTIF('FR Slice Mapping'!$A$4:$A$486,A30)</x:f>
        <x:v>20</x:v>
      </x:c>
      <x:c r="E30" s="40" t="n">
        <x:f>COUNTIFS('FR Slice Mapping'!$A$4:$A$486,A30,'FR Slice Mapping'!$J$4:$J$486,"Yes")</x:f>
        <x:v>13</x:v>
      </x:c>
      <x:c r="F30" s="40" t="n">
        <x:f>COUNTIFS('FR Slice Mapping'!$A$4:$A$486,A30,'FR Slice Mapping'!$K$4:$K$486,"V1.1")</x:f>
        <x:v>0</x:v>
      </x:c>
      <x:c r="G30" s="40" t="n">
        <x:f>COUNTIFS('FR Slice Mapping'!$A$4:$A$486,A30,'FR Slice Mapping'!$K$4:$K$486,"Deferred")</x:f>
        <x:v>1</x:v>
      </x:c>
      <x:c r="H30" s="40" t="str">
        <x:f>INDEX('Vertical Slice Register'!$R$4:$R$23,MATCH(A30,'Vertical Slice Register'!$A$4:$A$23,0))</x:f>
        <x:v>Pending product approval</x:v>
      </x:c>
    </x:row>
  </x:sheetData>
  <x:mergeCells>
    <x:mergeCell ref="A1:H1"/>
    <x:mergeCell ref="A3:B3"/>
    <x:mergeCell ref="A4:B4"/>
    <x:mergeCell ref="A5:B5"/>
    <x:mergeCell ref="A6:B6"/>
    <x:mergeCell ref="A7:B7"/>
    <x:mergeCell ref="A8:B8"/>
  </x:mergeCells>
  <x:conditionalFormatting sqref="H11:H30">
    <x:cfRule type="expression" dxfId="32" priority="1">
      <x:formula>H11="Approved"</x:formula>
    </x:cfRule>
    <x:cfRule type="expression" dxfId="33" priority="2">
      <x:formula>H11="Pending product approval"</x:formula>
    </x:cfRule>
  </x:conditionalFormatting>
  <x:pageMargins left="0.7" right="0.7" top="0.75" bottom="0.75" header="0.3" footer="0.3"/>
  <x:drawing xmlns:r="http://schemas.openxmlformats.org/officeDocument/2006/relationships" r:id="Ra7d8a4d2197843e2"/>
</x:worksheet>
</file>

<file path=xl/worksheets/sheet21.xml><?xml version="1.0" encoding="utf-8"?>
<x:worksheet xmlns:x="http://schemas.openxmlformats.org/spreadsheetml/2006/main">
  <x:sheetFormatPr defaultRowHeight="15"/>
  <x:cols>
    <x:col min="1" max="1" width="10" hidden="0" customWidth="1"/>
    <x:col min="2" max="2" width="9" hidden="0" customWidth="1"/>
    <x:col min="3" max="3" width="22" hidden="0" customWidth="1"/>
    <x:col min="4" max="4" width="30" hidden="0" customWidth="1"/>
    <x:col min="5" max="5" width="46" hidden="0" customWidth="1"/>
    <x:col min="6" max="6" width="38" hidden="0" customWidth="1"/>
    <x:col min="7" max="7" width="24" hidden="0" customWidth="1"/>
    <x:col min="8" max="8" width="42" hidden="0" customWidth="1"/>
    <x:col min="9" max="9" width="42" hidden="0" customWidth="1"/>
    <x:col min="10" max="10" width="12" hidden="0" customWidth="1"/>
    <x:col min="11" max="11" width="12" hidden="0" customWidth="1"/>
    <x:col min="12" max="12" width="10" hidden="0" customWidth="1"/>
    <x:col min="13" max="13" width="10" hidden="0" customWidth="1"/>
    <x:col min="14" max="14" width="10" hidden="0" customWidth="1"/>
    <x:col min="15" max="15" width="12" hidden="0" customWidth="1"/>
    <x:col min="16" max="16" width="30" hidden="0" customWidth="1"/>
    <x:col min="17" max="17" width="48" hidden="0" customWidth="1"/>
    <x:col min="18" max="18" width="20" hidden="0" customWidth="1"/>
    <x:col min="19" max="19" width="18" hidden="0" customWidth="1"/>
  </x:cols>
  <x:sheetData>
    <x:row r="1">
      <x:c r="A1" s="128" t="str">
        <x:v>Next Transfer - Implementation-Ready Vertical Slice Register</x:v>
      </x:c>
      <x:c r="B1" s="128"/>
      <x:c r="C1" s="128"/>
      <x:c r="D1" s="128"/>
      <x:c r="E1" s="128"/>
      <x:c r="F1" s="128"/>
      <x:c r="G1" s="128"/>
      <x:c r="H1" s="128"/>
      <x:c r="I1" s="128"/>
      <x:c r="J1" s="128"/>
      <x:c r="K1" s="128"/>
      <x:c r="L1" s="128"/>
      <x:c r="M1" s="128"/>
      <x:c r="N1" s="128"/>
      <x:c r="O1" s="128"/>
      <x:c r="P1" s="128"/>
      <x:c r="Q1" s="128"/>
      <x:c r="R1" s="128"/>
      <x:c r="S1" s="128"/>
    </x:row>
    <x:row r="3">
      <x:c r="A3" s="133" t="str">
        <x:v>Slice ID</x:v>
      </x:c>
      <x:c r="B3" s="133" t="str">
        <x:v>Sequence</x:v>
      </x:c>
      <x:c r="C3" s="133" t="str">
        <x:v>Wave</x:v>
      </x:c>
      <x:c r="D3" s="133" t="str">
        <x:v>Title</x:v>
      </x:c>
      <x:c r="E3" s="133" t="str">
        <x:v>User Outcome</x:v>
      </x:c>
      <x:c r="F3" s="133" t="str">
        <x:v>Feature Groups</x:v>
      </x:c>
      <x:c r="G3" s="133" t="str">
        <x:v>Dependencies</x:v>
      </x:c>
      <x:c r="H3" s="133" t="str">
        <x:v>Primary Routes / Entry Points</x:v>
      </x:c>
      <x:c r="I3" s="133" t="str">
        <x:v>Domain Entities</x:v>
      </x:c>
      <x:c r="J3" s="133" t="str">
        <x:v>Requirement Count</x:v>
      </x:c>
      <x:c r="K3" s="133" t="str">
        <x:v>Release-Blocking Count</x:v>
      </x:c>
      <x:c r="L3" s="133" t="str">
        <x:v>V1 Count</x:v>
      </x:c>
      <x:c r="M3" s="133" t="str">
        <x:v>V1.1 Count</x:v>
      </x:c>
      <x:c r="N3" s="133" t="str">
        <x:v>Deferred Count</x:v>
      </x:c>
      <x:c r="O3" s="133" t="str">
        <x:v>Approved OPD Count</x:v>
      </x:c>
      <x:c r="P3" s="133" t="str">
        <x:v>Source ADRs</x:v>
      </x:c>
      <x:c r="Q3" s="133" t="str">
        <x:v>Exit Gate</x:v>
      </x:c>
      <x:c r="R3" s="133" t="str">
        <x:v>Specification Status</x:v>
      </x:c>
      <x:c r="S3" s="133" t="str">
        <x:v>Implementation Status</x:v>
      </x:c>
    </x:row>
    <x:row r="4">
      <x:c r="A4" s="40" t="str">
        <x:v>VS-01</x:v>
      </x:c>
      <x:c r="B4" s="40" t="n">
        <x:v>1</x:v>
      </x:c>
      <x:c r="C4" s="40" t="str">
        <x:v>Wave 1 — Foundation</x:v>
      </x:c>
      <x:c r="D4" s="40" t="str">
        <x:v>Guest Startup and Local Profile</x:v>
      </x:c>
      <x:c r="E4" s="40" t="str">
        <x:v>A user can launch Next Transfer offline, create or resume one local profile, understand optional accounts, and reach a safe first-use state without losing data.</x:v>
      </x:c>
      <x:c r="F4" s="40" t="str">
        <x:v>A. App Startup and Guest Onboarding</x:v>
      </x:c>
      <x:c r="G4" s="40" t="str">
        <x:v>None</x:v>
      </x:c>
      <x:c r="H4" s="40" t="str">
        <x:v>Startup gate; first-run onboarding; returning-user resume; invalid-link recovery; Home shell</x:v>
      </x:c>
      <x:c r="I4" s="40" t="str">
        <x:v>Local Profile; onboarding checkpoint; startup link; migration checkpoint; account-session summary</x:v>
      </x:c>
      <x:c r="J4" s="40" t="n">
        <x:v>20</x:v>
      </x:c>
      <x:c r="K4" s="40" t="n">
        <x:v>13</x:v>
      </x:c>
      <x:c r="L4" s="40" t="n">
        <x:v>20</x:v>
      </x:c>
      <x:c r="M4" s="40" t="n">
        <x:v>0</x:v>
      </x:c>
      <x:c r="N4" s="40" t="n">
        <x:v>0</x:v>
      </x:c>
      <x:c r="O4" s="40" t="n">
        <x:v>4</x:v>
      </x:c>
      <x:c r="P4" s="40" t="str">
        <x:v>ADR-006, ADR-013, ADR-002, ADR-016, ADR-005, ADR-012, ADR-015, ADR-021, ADR-023, ADR-009</x:v>
      </x:c>
      <x:c r="Q4" s="40" t="str">
        <x:v>Guest startup works offline; repeated launches do not duplicate profiles; failed migrations preserve prior valid data; account setup remains optional.</x:v>
      </x:c>
      <x:c r="R4" s="40" t="str">
        <x:v>Pending product approval</x:v>
      </x:c>
      <x:c r="S4" s="40" t="str">
        <x:v>Not Started</x:v>
      </x:c>
    </x:row>
    <x:row r="5">
      <x:c r="A5" s="40" t="str">
        <x:v>VS-02</x:v>
      </x:c>
      <x:c r="B5" s="40" t="n">
        <x:v>2</x:v>
      </x:c>
      <x:c r="C5" s="40" t="str">
        <x:v>Wave 1 — Foundation</x:v>
      </x:c>
      <x:c r="D5" s="40" t="str">
        <x:v>Privacy Lock, Permissions, and Privacy Center</x:v>
      </x:c>
      <x:c r="E5" s="40" t="str">
        <x:v>A user can protect the app with OS-backed authentication, review privacy behavior, and deny every optional permission while core local workflows continue to work.</x:v>
      </x:c>
      <x:c r="F5" s="40" t="str">
        <x:v>W. Privacy Lock, Permissions, and Privacy Center</x:v>
      </x:c>
      <x:c r="G5" s="40" t="str">
        <x:v>VS-01</x:v>
      </x:c>
      <x:c r="H5" s="40" t="str">
        <x:v>Startup/resume lock gate; More &gt; Privacy and Data; More &gt; Permissions; diagnostic export preview</x:v>
      </x:c>
      <x:c r="I5" s="40" t="str">
        <x:v>Privacy Lock Configuration; Permission State; Privacy Preference; Extra Private Classification; Local-Only Category; Diagnostic Export; Deletion Request</x:v>
      </x:c>
      <x:c r="J5" s="40" t="n">
        <x:v>22</x:v>
      </x:c>
      <x:c r="K5" s="40" t="n">
        <x:v>21</x:v>
      </x:c>
      <x:c r="L5" s="40" t="n">
        <x:v>22</x:v>
      </x:c>
      <x:c r="M5" s="40" t="n">
        <x:v>0</x:v>
      </x:c>
      <x:c r="N5" s="40" t="n">
        <x:v>0</x:v>
      </x:c>
      <x:c r="O5" s="40" t="n">
        <x:v>5</x:v>
      </x:c>
      <x:c r="P5" s="40" t="str">
        <x:v>ADR-021, ADR-023, ADR-017, ADR-014, ADR-015, ADR-003</x:v>
      </x:c>
      <x:c r="Q5" s="40" t="str">
        <x:v>OS biometric/device credential lock is truthful and non-destructive; optional permissions are just-in-time; private payloads and tokens remain outside unsafe storage and logs.</x:v>
      </x:c>
      <x:c r="R5" s="40" t="str">
        <x:v>Pending product approval</x:v>
      </x:c>
      <x:c r="S5" s="40" t="str">
        <x:v>Not Started</x:v>
      </x:c>
    </x:row>
    <x:row r="6">
      <x:c r="A6" s="40" t="str">
        <x:v>VS-03</x:v>
      </x:c>
      <x:c r="B6" s="40" t="n">
        <x:v>3</x:v>
      </x:c>
      <x:c r="C6" s="40" t="str">
        <x:v>Wave 2 — Core Planning Loop</x:v>
      </x:c>
      <x:c r="D6" s="40" t="str">
        <x:v>Planner Day and Tasks</x:v>
      </x:c>
      <x:c r="E6" s="40" t="str">
        <x:v>A user can navigate a day, create and manage Tasks, distinguish overdue and changed items, and preserve factual task state without treating elapsed time as completion.</x:v>
      </x:c>
      <x:c r="F6" s="40" t="str">
        <x:v>C. Planner Day View, D. Tasks</x:v>
      </x:c>
      <x:c r="G6" s="40" t="str">
        <x:v>VS-01, VS-02</x:v>
      </x:c>
      <x:c r="H6" s="40" t="str">
        <x:v>Planner tab; day navigation; Task create/edit/detail; Awaiting Report and Changes sections</x:v>
      </x:c>
      <x:c r="I6" s="40" t="str">
        <x:v>Task; Planner Day; Task Status; Task Schedule; Change Record; Local Profile</x:v>
      </x:c>
      <x:c r="J6" s="40" t="n">
        <x:v>40</x:v>
      </x:c>
      <x:c r="K6" s="40" t="n">
        <x:v>26</x:v>
      </x:c>
      <x:c r="L6" s="40" t="n">
        <x:v>40</x:v>
      </x:c>
      <x:c r="M6" s="40" t="n">
        <x:v>0</x:v>
      </x:c>
      <x:c r="N6" s="40" t="n">
        <x:v>0</x:v>
      </x:c>
      <x:c r="O6" s="40" t="n">
        <x:v>7</x:v>
      </x:c>
      <x:c r="P6" s="40" t="str">
        <x:v>ADR-004, ADR-011, ADR-012, ADR-006, ADR-009, ADR-021, ADR-023, ADR-005</x:v>
      </x:c>
      <x:c r="Q6" s="40" t="str">
        <x:v>Task lifecycle and day presentation are deterministic offline; cancellation, skip, and completion semantics are distinct; required-report Tasks cannot bypass reporting.</x:v>
      </x:c>
      <x:c r="R6" s="40" t="str">
        <x:v>Pending product approval</x:v>
      </x:c>
      <x:c r="S6" s="40" t="str">
        <x:v>Not Started</x:v>
      </x:c>
    </x:row>
    <x:row r="7">
      <x:c r="A7" s="40" t="str">
        <x:v>VS-04</x:v>
      </x:c>
      <x:c r="B7" s="40" t="n">
        <x:v>4</x:v>
      </x:c>
      <x:c r="C7" s="40" t="str">
        <x:v>Wave 2 — Core Planning Loop</x:v>
      </x:c>
      <x:c r="D7" s="40" t="str">
        <x:v>Calendar Events and Recurrence</x:v>
      </x:c>
      <x:c r="E7" s="40" t="str">
        <x:v>A user can create timed or all-day Calendar Events, use supported recurrence rules, edit recurrence scopes, and preserve correct time-zone and occurrence identity.</x:v>
      </x:c>
      <x:c r="F7" s="40" t="str">
        <x:v>E. Calendar Events and Recurrence</x:v>
      </x:c>
      <x:c r="G7" s="40" t="str">
        <x:v>VS-01, VS-02, VS-03</x:v>
      </x:c>
      <x:c r="H7" s="40" t="str">
        <x:v>Planner event create/edit/detail; recurrence editor; occurrence exception flow</x:v>
      </x:c>
      <x:c r="I7" s="40" t="str">
        <x:v>Calendar Event; Recurrence Series; Event Occurrence; Recurrence Rule; Time-Zone Identity; Exception Record</x:v>
      </x:c>
      <x:c r="J7" s="40" t="n">
        <x:v>24</x:v>
      </x:c>
      <x:c r="K7" s="40" t="n">
        <x:v>17</x:v>
      </x:c>
      <x:c r="L7" s="40" t="n">
        <x:v>24</x:v>
      </x:c>
      <x:c r="M7" s="40" t="n">
        <x:v>0</x:v>
      </x:c>
      <x:c r="N7" s="40" t="n">
        <x:v>0</x:v>
      </x:c>
      <x:c r="O7" s="40" t="n">
        <x:v>5</x:v>
      </x:c>
      <x:c r="P7" s="40" t="str">
        <x:v>ADR-011, ADR-006, ADR-009, ADR-005, ADR-012, ADR-021, ADR-022, ADR-001, ADR-023, ADR-016</x:v>
      </x:c>
      <x:c r="Q7" s="40" t="str">
        <x:v>Supported recurrence is deterministic; all-day dates never shift by time-zone conversion; occurrence edits preserve series identity and history.</x:v>
      </x:c>
      <x:c r="R7" s="40" t="str">
        <x:v>Pending product approval</x:v>
      </x:c>
      <x:c r="S7" s="40" t="str">
        <x:v>Not Started</x:v>
      </x:c>
    </x:row>
    <x:row r="8">
      <x:c r="A8" s="40" t="str">
        <x:v>VS-05</x:v>
      </x:c>
      <x:c r="B8" s="40" t="n">
        <x:v>5</x:v>
      </x:c>
      <x:c r="C8" s="40" t="str">
        <x:v>Wave 2 — Core Planning Loop</x:v>
      </x:c>
      <x:c r="D8" s="40" t="str">
        <x:v>Task–Event Linking</x:v>
      </x:c>
      <x:c r="E8" s="40" t="str">
        <x:v>A user can explicitly link Tasks and Calendar Events without merging their identities, statuses, reporting rules, or deletion behavior.</x:v>
      </x:c>
      <x:c r="F8" s="40" t="str">
        <x:v>F. Task–Event Linking</x:v>
      </x:c>
      <x:c r="G8" s="40" t="str">
        <x:v>VS-03, VS-04</x:v>
      </x:c>
      <x:c r="H8" s="40" t="str">
        <x:v>Task detail link action; Event detail link action; linked-item panel; unlink confirmation</x:v>
      </x:c>
      <x:c r="I8" s="40" t="str">
        <x:v>Task; Calendar Event; Task–Event Link; Link History</x:v>
      </x:c>
      <x:c r="J8" s="40" t="n">
        <x:v>18</x:v>
      </x:c>
      <x:c r="K8" s="40" t="n">
        <x:v>15</x:v>
      </x:c>
      <x:c r="L8" s="40" t="n">
        <x:v>18</x:v>
      </x:c>
      <x:c r="M8" s="40" t="n">
        <x:v>0</x:v>
      </x:c>
      <x:c r="N8" s="40" t="n">
        <x:v>0</x:v>
      </x:c>
      <x:c r="O8" s="40" t="n">
        <x:v>3</x:v>
      </x:c>
      <x:c r="P8" s="40" t="str">
        <x:v>ADR-004, ADR-009, ADR-012, ADR-005, ADR-006, ADR-023, ADR-011</x:v>
      </x:c>
      <x:c r="Q8" s="40" t="str">
        <x:v>Links remain explicit and reversible; one entity cannot silently complete, delete, or overwrite the other; broken references are recoverable.</x:v>
      </x:c>
      <x:c r="R8" s="40" t="str">
        <x:v>Pending product approval</x:v>
      </x:c>
      <x:c r="S8" s="40" t="str">
        <x:v>Not Started</x:v>
      </x:c>
    </x:row>
    <x:row r="9">
      <x:c r="A9" s="40" t="str">
        <x:v>VS-06</x:v>
      </x:c>
      <x:c r="B9" s="40" t="n">
        <x:v>6</x:v>
      </x:c>
      <x:c r="C9" s="40" t="str">
        <x:v>Wave 2 — Core Planning Loop</x:v>
      </x:c>
      <x:c r="D9" s="40" t="str">
        <x:v>Outcome Reporting and Activity Ledger</x:v>
      </x:c>
      <x:c r="E9" s="40" t="str">
        <x:v>A user can report what happened, create immutable contribution history from valid sources, correct history safely, and derive Actual only from the Activity Ledger.</x:v>
      </x:c>
      <x:c r="F9" s="40" t="str">
        <x:v>G. Event and Task Outcome Reporting, H. Activity Ledger and Contribution History</x:v>
      </x:c>
      <x:c r="G9" s="40" t="str">
        <x:v>VS-03, VS-04, VS-05</x:v>
      </x:c>
      <x:c r="H9" s="40" t="str">
        <x:v>Awaiting Report; Task/Event report flow; Activity Ledger history; correction and reversal flow</x:v>
      </x:c>
      <x:c r="I9" s="40" t="str">
        <x:v>Outcome Report; Report Draft; Activity Ledger Entry; Contribution; Correction/Reversal; Indicator Unit</x:v>
      </x:c>
      <x:c r="J9" s="40" t="n">
        <x:v>40</x:v>
      </x:c>
      <x:c r="K9" s="40" t="n">
        <x:v>28</x:v>
      </x:c>
      <x:c r="L9" s="40" t="n">
        <x:v>40</x:v>
      </x:c>
      <x:c r="M9" s="40" t="n">
        <x:v>0</x:v>
      </x:c>
      <x:c r="N9" s="40" t="n">
        <x:v>0</x:v>
      </x:c>
      <x:c r="O9" s="40" t="n">
        <x:v>6</x:v>
      </x:c>
      <x:c r="P9" s="40" t="str">
        <x:v>ADR-011, ADR-005, ADR-006, ADR-012, ADR-023, ADR-008, ADR-010</x:v>
      </x:c>
      <x:c r="Q9" s="40" t="str">
        <x:v>Report save and required completion commit coherently; ledger retries are idempotent; Actual is read-only and ledger-derived; corrections preserve audit history.</x:v>
      </x:c>
      <x:c r="R9" s="40" t="str">
        <x:v>Pending product approval</x:v>
      </x:c>
      <x:c r="S9" s="40" t="str">
        <x:v>Not Started</x:v>
      </x:c>
    </x:row>
    <x:row r="10">
      <x:c r="A10" s="40" t="str">
        <x:v>VS-07</x:v>
      </x:c>
      <x:c r="B10" s="40" t="n">
        <x:v>7</x:v>
      </x:c>
      <x:c r="C10" s="40" t="str">
        <x:v>Wave 2 — Core Planning Loop</x:v>
      </x:c>
      <x:c r="D10" s="40" t="str">
        <x:v>Home and Life Indicators</x:v>
      </x:c>
      <x:c r="E10" s="40" t="str">
        <x:v>A user can see the six approved Life Indicators, weekly targets, factual Actual, and Scheduled Potential without misleading blended progress.</x:v>
      </x:c>
      <x:c r="F10" s="40" t="str">
        <x:v>B. Home and Life Indicators</x:v>
      </x:c>
      <x:c r="G10" s="40" t="str">
        <x:v>VS-06</x:v>
      </x:c>
      <x:c r="H10" s="40" t="str">
        <x:v>Home tab; indicator cards; indicator detail and history; target setup prompt</x:v>
      </x:c>
      <x:c r="I10" s="40" t="str">
        <x:v>Life Indicator; Weekly Target; Actual Read Model; Scheduled Potential Read Model; Indicator History</x:v>
      </x:c>
      <x:c r="J10" s="40" t="n">
        <x:v>20</x:v>
      </x:c>
      <x:c r="K10" s="40" t="n">
        <x:v>13</x:v>
      </x:c>
      <x:c r="L10" s="40" t="n">
        <x:v>20</x:v>
      </x:c>
      <x:c r="M10" s="40" t="n">
        <x:v>0</x:v>
      </x:c>
      <x:c r="N10" s="40" t="n">
        <x:v>0</x:v>
      </x:c>
      <x:c r="O10" s="40" t="n">
        <x:v>4</x:v>
      </x:c>
      <x:c r="P10" s="40" t="str">
        <x:v>ADR-005, ADR-012, ADR-010, ADR-011, ADR-004, ADR-006</x:v>
      </x:c>
      <x:c r="Q10" s="40" t="str">
        <x:v>All six indicators use approved order and units; Actual is ledger-derived; initial targets remain Not set unless the user chooses them; projected blended totals are omitted.</x:v>
      </x:c>
      <x:c r="R10" s="40" t="str">
        <x:v>Pending product approval</x:v>
      </x:c>
      <x:c r="S10" s="40" t="str">
        <x:v>Not Started</x:v>
      </x:c>
    </x:row>
    <x:row r="11">
      <x:c r="A11" s="40" t="str">
        <x:v>VS-08</x:v>
      </x:c>
      <x:c r="B11" s="40" t="n">
        <x:v>8</x:v>
      </x:c>
      <x:c r="C11" s="40" t="str">
        <x:v>Wave 2 — Core Planning Loop</x:v>
      </x:c>
      <x:c r="D11" s="40" t="str">
        <x:v>Weekly Planning Lifecycle</x:v>
      </x:c>
      <x:c r="E11" s="40" t="str">
        <x:v>A user can plan a Monday–Sunday week, review prior results, set targets and commitments, and preserve historical plans through reopen and archive rules.</x:v>
      </x:c>
      <x:c r="F11" s="40" t="str">
        <x:v>I. Weekly Planning</x:v>
      </x:c>
      <x:c r="G11" s="40" t="str">
        <x:v>VS-03, VS-04, VS-06, VS-07</x:v>
      </x:c>
      <x:c r="H11" s="40" t="str">
        <x:v>Weekly planning flow; weekly review; Home planning prompt; prior-week history</x:v>
      </x:c>
      <x:c r="I11" s="40" t="str">
        <x:v>Weekly Plan; Week Identity; Weekly Target Snapshot; Commitment; Review Summary</x:v>
      </x:c>
      <x:c r="J11" s="40" t="n">
        <x:v>20</x:v>
      </x:c>
      <x:c r="K11" s="40" t="n">
        <x:v>12</x:v>
      </x:c>
      <x:c r="L11" s="40" t="n">
        <x:v>20</x:v>
      </x:c>
      <x:c r="M11" s="40" t="n">
        <x:v>0</x:v>
      </x:c>
      <x:c r="N11" s="40" t="n">
        <x:v>0</x:v>
      </x:c>
      <x:c r="O11" s="40" t="n">
        <x:v>3</x:v>
      </x:c>
      <x:c r="P11" s="40" t="str">
        <x:v>ADR-010, ADR-006, ADR-005, ADR-009, ADR-011, ADR-012</x:v>
      </x:c>
      <x:c r="Q11" s="40" t="str">
        <x:v>Week identity is stable; planning does not fabricate Actual; reopening and review preserve historical evidence and current-week state.</x:v>
      </x:c>
      <x:c r="R11" s="40" t="str">
        <x:v>Pending product approval</x:v>
      </x:c>
      <x:c r="S11" s="40" t="str">
        <x:v>Not Started</x:v>
      </x:c>
    </x:row>
    <x:row r="12">
      <x:c r="A12" s="40" t="str">
        <x:v>VS-09</x:v>
      </x:c>
      <x:c r="B12" s="40" t="n">
        <x:v>9</x:v>
      </x:c>
      <x:c r="C12" s="40" t="str">
        <x:v>Wave 3 — Pathways and Life Administration</x:v>
      </x:c>
      <x:c r="D12" s="40" t="str">
        <x:v>Pathways, Goals, and Milestones</x:v>
      </x:c>
      <x:c r="E12" s="40" t="str">
        <x:v>A user can activate Pathways, define Goals and Milestones, pause or complete work, and track factual state without unexplained universal percentages.</x:v>
      </x:c>
      <x:c r="F12" s="40" t="str">
        <x:v>J. Pathways, Goals, and Milestones</x:v>
      </x:c>
      <x:c r="G12" s="40" t="str">
        <x:v>VS-01, VS-03, VS-04</x:v>
      </x:c>
      <x:c r="H12" s="40" t="str">
        <x:v>Pathways tab; pathway detail; Goal/Milestone create-edit; archive and reopen</x:v>
      </x:c>
      <x:c r="I12" s="40" t="str">
        <x:v>Pathway; Goal; Milestone; Lifecycle State; Resource Link</x:v>
      </x:c>
      <x:c r="J12" s="40" t="n">
        <x:v>22</x:v>
      </x:c>
      <x:c r="K12" s="40" t="n">
        <x:v>16</x:v>
      </x:c>
      <x:c r="L12" s="40" t="n">
        <x:v>22</x:v>
      </x:c>
      <x:c r="M12" s="40" t="n">
        <x:v>0</x:v>
      </x:c>
      <x:c r="N12" s="40" t="n">
        <x:v>0</x:v>
      </x:c>
      <x:c r="O12" s="40" t="n">
        <x:v>4</x:v>
      </x:c>
      <x:c r="P12" s="40" t="str">
        <x:v>ADR-009, ADR-006, ADR-005, ADR-004</x:v>
      </x:c>
      <x:c r="Q12" s="40" t="str">
        <x:v>Approved lifecycle enums are enforced; archive is distinct from completion; progress uses explicit factual measures rather than invented percentages.</x:v>
      </x:c>
      <x:c r="R12" s="40" t="str">
        <x:v>Pending product approval</x:v>
      </x:c>
      <x:c r="S12" s="40" t="str">
        <x:v>Not Started</x:v>
      </x:c>
    </x:row>
    <x:row r="13">
      <x:c r="A13" s="40" t="str">
        <x:v>VS-10</x:v>
      </x:c>
      <x:c r="B13" s="40" t="n">
        <x:v>10</x:v>
      </x:c>
      <x:c r="C13" s="40" t="str">
        <x:v>Wave 3 — Pathways and Life Administration</x:v>
      </x:c>
      <x:c r="D13" s="40" t="str">
        <x:v>Covenant Path</x:v>
      </x:c>
      <x:c r="E13" s="40" t="str">
        <x:v>A user can privately plan and report Scripture Study and Temple Visit activities without spiritual scoring or automatic sharing.</x:v>
      </x:c>
      <x:c r="F13" s="40" t="str">
        <x:v>K. Covenant Path</x:v>
      </x:c>
      <x:c r="G13" s="40" t="str">
        <x:v>VS-02, VS-06, VS-09</x:v>
      </x:c>
      <x:c r="H13" s="40" t="str">
        <x:v>Pathways &gt; Covenant Path; Scripture Study; Temple Visit; private reflection editor</x:v>
      </x:c>
      <x:c r="I13" s="40" t="str">
        <x:v>Covenant Path Record; Scripture Study Plan/Report; Temple Visit Plan/Report; Extra Private Reflection</x:v>
      </x:c>
      <x:c r="J13" s="40" t="n">
        <x:v>20</x:v>
      </x:c>
      <x:c r="K13" s="40" t="n">
        <x:v>18</x:v>
      </x:c>
      <x:c r="L13" s="40" t="n">
        <x:v>20</x:v>
      </x:c>
      <x:c r="M13" s="40" t="n">
        <x:v>0</x:v>
      </x:c>
      <x:c r="N13" s="40" t="n">
        <x:v>0</x:v>
      </x:c>
      <x:c r="O13" s="40" t="n">
        <x:v>3</x:v>
      </x:c>
      <x:c r="P13" s="40" t="str">
        <x:v>ADR-021, ADR-019, ADR-004, ADR-009, ADR-005, ADR-012, ADR-006, ADR-003</x:v>
      </x:c>
      <x:c r="Q13" s="40" t="str">
        <x:v>Only approved bundled sections ship; factual plans/reports may contribute only through canonical rules; reflections remain Extra Private and local-only; no spiritual-quality score exists.</x:v>
      </x:c>
      <x:c r="R13" s="40" t="str">
        <x:v>Pending product approval</x:v>
      </x:c>
      <x:c r="S13" s="40" t="str">
        <x:v>Not Started</x:v>
      </x:c>
    </x:row>
    <x:row r="14">
      <x:c r="A14" s="40" t="str">
        <x:v>VS-11</x:v>
      </x:c>
      <x:c r="B14" s="40" t="n">
        <x:v>11</x:v>
      </x:c>
      <x:c r="C14" s="40" t="str">
        <x:v>Wave 3 — Pathways and Life Administration</x:v>
      </x:c>
      <x:c r="D14" s="40" t="str">
        <x:v>Contacts and Follow-Ups</x:v>
      </x:c>
      <x:c r="E14" s="40" t="str">
        <x:v>A user can keep private contacts, record follow-up intent, and schedule local follow-up work without silently uploading imported contacts.</x:v>
      </x:c>
      <x:c r="F14" s="40" t="str">
        <x:v>L. Contacts and Follow-Ups</x:v>
      </x:c>
      <x:c r="G14" s="40" t="str">
        <x:v>VS-02, VS-03, VS-04</x:v>
      </x:c>
      <x:c r="H14" s="40" t="str">
        <x:v>Contacts tab; contact create/import/detail; follow-up create; linked Task/Event actions</x:v>
      </x:c>
      <x:c r="I14" s="40" t="str">
        <x:v>Contact; Contact Source; Follow-Up; Contact Upload Choice; Contact Link</x:v>
      </x:c>
      <x:c r="J14" s="40" t="n">
        <x:v>20</x:v>
      </x:c>
      <x:c r="K14" s="40" t="n">
        <x:v>16</x:v>
      </x:c>
      <x:c r="L14" s="40" t="n">
        <x:v>20</x:v>
      </x:c>
      <x:c r="M14" s="40" t="n">
        <x:v>0</x:v>
      </x:c>
      <x:c r="N14" s="40" t="n">
        <x:v>0</x:v>
      </x:c>
      <x:c r="O14" s="40" t="n">
        <x:v>3</x:v>
      </x:c>
      <x:c r="P14" s="40" t="str">
        <x:v>ADR-009, ADR-003, ADR-017, ADR-004, ADR-011, ADR-005, ADR-012, ADR-021, ADR-006</x:v>
      </x:c>
      <x:c r="Q14" s="40" t="str">
        <x:v>Contact ownership stays local-profile scoped; imported contacts require explicit upload choice; follow-ups remain distinct from contact records and domain outcomes.</x:v>
      </x:c>
      <x:c r="R14" s="40" t="str">
        <x:v>Pending product approval</x:v>
      </x:c>
      <x:c r="S14" s="40" t="str">
        <x:v>Not Started</x:v>
      </x:c>
    </x:row>
    <x:row r="15">
      <x:c r="A15" s="40" t="str">
        <x:v>VS-12</x:v>
      </x:c>
      <x:c r="B15" s="40" t="n">
        <x:v>12</x:v>
      </x:c>
      <x:c r="C15" s="40" t="str">
        <x:v>Wave 3 — Pathways and Life Administration</x:v>
      </x:c>
      <x:c r="D15" s="40" t="str">
        <x:v>Employment Applications</x:v>
      </x:c>
      <x:c r="E15" s="40" t="str">
        <x:v>A user can track an employment opportunity through the approved application lifecycle, preserve evidence, and create related planning work without false success claims.</x:v>
      </x:c>
      <x:c r="F15" s="40" t="str">
        <x:v>M. Employment Applications</x:v>
      </x:c>
      <x:c r="G15" s="40" t="str">
        <x:v>VS-03, VS-04, VS-09</x:v>
      </x:c>
      <x:c r="H15" s="40" t="str">
        <x:v>Pathways &gt; Employment; application list/detail; stage update; interview and offer planning</x:v>
      </x:c>
      <x:c r="I15" s="40" t="str">
        <x:v>Employment Application; Employer; Application Cycle; Stage History; Submission Evidence</x:v>
      </x:c>
      <x:c r="J15" s="40" t="n">
        <x:v>20</x:v>
      </x:c>
      <x:c r="K15" s="40" t="n">
        <x:v>15</x:v>
      </x:c>
      <x:c r="L15" s="40" t="n">
        <x:v>20</x:v>
      </x:c>
      <x:c r="M15" s="40" t="n">
        <x:v>0</x:v>
      </x:c>
      <x:c r="N15" s="40" t="n">
        <x:v>0</x:v>
      </x:c>
      <x:c r="O15" s="40" t="n">
        <x:v>3</x:v>
      </x:c>
      <x:c r="P15" s="40" t="str">
        <x:v>ADR-009, ADR-012, ADR-005, ADR-011, ADR-017, ADR-006, ADR-019</x:v>
      </x:c>
      <x:c r="Q15" s="40" t="str">
        <x:v>Approved lifecycle and terminal outcomes are enforced; reapplication creates a new cycle; private evidence remains protected; stage changes do not create Actual by themselves.</x:v>
      </x:c>
      <x:c r="R15" s="40" t="str">
        <x:v>Pending product approval</x:v>
      </x:c>
      <x:c r="S15" s="40" t="str">
        <x:v>Not Started</x:v>
      </x:c>
    </x:row>
    <x:row r="16">
      <x:c r="A16" s="40" t="str">
        <x:v>VS-13</x:v>
      </x:c>
      <x:c r="B16" s="40" t="n">
        <x:v>13</x:v>
      </x:c>
      <x:c r="C16" s="40" t="str">
        <x:v>Wave 3 — Pathways and Life Administration</x:v>
      </x:c>
      <x:c r="D16" s="40" t="str">
        <x:v>Education Planning</x:v>
      </x:c>
      <x:c r="E16" s="40" t="str">
        <x:v>A user can compare and track education options and application stages using verified Philippines-relevant content plus custom options.</x:v>
      </x:c>
      <x:c r="F16" s="40" t="str">
        <x:v>N. Education Planning</x:v>
      </x:c>
      <x:c r="G16" s="40" t="str">
        <x:v>VS-03, VS-04, VS-09</x:v>
      </x:c>
      <x:c r="H16" s="40" t="str">
        <x:v>Pathways &gt; Education; bundled option list; education plan/detail; stage and requirement tracking</x:v>
      </x:c>
      <x:c r="I16" s="40" t="str">
        <x:v>Education Option; Education Application; Requirement; Stage History; Official Source Metadata</x:v>
      </x:c>
      <x:c r="J16" s="40" t="n">
        <x:v>20</x:v>
      </x:c>
      <x:c r="K16" s="40" t="n">
        <x:v>14</x:v>
      </x:c>
      <x:c r="L16" s="40" t="n">
        <x:v>20</x:v>
      </x:c>
      <x:c r="M16" s="40" t="n">
        <x:v>0</x:v>
      </x:c>
      <x:c r="N16" s="40" t="n">
        <x:v>0</x:v>
      </x:c>
      <x:c r="O16" s="40" t="n">
        <x:v>3</x:v>
      </x:c>
      <x:c r="P16" s="40" t="str">
        <x:v>ADR-019, ADR-004, ADR-009, ADR-011, ADR-017, ADR-006, ADR-023</x:v>
      </x:c>
      <x:c r="Q16" s="40" t="str">
        <x:v>Approved education stages are enforced; bundled entries include BYU-Pathway Worldwide, BYU-Hawaii, My Plan, and Custom; official-source metadata is preserved.</x:v>
      </x:c>
      <x:c r="R16" s="40" t="str">
        <x:v>Pending product approval</x:v>
      </x:c>
      <x:c r="S16" s="40" t="str">
        <x:v>Not Started</x:v>
      </x:c>
    </x:row>
    <x:row r="17">
      <x:c r="A17" s="40" t="str">
        <x:v>VS-14</x:v>
      </x:c>
      <x:c r="B17" s="40" t="n">
        <x:v>14</x:v>
      </x:c>
      <x:c r="C17" s="40" t="str">
        <x:v>Wave 3 — Pathways and Life Administration</x:v>
      </x:c>
      <x:c r="D17" s="40" t="str">
        <x:v>Government Document Requirements</x:v>
      </x:c>
      <x:c r="E17" s="40" t="str">
        <x:v>A user can track common Philippine government-document requirements, dates, masked references, and renewal tasks without storing unsafe secrets or claiming official verification.</x:v>
      </x:c>
      <x:c r="F17" s="40" t="str">
        <x:v>O. Government Document Requirements</x:v>
      </x:c>
      <x:c r="G17" s="40" t="str">
        <x:v>VS-02, VS-03, VS-04, VS-09</x:v>
      </x:c>
      <x:c r="H17" s="40" t="str">
        <x:v>Pathways &gt; Documents; template chooser; requirement detail; renewal Task/Event action</x:v>
      </x:c>
      <x:c r="I17" s="40" t="str">
        <x:v>Government Requirement; Requirement Template; Document Reference; Verification Metadata; Renewal Schedule</x:v>
      </x:c>
      <x:c r="J17" s="40" t="n">
        <x:v>20</x:v>
      </x:c>
      <x:c r="K17" s="40" t="n">
        <x:v>16</x:v>
      </x:c>
      <x:c r="L17" s="40" t="n">
        <x:v>20</x:v>
      </x:c>
      <x:c r="M17" s="40" t="n">
        <x:v>0</x:v>
      </x:c>
      <x:c r="N17" s="40" t="n">
        <x:v>0</x:v>
      </x:c>
      <x:c r="O17" s="40" t="n">
        <x:v>4</x:v>
      </x:c>
      <x:c r="P17" s="40" t="str">
        <x:v>ADR-019, ADR-004, ADR-011, ADR-017, ADR-006, ADR-009</x:v>
      </x:c>
      <x:c r="Q17" s="40" t="str">
        <x:v>Approved templates and Custom Requirement are available; sensitive references are masked and optional; status remains user-reported unless a confirmed source exists.</x:v>
      </x:c>
      <x:c r="R17" s="40" t="str">
        <x:v>Pending product approval</x:v>
      </x:c>
      <x:c r="S17" s="40" t="str">
        <x:v>Not Started</x:v>
      </x:c>
    </x:row>
    <x:row r="18">
      <x:c r="A18" s="40" t="str">
        <x:v>VS-15</x:v>
      </x:c>
      <x:c r="B18" s="40" t="n">
        <x:v>15</x:v>
      </x:c>
      <x:c r="C18" s="40" t="str">
        <x:v>Wave 3 — Pathways and Life Administration</x:v>
      </x:c>
      <x:c r="D18" s="40" t="str">
        <x:v>Maps and Locations</x:v>
      </x:c>
      <x:c r="E18" s="40" t="str">
        <x:v>A user can store optional non-required location data and deliberately hand off navigation or search to an external maps provider.</x:v>
      </x:c>
      <x:c r="F18" s="40" t="str">
        <x:v>P. Maps and Locations</x:v>
      </x:c>
      <x:c r="G18" s="40" t="str">
        <x:v>VS-02, VS-03, VS-04, VS-11, VS-12, VS-13, VS-14</x:v>
      </x:c>
      <x:c r="H18" s="40" t="str">
        <x:v>Location picker; record detail map action; external navigation/search handoff</x:v>
      </x:c>
      <x:c r="I18" s="40" t="str">
        <x:v>Location Reference; Optional Coordinates; External Maps Handoff</x:v>
      </x:c>
      <x:c r="J18" s="40" t="n">
        <x:v>15</x:v>
      </x:c>
      <x:c r="K18" s="40" t="n">
        <x:v>11</x:v>
      </x:c>
      <x:c r="L18" s="40" t="n">
        <x:v>13</x:v>
      </x:c>
      <x:c r="M18" s="40" t="n">
        <x:v>2</x:v>
      </x:c>
      <x:c r="N18" s="40" t="n">
        <x:v>0</x:v>
      </x:c>
      <x:c r="O18" s="40" t="n">
        <x:v>4</x:v>
      </x:c>
      <x:c r="P18" s="40" t="str">
        <x:v>ADR-021, ADR-024, ADR-001, ADR-009, ADR-006, ADR-005, ADR-011, ADR-012, ADR-023, ADR-019, ADR-007</x:v>
      </x:c>
      <x:c r="Q18" s="40" t="str">
        <x:v>No background location exists; coordinates are optional; external destination is disclosed; map handoff creates no completion, report, or Actual.</x:v>
      </x:c>
      <x:c r="R18" s="40" t="str">
        <x:v>Pending product approval</x:v>
      </x:c>
      <x:c r="S18" s="40" t="str">
        <x:v>Not Started</x:v>
      </x:c>
    </x:row>
    <x:row r="19">
      <x:c r="A19" s="40" t="str">
        <x:v>VS-16</x:v>
      </x:c>
      <x:c r="B19" s="40" t="n">
        <x:v>16</x:v>
      </x:c>
      <x:c r="C19" s="40" t="str">
        <x:v>Wave 4 — Device Services and Reliability</x:v>
      </x:c>
      <x:c r="D19" s="40" t="str">
        <x:v>Notifications and Background Work</x:v>
      </x:c>
      <x:c r="E19" s="40" t="str">
        <x:v>A user can receive privacy-safe reminders and rely on durable Android background recovery without background execution fabricating outcomes.</x:v>
      </x:c>
      <x:c r="F19" s="40" t="str">
        <x:v>Q. Notifications and Reminders, U. Notifications and Background Work</x:v>
      </x:c>
      <x:c r="G19" s="40" t="str">
        <x:v>VS-02, VS-03, VS-04, VS-08</x:v>
      </x:c>
      <x:c r="H19" s="40" t="str">
        <x:v>Reminder editor; notification action handling; More &gt; Notifications; background diagnostics status</x:v>
      </x:c>
      <x:c r="I19" s="40" t="str">
        <x:v>Reminder; Notification Preference; Background Work Request; Stable Job Identity; Diagnostic Event; Recovery Checkpoint</x:v>
      </x:c>
      <x:c r="J19" s="40" t="n">
        <x:v>36</x:v>
      </x:c>
      <x:c r="K19" s="40" t="n">
        <x:v>28</x:v>
      </x:c>
      <x:c r="L19" s="40" t="n">
        <x:v>36</x:v>
      </x:c>
      <x:c r="M19" s="40" t="n">
        <x:v>0</x:v>
      </x:c>
      <x:c r="N19" s="40" t="n">
        <x:v>0</x:v>
      </x:c>
      <x:c r="O19" s="40" t="n">
        <x:v>8</x:v>
      </x:c>
      <x:c r="P19" s="40" t="str">
        <x:v>ADR-021, ADR-022, ADR-002, ADR-005, ADR-011, ADR-009, ADR-018, ADR-010, ADR-006, ADR-013, ADR-003, ADR-023, ADR-016, ADR-019</x:v>
      </x:c>
      <x:c r="Q19" s="40" t="str">
        <x:v>Reminder permission is contextual; stable jobs are idempotent and reboot-safe; exact alarms and foreground services obey approved boundaries; delays never imply completion.</x:v>
      </x:c>
      <x:c r="R19" s="40" t="str">
        <x:v>Pending product approval</x:v>
      </x:c>
      <x:c r="S19" s="40" t="str">
        <x:v>Not Started</x:v>
      </x:c>
    </x:row>
    <x:row r="20">
      <x:c r="A20" s="40" t="str">
        <x:v>VS-17</x:v>
      </x:c>
      <x:c r="B20" s="40" t="n">
        <x:v>17</x:v>
      </x:c>
      <x:c r="C20" s="40" t="str">
        <x:v>Wave 4 — Device Services and Reliability</x:v>
      </x:c>
      <x:c r="D20" s="40" t="str">
        <x:v>BetterCalendar Import</x:v>
      </x:c>
      <x:c r="E20" s="40" t="str">
        <x:v>A user can preview and import a BetterCalendar v2.0 backup safely, deduplicate TASK records that appear in both arrays, and preserve unsupported data for review.</x:v>
      </x:c>
      <x:c r="F20" s="40" t="str">
        <x:v>R. BetterCalendar Import</x:v>
      </x:c>
      <x:c r="G20" s="40" t="str">
        <x:v>VS-02, VS-03, VS-04, VS-05, VS-11</x:v>
      </x:c>
      <x:c r="H20" s="40" t="str">
        <x:v>More &gt; Import and Export &gt; BetterCalendar; file picker; import preview; duplicate review; import summary</x:v>
      </x:c>
      <x:c r="I20" s="40" t="str">
        <x:v>Import Batch; Raw Source File Reference; Import Preview Item; Source Mapping; Unsupported Field Manifest; Recovery Checkpoint</x:v>
      </x:c>
      <x:c r="J20" s="40" t="n">
        <x:v>20</x:v>
      </x:c>
      <x:c r="K20" s="40" t="n">
        <x:v>15</x:v>
      </x:c>
      <x:c r="L20" s="40" t="n">
        <x:v>20</x:v>
      </x:c>
      <x:c r="M20" s="40" t="n">
        <x:v>0</x:v>
      </x:c>
      <x:c r="N20" s="40" t="n">
        <x:v>0</x:v>
      </x:c>
      <x:c r="O20" s="40" t="n">
        <x:v>5</x:v>
      </x:c>
      <x:c r="P20" s="40" t="str">
        <x:v>ADR-014, ADR-017, ADR-002, ADR-004, ADR-005, ADR-012, ADR-011, ADR-023, ADR-009, ADR-013, ADR-006</x:v>
      </x:c>
      <x:c r="Q20" s="40" t="str">
        <x:v>Raw source files remain local; Tasks duplicated across tasks/events import once by stable identity; imports create no outcomes or Actual; partial failure is resumable and reviewable.</x:v>
      </x:c>
      <x:c r="R20" s="40" t="str">
        <x:v>Pending product approval</x:v>
      </x:c>
      <x:c r="S20" s="40" t="str">
        <x:v>Not Started</x:v>
      </x:c>
    </x:row>
    <x:row r="21">
      <x:c r="A21" s="40" t="str">
        <x:v>VS-18</x:v>
      </x:c>
      <x:c r="B21" s="40" t="n">
        <x:v>18</x:v>
      </x:c>
      <x:c r="C21" s="40" t="str">
        <x:v>Wave 4 — Device Services and Reliability</x:v>
      </x:c>
      <x:c r="D21" s="40" t="str">
        <x:v>Backup, Export, and Restore</x:v>
      </x:c>
      <x:c r="E21" s="40" t="str">
        <x:v>A user can create a portable passphrase-protected .ntbackup, export selected data, preview restore impact, and recover without silent overwrite or token leakage.</x:v>
      </x:c>
      <x:c r="F21" s="40" t="str">
        <x:v>S. Backup, Export, and Restore</x:v>
      </x:c>
      <x:c r="G21" s="40" t="str">
        <x:v>VS-02, VS-03 through VS-17</x:v>
      </x:c>
      <x:c r="H21" s="40" t="str">
        <x:v>More &gt; Backup and Recovery; backup create; export selection; restore preview; recovery result</x:v>
      </x:c>
      <x:c r="I21" s="40" t="str">
        <x:v>Backup Manifest; Portable Backup; Restore Plan; Export Package; Recovery Checkpoint</x:v>
      </x:c>
      <x:c r="J21" s="40" t="n">
        <x:v>20</x:v>
      </x:c>
      <x:c r="K21" s="40" t="n">
        <x:v>19</x:v>
      </x:c>
      <x:c r="L21" s="40" t="n">
        <x:v>19</x:v>
      </x:c>
      <x:c r="M21" s="40" t="n">
        <x:v>1</x:v>
      </x:c>
      <x:c r="N21" s="40" t="n">
        <x:v>0</x:v>
      </x:c>
      <x:c r="O21" s="40" t="n">
        <x:v>5</x:v>
      </x:c>
      <x:c r="P21" s="40" t="str">
        <x:v>ADR-014, ADR-017, ADR-016, ADR-002, ADR-009, ADR-011, ADR-012, ADR-013, ADR-023, ADR-005, ADR-006, ADR-022, ADR-007</x:v>
      </x:c>
      <x:c r="Q21" s="40" t="str">
        <x:v>Portable backups use user-passphrase protection; tokens and raw import files are excluded; restore is previewed, validated, transactional, and recoverable.</x:v>
      </x:c>
      <x:c r="R21" s="40" t="str">
        <x:v>Pending product approval</x:v>
      </x:c>
      <x:c r="S21" s="40" t="str">
        <x:v>Not Started</x:v>
      </x:c>
    </x:row>
    <x:row r="22">
      <x:c r="A22" s="40" t="str">
        <x:v>VS-19</x:v>
      </x:c>
      <x:c r="B22" s="40" t="n">
        <x:v>19</x:v>
      </x:c>
      <x:c r="C22" s="40" t="str">
        <x:v>Wave 4 — Device Services and Reliability</x:v>
      </x:c>
      <x:c r="D22" s="40" t="str">
        <x:v>Account, Synchronization, and More Center</x:v>
      </x:c>
      <x:c r="E22" s="40" t="str">
        <x:v>A guest can optionally link an account, synchronize approved records through a local-first outbox, review factual sync state, and manage all canonical settings from More.</x:v>
      </x:c>
      <x:c r="F22" s="40" t="str">
        <x:v>T. Account and Synchronization, X. Settings, Account and Sync Center, and More Screen</x:v>
      </x:c>
      <x:c r="G22" s="40" t="str">
        <x:v>VS-01 through VS-18</x:v>
      </x:c>
      <x:c r="H22" s="40" t="str">
        <x:v>More tab; Account and Sync; Sync Center; conflicts; local-only review; sign-out and deletion flows</x:v>
      </x:c>
      <x:c r="I22" s="40" t="str">
        <x:v>Account Link; Sync Outbox Operation; Conflict Record; Sync State; Connected Device Metadata; Device Preference; Synchronized Preference</x:v>
      </x:c>
      <x:c r="J22" s="40" t="n">
        <x:v>46</x:v>
      </x:c>
      <x:c r="K22" s="40" t="n">
        <x:v>35</x:v>
      </x:c>
      <x:c r="L22" s="40" t="n">
        <x:v>45</x:v>
      </x:c>
      <x:c r="M22" s="40" t="n">
        <x:v>1</x:v>
      </x:c>
      <x:c r="N22" s="40" t="n">
        <x:v>0</x:v>
      </x:c>
      <x:c r="O22" s="40" t="n">
        <x:v>11</x:v>
      </x:c>
      <x:c r="P22" s="40" t="str">
        <x:v>ADR-016, ADR-018, ADR-002, ADR-009, ADR-012, ADR-006, ADR-013, ADR-015, ADR-023, ADR-011, ADR-003, ADR-021, ADR-007, ADR-024, ADR-025, ADR-017, ADR-022, ADR-019</x:v>
      </x:c>
      <x:c r="Q22" s="40" t="str">
        <x:v>Guest use remains complete; outbox retries are idempotent; RLS/profile ownership is enforced; sign-out and sync pause preserve local work; cloud sync, backup, account deletion, and local deletion remain distinct.</x:v>
      </x:c>
      <x:c r="R22" s="40" t="str">
        <x:v>Pending product approval</x:v>
      </x:c>
      <x:c r="S22" s="40" t="str">
        <x:v>Not Started</x:v>
      </x:c>
    </x:row>
    <x:row r="23">
      <x:c r="A23" s="40" t="str">
        <x:v>VS-20</x:v>
      </x:c>
      <x:c r="B23" s="40" t="n">
        <x:v>20</x:v>
      </x:c>
      <x:c r="C23" s="40" t="str">
        <x:v>Wave 4 — Device Services and Reliability</x:v>
      </x:c>
      <x:c r="D23" s="40" t="str">
        <x:v>Device-Calendar Manual Transfer</x:v>
      </x:c>
      <x:c r="E23" s="40" t="str">
        <x:v>A user can manually preview, import, or export selected Calendar Events while Next Transfer remains authoritative and external identities remain mapping metadata.</x:v>
      </x:c>
      <x:c r="F23" s="40" t="str">
        <x:v>V. Device-Calendar Manual Import and Export</x:v>
      </x:c>
      <x:c r="G23" s="40" t="str">
        <x:v>VS-02, VS-04, VS-06, VS-16, VS-19</x:v>
      </x:c>
      <x:c r="H23" s="40" t="str">
        <x:v>More &gt; Notifications and Calendar &gt; Manual Transfer; Planner import; Event detail export</x:v>
      </x:c>
      <x:c r="I23" s="40" t="str">
        <x:v>External Calendar; External Event Mapping; Manual Calendar Transfer Batch; iCal UID; Provider Event ID</x:v>
      </x:c>
      <x:c r="J23" s="40" t="n">
        <x:v>20</x:v>
      </x:c>
      <x:c r="K23" s="40" t="n">
        <x:v>13</x:v>
      </x:c>
      <x:c r="L23" s="40" t="n">
        <x:v>19</x:v>
      </x:c>
      <x:c r="M23" s="40" t="n">
        <x:v>0</x:v>
      </x:c>
      <x:c r="N23" s="40" t="n">
        <x:v>1</x:v>
      </x:c>
      <x:c r="O23" s="40" t="n">
        <x:v>5</x:v>
      </x:c>
      <x:c r="P23" s="40" t="str">
        <x:v>ADR-021, ADR-022, ADR-009, ADR-005, ADR-007</x:v>
      </x:c>
      <x:c r="Q23" s="40" t="str">
        <x:v>Calendar permission is contextual; import/export is previewed; internal UUIDs remain primary; mappings prevent duplicates; deletion never cascades; sensitive fields are excluded by default.</x:v>
      </x:c>
      <x:c r="R23" s="40" t="str">
        <x:v>Pending product approval</x:v>
      </x:c>
      <x:c r="S23" s="40" t="str">
        <x:v>Not Started</x:v>
      </x:c>
    </x:row>
  </x:sheetData>
  <x:mergeCells>
    <x:mergeCell ref="A1:S1"/>
  </x:mergeCells>
  <x:conditionalFormatting sqref="R4:R23">
    <x:cfRule type="expression" dxfId="23" priority="1">
      <x:formula>R4="Approved"</x:formula>
    </x:cfRule>
    <x:cfRule type="expression" dxfId="24" priority="2">
      <x:formula>R4="Needs Revision"</x:formula>
    </x:cfRule>
  </x:conditionalFormatting>
  <x:dataValidations count="2">
    <x:dataValidation type="list" sqref="R4:R23">
      <x:formula1>"Pending product approval,Approved,Needs Revision"</x:formula1>
    </x:dataValidation>
    <x:dataValidation type="list" sqref="S4:S23">
      <x:formula1>"Not Started,In Progress,Blocked,Ready for Review,Complete"</x:formula1>
    </x:dataValidation>
  </x:dataValidations>
  <x:pageMargins left="0.7" right="0.7" top="0.75" bottom="0.75" header="0.3" footer="0.3"/>
  <x:tableParts count="1">
    <x:tablePart xmlns:r="http://schemas.openxmlformats.org/officeDocument/2006/relationships" r:id="Rf48590b2c900472b"/>
  </x:tableParts>
</x:worksheet>
</file>

<file path=xl/worksheets/sheet22.xml><?xml version="1.0" encoding="utf-8"?>
<x:worksheet xmlns:x="http://schemas.openxmlformats.org/spreadsheetml/2006/main">
  <x:sheetFormatPr defaultRowHeight="15"/>
  <x:cols>
    <x:col min="1" max="1" width="10" hidden="0" customWidth="1"/>
    <x:col min="2" max="2" width="9" hidden="0" customWidth="1"/>
    <x:col min="3" max="3" width="22" hidden="0" customWidth="1"/>
    <x:col min="4" max="4" width="34" hidden="0" customWidth="1"/>
    <x:col min="5" max="5" width="14" hidden="0" customWidth="1"/>
    <x:col min="6" max="6" width="48" hidden="0" customWidth="1"/>
    <x:col min="7" max="7" width="24" hidden="0" customWidth="1"/>
    <x:col min="8" max="8" width="55" hidden="0" customWidth="1"/>
    <x:col min="9" max="9" width="18" hidden="0" customWidth="1"/>
    <x:col min="10" max="10" width="13" hidden="0" customWidth="1"/>
    <x:col min="11" max="11" width="10" hidden="0" customWidth="1"/>
    <x:col min="12" max="12" width="26" hidden="0" customWidth="1"/>
    <x:col min="13" max="13" width="22" hidden="0" customWidth="1"/>
    <x:col min="14" max="14" width="60" hidden="0" customWidth="1"/>
    <x:col min="15" max="15" width="28" hidden="0" customWidth="1"/>
    <x:col min="16" max="16" width="18" hidden="0" customWidth="1"/>
    <x:col min="17" max="17" width="26" hidden="0" customWidth="1"/>
  </x:cols>
  <x:sheetData>
    <x:row r="1">
      <x:c r="A1" s="128" t="str">
        <x:v>Next Transfer - Functional Requirement to Vertical Slice Matrix</x:v>
      </x:c>
      <x:c r="B1" s="128"/>
      <x:c r="C1" s="128"/>
      <x:c r="D1" s="128"/>
      <x:c r="E1" s="128"/>
      <x:c r="F1" s="128"/>
      <x:c r="G1" s="128"/>
      <x:c r="H1" s="128"/>
      <x:c r="I1" s="128"/>
      <x:c r="J1" s="128"/>
      <x:c r="K1" s="128"/>
      <x:c r="L1" s="128"/>
      <x:c r="M1" s="128"/>
      <x:c r="N1" s="128"/>
      <x:c r="O1" s="128"/>
      <x:c r="P1" s="128"/>
      <x:c r="Q1" s="128"/>
    </x:row>
    <x:row r="3">
      <x:c r="A3" s="133" t="str">
        <x:v>Slice ID</x:v>
      </x:c>
      <x:c r="B3" s="133" t="str">
        <x:v>Sequence</x:v>
      </x:c>
      <x:c r="C3" s="133" t="str">
        <x:v>Wave</x:v>
      </x:c>
      <x:c r="D3" s="133" t="str">
        <x:v>Feature Group</x:v>
      </x:c>
      <x:c r="E3" s="133" t="str">
        <x:v>Requirement ID</x:v>
      </x:c>
      <x:c r="F3" s="133" t="str">
        <x:v>Requirement Summary</x:v>
      </x:c>
      <x:c r="G3" s="133" t="str">
        <x:v>Business Rule IDs</x:v>
      </x:c>
      <x:c r="H3" s="133" t="str">
        <x:v>Source ADRs</x:v>
      </x:c>
      <x:c r="I3" s="133" t="str">
        <x:v>Acceptance Criterion IDs</x:v>
      </x:c>
      <x:c r="J3" s="133" t="str">
        <x:v>Release Blocker</x:v>
      </x:c>
      <x:c r="K3" s="133" t="str">
        <x:v>Scope</x:v>
      </x:c>
      <x:c r="L3" s="133" t="str">
        <x:v>Verification Level</x:v>
      </x:c>
      <x:c r="M3" s="133" t="str">
        <x:v>Approved Decision IDs</x:v>
      </x:c>
      <x:c r="N3" s="133" t="str">
        <x:v>Approved Decision Constraints</x:v>
      </x:c>
      <x:c r="O3" s="133" t="str">
        <x:v>Slice Dependencies</x:v>
      </x:c>
      <x:c r="P3" s="133" t="str">
        <x:v>Implementation Status</x:v>
      </x:c>
      <x:c r="Q3" s="133" t="str">
        <x:v>Notes</x:v>
      </x:c>
    </x:row>
    <x:row r="4">
      <x:c r="A4" s="40" t="str">
        <x:v>VS-01</x:v>
      </x:c>
      <x:c r="B4" s="40" t="n">
        <x:v>1</x:v>
      </x:c>
      <x:c r="C4" s="40" t="str">
        <x:v>Wave 1 — Foundation</x:v>
      </x:c>
      <x:c r="D4" s="40" t="str">
        <x:v>A. App Startup and Guest Onboarding</x:v>
      </x:c>
      <x:c r="E4" s="40" t="str">
        <x:v>FR-A-001</x:v>
      </x:c>
      <x:c r="F4" s="40" t="str">
        <x:v>determine whether a usable Local Profile exists.</x:v>
      </x:c>
      <x:c r="G4" s="40" t="str">
        <x:v>BR-A-001, BR-A-004, BR-A-009</x:v>
      </x:c>
      <x:c r="H4" s="40" t="str">
        <x:v>ADR-006 — Local-First Operation with Background Synchronization; ADR-013 — Local Drift Database Architecture; ADR-002 — Guest-First Identity and Optional Accounts</x:v>
      </x:c>
      <x:c r="I4" s="40" t="str">
        <x:v>AC-A-001</x:v>
      </x:c>
      <x:c r="J4" s="40" t="str">
        <x:v>Yes</x:v>
      </x:c>
      <x:c r="K4" s="40" t="str">
        <x:v>V1</x:v>
      </x:c>
      <x:c r="L4" s="40" t="str">
        <x:v>Domain test</x:v>
      </x:c>
      <x:c r="M4" s="40" t="str">
        <x:v>OPD-1-001</x:v>
      </x:c>
      <x:c r="N4" s="40" t="str">
        <x:v>OPD-1-001: Allow an automatically generated local profile name; display name remains optional and editable.</x:v>
      </x:c>
      <x:c r="O4" s="40" t="str">
        <x:v>None</x:v>
      </x:c>
      <x:c r="P4" s="40" t="str">
        <x:v>Not Started</x:v>
      </x:c>
      <x:c r="Q4" s="40"/>
    </x:row>
    <x:row r="5">
      <x:c r="A5" s="40" t="str">
        <x:v>VS-01</x:v>
      </x:c>
      <x:c r="B5" s="40" t="n">
        <x:v>1</x:v>
      </x:c>
      <x:c r="C5" s="40" t="str">
        <x:v>Wave 1 — Foundation</x:v>
      </x:c>
      <x:c r="D5" s="40" t="str">
        <x:v>A. App Startup and Guest Onboarding</x:v>
      </x:c>
      <x:c r="E5" s="40" t="str">
        <x:v>FR-A-002</x:v>
      </x:c>
      <x:c r="F5" s="40" t="str">
        <x:v>provide a first-run guest path that does not require connectivity.</x:v>
      </x:c>
      <x:c r="G5" s="40" t="str">
        <x:v>BR-A-002, BR-A-009</x:v>
      </x:c>
      <x:c r="H5" s="40" t="str">
        <x:v>ADR-006 — Local-First Operation with Background Synchronization; ADR-013 — Local Drift Database Architecture; ADR-002 — Guest-First Identity and Optional Accounts</x:v>
      </x:c>
      <x:c r="I5" s="40" t="str">
        <x:v>AC-A-002</x:v>
      </x:c>
      <x:c r="J5" s="40" t="str">
        <x:v>Yes</x:v>
      </x:c>
      <x:c r="K5" s="40" t="str">
        <x:v>V1</x:v>
      </x:c>
      <x:c r="L5" s="40" t="str">
        <x:v>Domain test</x:v>
      </x:c>
      <x:c r="M5" s="40"/>
      <x:c r="N5" s="40"/>
      <x:c r="O5" s="40" t="str">
        <x:v>None</x:v>
      </x:c>
      <x:c r="P5" s="40" t="str">
        <x:v>Not Started</x:v>
      </x:c>
      <x:c r="Q5" s="40"/>
    </x:row>
    <x:row r="6">
      <x:c r="A6" s="40" t="str">
        <x:v>VS-01</x:v>
      </x:c>
      <x:c r="B6" s="40" t="n">
        <x:v>1</x:v>
      </x:c>
      <x:c r="C6" s="40" t="str">
        <x:v>Wave 1 — Foundation</x:v>
      </x:c>
      <x:c r="D6" s="40" t="str">
        <x:v>A. App Startup and Guest Onboarding</x:v>
      </x:c>
      <x:c r="E6" s="40" t="str">
        <x:v>FR-A-003</x:v>
      </x:c>
      <x:c r="F6" s="40" t="str">
        <x:v>present account creation or sign-in as optional.</x:v>
      </x:c>
      <x:c r="G6" s="40" t="str">
        <x:v>BR-A-001, BR-A-003</x:v>
      </x:c>
      <x:c r="H6" s="40" t="str">
        <x:v>ADR-006 — Local-First Operation with Background Synchronization; ADR-013 — Local Drift Database Architecture; ADR-002 — Guest-First Identity and Optional Accounts</x:v>
      </x:c>
      <x:c r="I6" s="40" t="str">
        <x:v>AC-A-003</x:v>
      </x:c>
      <x:c r="J6" s="40" t="str">
        <x:v>Yes</x:v>
      </x:c>
      <x:c r="K6" s="40" t="str">
        <x:v>V1</x:v>
      </x:c>
      <x:c r="L6" s="40" t="str">
        <x:v>Domain test</x:v>
      </x:c>
      <x:c r="M6" s="40"/>
      <x:c r="N6" s="40"/>
      <x:c r="O6" s="40" t="str">
        <x:v>None</x:v>
      </x:c>
      <x:c r="P6" s="40" t="str">
        <x:v>Not Started</x:v>
      </x:c>
      <x:c r="Q6" s="40"/>
    </x:row>
    <x:row r="7">
      <x:c r="A7" s="40" t="str">
        <x:v>VS-01</x:v>
      </x:c>
      <x:c r="B7" s="40" t="n">
        <x:v>1</x:v>
      </x:c>
      <x:c r="C7" s="40" t="str">
        <x:v>Wave 1 — Foundation</x:v>
      </x:c>
      <x:c r="D7" s="40" t="str">
        <x:v>A. App Startup and Guest Onboarding</x:v>
      </x:c>
      <x:c r="E7" s="40" t="str">
        <x:v>FR-A-004</x:v>
      </x:c>
      <x:c r="F7" s="40" t="str">
        <x:v>explain the difference between local-only use and optional synchronization.</x:v>
      </x:c>
      <x:c r="G7" s="40" t="str">
        <x:v>BR-A-001, BR-A-004, BR-A-009</x:v>
      </x:c>
      <x:c r="H7" s="40" t="str">
        <x:v>ADR-016 — Offline Outbox Synchronization and Conflict Resolution; ADR-006 — Local-First Operation with Background Synchronization; ADR-013 — Local Drift Database Architecture; ADR-002 — Guest-First Identity and Optional Accounts</x:v>
      </x:c>
      <x:c r="I7" s="40" t="str">
        <x:v>AC-A-004</x:v>
      </x:c>
      <x:c r="J7" s="40" t="str">
        <x:v>Yes</x:v>
      </x:c>
      <x:c r="K7" s="40" t="str">
        <x:v>V1</x:v>
      </x:c>
      <x:c r="L7" s="40" t="str">
        <x:v>Integration test</x:v>
      </x:c>
      <x:c r="M7" s="40" t="str">
        <x:v>OPD-1-001</x:v>
      </x:c>
      <x:c r="N7" s="40" t="str">
        <x:v>OPD-1-001: Allow an automatically generated local profile name; display name remains optional and editable.</x:v>
      </x:c>
      <x:c r="O7" s="40" t="str">
        <x:v>None</x:v>
      </x:c>
      <x:c r="P7" s="40" t="str">
        <x:v>Not Started</x:v>
      </x:c>
      <x:c r="Q7" s="40"/>
    </x:row>
    <x:row r="8">
      <x:c r="A8" s="40" t="str">
        <x:v>VS-01</x:v>
      </x:c>
      <x:c r="B8" s="40" t="n">
        <x:v>1</x:v>
      </x:c>
      <x:c r="C8" s="40" t="str">
        <x:v>Wave 1 — Foundation</x:v>
      </x:c>
      <x:c r="D8" s="40" t="str">
        <x:v>A. App Startup and Guest Onboarding</x:v>
      </x:c>
      <x:c r="E8" s="40" t="str">
        <x:v>FR-A-005</x:v>
      </x:c>
      <x:c r="F8" s="40" t="str">
        <x:v>initialize the six approved Life Indicators without creating Actual contributions.</x:v>
      </x:c>
      <x:c r="G8" s="40" t="str">
        <x:v>BR-A-005</x:v>
      </x:c>
      <x:c r="H8" s="40" t="str">
        <x:v>ADR-005 — Confirmed-Source Progress and Read-Only Actuals; ADR-012 — Activity Ledger and Contribution Engine; ADR-006 — Local-First Operation with Background Synchronization; ADR-013 — Local Drift Database Architecture</x:v>
      </x:c>
      <x:c r="I8" s="40" t="str">
        <x:v>AC-A-005</x:v>
      </x:c>
      <x:c r="J8" s="40" t="str">
        <x:v>Yes</x:v>
      </x:c>
      <x:c r="K8" s="40" t="str">
        <x:v>V1</x:v>
      </x:c>
      <x:c r="L8" s="40" t="str">
        <x:v>Domain test</x:v>
      </x:c>
      <x:c r="M8" s="40"/>
      <x:c r="N8" s="40"/>
      <x:c r="O8" s="40" t="str">
        <x:v>None</x:v>
      </x:c>
      <x:c r="P8" s="40" t="str">
        <x:v>Not Started</x:v>
      </x:c>
      <x:c r="Q8" s="40"/>
    </x:row>
    <x:row r="9">
      <x:c r="A9" s="40" t="str">
        <x:v>VS-01</x:v>
      </x:c>
      <x:c r="B9" s="40" t="n">
        <x:v>1</x:v>
      </x:c>
      <x:c r="C9" s="40" t="str">
        <x:v>Wave 1 — Foundation</x:v>
      </x:c>
      <x:c r="D9" s="40" t="str">
        <x:v>A. App Startup and Guest Onboarding</x:v>
      </x:c>
      <x:c r="E9" s="40" t="str">
        <x:v>FR-A-006</x:v>
      </x:c>
      <x:c r="F9" s="40" t="str">
        <x:v>open local Drift state before waiting for Supabase.</x:v>
      </x:c>
      <x:c r="G9" s="40" t="str">
        <x:v>BR-A-003, BR-A-007, BR-A-009</x:v>
      </x:c>
      <x:c r="H9" s="40" t="str">
        <x:v>ADR-015 — Supabase PostgreSQL Schema and Row Level Security; ADR-006 — Local-First Operation with Background Synchronization; ADR-013 — Local Drift Database Architecture; ADR-002 — Guest-First Identity and Optional Accounts</x:v>
      </x:c>
      <x:c r="I9" s="40" t="str">
        <x:v>AC-A-006</x:v>
      </x:c>
      <x:c r="J9" s="40" t="str">
        <x:v>Yes</x:v>
      </x:c>
      <x:c r="K9" s="40" t="str">
        <x:v>V1</x:v>
      </x:c>
      <x:c r="L9" s="40" t="str">
        <x:v>Database test / RLS test</x:v>
      </x:c>
      <x:c r="M9" s="40"/>
      <x:c r="N9" s="40"/>
      <x:c r="O9" s="40" t="str">
        <x:v>None</x:v>
      </x:c>
      <x:c r="P9" s="40" t="str">
        <x:v>Not Started</x:v>
      </x:c>
      <x:c r="Q9" s="40"/>
    </x:row>
    <x:row r="10">
      <x:c r="A10" s="40" t="str">
        <x:v>VS-01</x:v>
      </x:c>
      <x:c r="B10" s="40" t="n">
        <x:v>1</x:v>
      </x:c>
      <x:c r="C10" s="40" t="str">
        <x:v>Wave 1 — Foundation</x:v>
      </x:c>
      <x:c r="D10" s="40" t="str">
        <x:v>A. App Startup and Guest Onboarding</x:v>
      </x:c>
      <x:c r="E10" s="40" t="str">
        <x:v>FR-A-007</x:v>
      </x:c>
      <x:c r="F10" s="40" t="str">
        <x:v>support returning guest and returning signed-in startup.</x:v>
      </x:c>
      <x:c r="G10" s="40" t="str">
        <x:v>BR-A-002</x:v>
      </x:c>
      <x:c r="H10" s="40" t="str">
        <x:v>ADR-006 — Local-First Operation with Background Synchronization; ADR-013 — Local Drift Database Architecture; ADR-002 — Guest-First Identity and Optional Accounts</x:v>
      </x:c>
      <x:c r="I10" s="40" t="str">
        <x:v>AC-A-007</x:v>
      </x:c>
      <x:c r="J10" s="40" t="str">
        <x:v>Yes</x:v>
      </x:c>
      <x:c r="K10" s="40" t="str">
        <x:v>V1</x:v>
      </x:c>
      <x:c r="L10" s="40" t="str">
        <x:v>Domain test</x:v>
      </x:c>
      <x:c r="M10" s="40"/>
      <x:c r="N10" s="40"/>
      <x:c r="O10" s="40" t="str">
        <x:v>None</x:v>
      </x:c>
      <x:c r="P10" s="40" t="str">
        <x:v>Not Started</x:v>
      </x:c>
      <x:c r="Q10" s="40"/>
    </x:row>
    <x:row r="11">
      <x:c r="A11" s="40" t="str">
        <x:v>VS-01</x:v>
      </x:c>
      <x:c r="B11" s="40" t="n">
        <x:v>1</x:v>
      </x:c>
      <x:c r="C11" s="40" t="str">
        <x:v>Wave 1 — Foundation</x:v>
      </x:c>
      <x:c r="D11" s="40" t="str">
        <x:v>A. App Startup and Guest Onboarding</x:v>
      </x:c>
      <x:c r="E11" s="40" t="str">
        <x:v>FR-A-008</x:v>
      </x:c>
      <x:c r="F11" s="40" t="str">
        <x:v>protect content before privacy-lock authentication.</x:v>
      </x:c>
      <x:c r="G11" s="40" t="str">
        <x:v>BR-A-003, BR-A-007, BR-A-010</x:v>
      </x:c>
      <x:c r="H11" s="40" t="str">
        <x:v>ADR-021 — Security, Privacy, Permissions, and Sensitive Data; ADR-006 — Local-First Operation with Background Synchronization; ADR-013 — Local Drift Database Architecture; ADR-002 — Guest-First Identity and Optional Accounts</x:v>
      </x:c>
      <x:c r="I11" s="40" t="str">
        <x:v>AC-A-008</x:v>
      </x:c>
      <x:c r="J11" s="40" t="str">
        <x:v>Yes</x:v>
      </x:c>
      <x:c r="K11" s="40" t="str">
        <x:v>V1</x:v>
      </x:c>
      <x:c r="L11" s="40" t="str">
        <x:v>Domain test</x:v>
      </x:c>
      <x:c r="M11" s="40" t="str">
        <x:v>OPD-1-002, OPD-1-003</x:v>
      </x:c>
      <x:c r="N11" s="40" t="str">
        <x:v>OPD-1-002: Use OS biometric authentication when available and OS device credential as the V1 fallback. Do not implement or store a separate app PIN in V1. | OPD-1-003: Default to immediate relock after a genuine app-background transition. App-launched system authentication, permission, and scoped-picker flows must not create a relock loop. A configurable timeout is post-V1 and remains device-specific.</x:v>
      </x:c>
      <x:c r="O11" s="40" t="str">
        <x:v>None</x:v>
      </x:c>
      <x:c r="P11" s="40" t="str">
        <x:v>Not Started</x:v>
      </x:c>
      <x:c r="Q11" s="40"/>
    </x:row>
    <x:row r="12">
      <x:c r="A12" s="40" t="str">
        <x:v>VS-01</x:v>
      </x:c>
      <x:c r="B12" s="40" t="n">
        <x:v>1</x:v>
      </x:c>
      <x:c r="C12" s="40" t="str">
        <x:v>Wave 1 — Foundation</x:v>
      </x:c>
      <x:c r="D12" s="40" t="str">
        <x:v>A. App Startup and Guest Onboarding</x:v>
      </x:c>
      <x:c r="E12" s="40" t="str">
        <x:v>FR-A-009</x:v>
      </x:c>
      <x:c r="F12" s="40" t="str">
        <x:v>support recovery from an interrupted or failed migration.</x:v>
      </x:c>
      <x:c r="G12" s="40" t="str">
        <x:v>BR-A-008, BR-A-010</x:v>
      </x:c>
      <x:c r="H12" s="40" t="str">
        <x:v>ADR-006 — Local-First Operation with Background Synchronization; ADR-013 — Local Drift Database Architecture; ADR-002 — Guest-First Identity and Optional Accounts</x:v>
      </x:c>
      <x:c r="I12" s="40" t="str">
        <x:v>AC-A-009</x:v>
      </x:c>
      <x:c r="J12" s="40" t="str">
        <x:v>No</x:v>
      </x:c>
      <x:c r="K12" s="40" t="str">
        <x:v>V1</x:v>
      </x:c>
      <x:c r="L12" s="40" t="str">
        <x:v>Integration test</x:v>
      </x:c>
      <x:c r="M12" s="40"/>
      <x:c r="N12" s="40"/>
      <x:c r="O12" s="40" t="str">
        <x:v>None</x:v>
      </x:c>
      <x:c r="P12" s="40" t="str">
        <x:v>Not Started</x:v>
      </x:c>
      <x:c r="Q12" s="40"/>
    </x:row>
    <x:row r="13">
      <x:c r="A13" s="40" t="str">
        <x:v>VS-01</x:v>
      </x:c>
      <x:c r="B13" s="40" t="n">
        <x:v>1</x:v>
      </x:c>
      <x:c r="C13" s="40" t="str">
        <x:v>Wave 1 — Foundation</x:v>
      </x:c>
      <x:c r="D13" s="40" t="str">
        <x:v>A. App Startup and Guest Onboarding</x:v>
      </x:c>
      <x:c r="E13" s="40" t="str">
        <x:v>FR-A-010</x:v>
      </x:c>
      <x:c r="F13" s="40" t="str">
        <x:v>not silently destroy or recreate local data following migration failure.</x:v>
      </x:c>
      <x:c r="G13" s="40" t="str">
        <x:v>BR-A-004, BR-A-008, BR-A-009</x:v>
      </x:c>
      <x:c r="H13" s="40" t="str">
        <x:v>ADR-006 — Local-First Operation with Background Synchronization; ADR-013 — Local Drift Database Architecture; ADR-002 — Guest-First Identity and Optional Accounts; ADR-023 — Testing, Observability, Diagnostics, and Quality Strategy</x:v>
      </x:c>
      <x:c r="I13" s="40" t="str">
        <x:v>AC-A-010</x:v>
      </x:c>
      <x:c r="J13" s="40" t="str">
        <x:v>Yes</x:v>
      </x:c>
      <x:c r="K13" s="40" t="str">
        <x:v>V1</x:v>
      </x:c>
      <x:c r="L13" s="40" t="str">
        <x:v>Domain test</x:v>
      </x:c>
      <x:c r="M13" s="40"/>
      <x:c r="N13" s="40"/>
      <x:c r="O13" s="40" t="str">
        <x:v>None</x:v>
      </x:c>
      <x:c r="P13" s="40" t="str">
        <x:v>Not Started</x:v>
      </x:c>
      <x:c r="Q13" s="40"/>
    </x:row>
    <x:row r="14">
      <x:c r="A14" s="40" t="str">
        <x:v>VS-01</x:v>
      </x:c>
      <x:c r="B14" s="40" t="n">
        <x:v>1</x:v>
      </x:c>
      <x:c r="C14" s="40" t="str">
        <x:v>Wave 1 — Foundation</x:v>
      </x:c>
      <x:c r="D14" s="40" t="str">
        <x:v>A. App Startup and Guest Onboarding</x:v>
      </x:c>
      <x:c r="E14" s="40" t="str">
        <x:v>FR-A-011</x:v>
      </x:c>
      <x:c r="F14" s="40" t="str">
        <x:v>display a clear distinction between local readiness, account state, and sync state.</x:v>
      </x:c>
      <x:c r="G14" s="40" t="str">
        <x:v>BR-A-001, BR-A-004, BR-A-009</x:v>
      </x:c>
      <x:c r="H14" s="40" t="str">
        <x:v>ADR-006 — Local-First Operation with Background Synchronization; ADR-013 — Local Drift Database Architecture; ADR-002 — Guest-First Identity and Optional Accounts</x:v>
      </x:c>
      <x:c r="I14" s="40" t="str">
        <x:v>AC-A-011</x:v>
      </x:c>
      <x:c r="J14" s="40" t="str">
        <x:v>No</x:v>
      </x:c>
      <x:c r="K14" s="40" t="str">
        <x:v>V1</x:v>
      </x:c>
      <x:c r="L14" s="40" t="str">
        <x:v>Widget test / Integration test</x:v>
      </x:c>
      <x:c r="M14" s="40" t="str">
        <x:v>OPD-1-001</x:v>
      </x:c>
      <x:c r="N14" s="40" t="str">
        <x:v>OPD-1-001: Allow an automatically generated local profile name; display name remains optional and editable.</x:v>
      </x:c>
      <x:c r="O14" s="40" t="str">
        <x:v>None</x:v>
      </x:c>
      <x:c r="P14" s="40" t="str">
        <x:v>Not Started</x:v>
      </x:c>
      <x:c r="Q14" s="40"/>
    </x:row>
    <x:row r="15">
      <x:c r="A15" s="40" t="str">
        <x:v>VS-01</x:v>
      </x:c>
      <x:c r="B15" s="40" t="n">
        <x:v>1</x:v>
      </x:c>
      <x:c r="C15" s="40" t="str">
        <x:v>Wave 1 — Foundation</x:v>
      </x:c>
      <x:c r="D15" s="40" t="str">
        <x:v>A. App Startup and Guest Onboarding</x:v>
      </x:c>
      <x:c r="E15" s="40" t="str">
        <x:v>FR-A-012</x:v>
      </x:c>
      <x:c r="F15" s="40" t="str">
        <x:v>allow local use when an account session expires.</x:v>
      </x:c>
      <x:c r="G15" s="40" t="str">
        <x:v>BR-A-001, BR-A-004, BR-A-009</x:v>
      </x:c>
      <x:c r="H15" s="40" t="str">
        <x:v>ADR-006 — Local-First Operation with Background Synchronization; ADR-013 — Local Drift Database Architecture; ADR-002 — Guest-First Identity and Optional Accounts</x:v>
      </x:c>
      <x:c r="I15" s="40" t="str">
        <x:v>AC-A-012</x:v>
      </x:c>
      <x:c r="J15" s="40" t="str">
        <x:v>No</x:v>
      </x:c>
      <x:c r="K15" s="40" t="str">
        <x:v>V1</x:v>
      </x:c>
      <x:c r="L15" s="40" t="str">
        <x:v>Domain test</x:v>
      </x:c>
      <x:c r="M15" s="40" t="str">
        <x:v>OPD-1-001</x:v>
      </x:c>
      <x:c r="N15" s="40" t="str">
        <x:v>OPD-1-001: Allow an automatically generated local profile name; display name remains optional and editable.</x:v>
      </x:c>
      <x:c r="O15" s="40" t="str">
        <x:v>None</x:v>
      </x:c>
      <x:c r="P15" s="40" t="str">
        <x:v>Not Started</x:v>
      </x:c>
      <x:c r="Q15" s="40"/>
    </x:row>
    <x:row r="16">
      <x:c r="A16" s="40" t="str">
        <x:v>VS-01</x:v>
      </x:c>
      <x:c r="B16" s="40" t="n">
        <x:v>1</x:v>
      </x:c>
      <x:c r="C16" s="40" t="str">
        <x:v>Wave 1 — Foundation</x:v>
      </x:c>
      <x:c r="D16" s="40" t="str">
        <x:v>A. App Startup and Guest Onboarding</x:v>
      </x:c>
      <x:c r="E16" s="40" t="str">
        <x:v>FR-A-013</x:v>
      </x:c>
      <x:c r="F16" s="40" t="str">
        <x:v>provide safe handling of invalid startup links.</x:v>
      </x:c>
      <x:c r="G16" s="40" t="str">
        <x:v>BR-A-010</x:v>
      </x:c>
      <x:c r="H16" s="40" t="str">
        <x:v>ADR-009 — Domain Ownership and Relationship Model; ADR-006 — Local-First Operation with Background Synchronization; ADR-013 — Local Drift Database Architecture; ADR-002 — Guest-First Identity and Optional Accounts</x:v>
      </x:c>
      <x:c r="I16" s="40" t="str">
        <x:v>AC-A-013</x:v>
      </x:c>
      <x:c r="J16" s="40" t="str">
        <x:v>No</x:v>
      </x:c>
      <x:c r="K16" s="40" t="str">
        <x:v>V1</x:v>
      </x:c>
      <x:c r="L16" s="40" t="str">
        <x:v>Domain test</x:v>
      </x:c>
      <x:c r="M16" s="40"/>
      <x:c r="N16" s="40"/>
      <x:c r="O16" s="40" t="str">
        <x:v>None</x:v>
      </x:c>
      <x:c r="P16" s="40" t="str">
        <x:v>Not Started</x:v>
      </x:c>
      <x:c r="Q16" s="40"/>
    </x:row>
    <x:row r="17">
      <x:c r="A17" s="40" t="str">
        <x:v>VS-01</x:v>
      </x:c>
      <x:c r="B17" s="40" t="n">
        <x:v>1</x:v>
      </x:c>
      <x:c r="C17" s="40" t="str">
        <x:v>Wave 1 — Foundation</x:v>
      </x:c>
      <x:c r="D17" s="40" t="str">
        <x:v>A. App Startup and Guest Onboarding</x:v>
      </x:c>
      <x:c r="E17" s="40" t="str">
        <x:v>FR-A-014</x:v>
      </x:c>
      <x:c r="F17" s="40" t="str">
        <x:v>preserve an interrupted onboarding state where safe.</x:v>
      </x:c>
      <x:c r="G17" s="40" t="str">
        <x:v>BR-A-005, BR-A-006, BR-A-010</x:v>
      </x:c>
      <x:c r="H17" s="40" t="str">
        <x:v>ADR-006 — Local-First Operation with Background Synchronization; ADR-013 — Local Drift Database Architecture; ADR-002 — Guest-First Identity and Optional Accounts</x:v>
      </x:c>
      <x:c r="I17" s="40" t="str">
        <x:v>AC-A-014</x:v>
      </x:c>
      <x:c r="J17" s="40" t="str">
        <x:v>Yes</x:v>
      </x:c>
      <x:c r="K17" s="40" t="str">
        <x:v>V1</x:v>
      </x:c>
      <x:c r="L17" s="40" t="str">
        <x:v>Domain test</x:v>
      </x:c>
      <x:c r="M17" s="40"/>
      <x:c r="N17" s="40"/>
      <x:c r="O17" s="40" t="str">
        <x:v>None</x:v>
      </x:c>
      <x:c r="P17" s="40" t="str">
        <x:v>Not Started</x:v>
      </x:c>
      <x:c r="Q17" s="40"/>
    </x:row>
    <x:row r="18">
      <x:c r="A18" s="40" t="str">
        <x:v>VS-01</x:v>
      </x:c>
      <x:c r="B18" s="40" t="n">
        <x:v>1</x:v>
      </x:c>
      <x:c r="C18" s="40" t="str">
        <x:v>Wave 1 — Foundation</x:v>
      </x:c>
      <x:c r="D18" s="40" t="str">
        <x:v>A. App Startup and Guest Onboarding</x:v>
      </x:c>
      <x:c r="E18" s="40" t="str">
        <x:v>FR-A-015</x:v>
      </x:c>
      <x:c r="F18" s="40" t="str">
        <x:v>show an actionable first-use Home state.</x:v>
      </x:c>
      <x:c r="G18" s="40" t="str">
        <x:v>BR-A-001</x:v>
      </x:c>
      <x:c r="H18" s="40" t="str">
        <x:v>ADR-006 — Local-First Operation with Background Synchronization; ADR-013 — Local Drift Database Architecture; ADR-002 — Guest-First Identity and Optional Accounts</x:v>
      </x:c>
      <x:c r="I18" s="40" t="str">
        <x:v>AC-A-015</x:v>
      </x:c>
      <x:c r="J18" s="40" t="str">
        <x:v>No</x:v>
      </x:c>
      <x:c r="K18" s="40" t="str">
        <x:v>V1</x:v>
      </x:c>
      <x:c r="L18" s="40" t="str">
        <x:v>Domain test</x:v>
      </x:c>
      <x:c r="M18" s="40"/>
      <x:c r="N18" s="40"/>
      <x:c r="O18" s="40" t="str">
        <x:v>None</x:v>
      </x:c>
      <x:c r="P18" s="40" t="str">
        <x:v>Not Started</x:v>
      </x:c>
      <x:c r="Q18" s="40"/>
    </x:row>
    <x:row r="19">
      <x:c r="A19" s="40" t="str">
        <x:v>VS-01</x:v>
      </x:c>
      <x:c r="B19" s="40" t="n">
        <x:v>1</x:v>
      </x:c>
      <x:c r="C19" s="40" t="str">
        <x:v>Wave 1 — Foundation</x:v>
      </x:c>
      <x:c r="D19" s="40" t="str">
        <x:v>A. App Startup and Guest Onboarding</x:v>
      </x:c>
      <x:c r="E19" s="40" t="str">
        <x:v>FR-A-016</x:v>
      </x:c>
      <x:c r="F19" s="40" t="str">
        <x:v>prevent duplicate Local Profiles from being created through repeated startup attempts.</x:v>
      </x:c>
      <x:c r="G19" s="40" t="str">
        <x:v>BR-A-002, BR-A-004, BR-A-009</x:v>
      </x:c>
      <x:c r="H19" s="40" t="str">
        <x:v>ADR-006 — Local-First Operation with Background Synchronization; ADR-013 — Local Drift Database Architecture; ADR-002 — Guest-First Identity and Optional Accounts</x:v>
      </x:c>
      <x:c r="I19" s="40" t="str">
        <x:v>AC-A-016</x:v>
      </x:c>
      <x:c r="J19" s="40" t="str">
        <x:v>Yes</x:v>
      </x:c>
      <x:c r="K19" s="40" t="str">
        <x:v>V1</x:v>
      </x:c>
      <x:c r="L19" s="40" t="str">
        <x:v>Domain test</x:v>
      </x:c>
      <x:c r="M19" s="40"/>
      <x:c r="N19" s="40"/>
      <x:c r="O19" s="40" t="str">
        <x:v>None</x:v>
      </x:c>
      <x:c r="P19" s="40" t="str">
        <x:v>Not Started</x:v>
      </x:c>
      <x:c r="Q19" s="40"/>
    </x:row>
    <x:row r="20">
      <x:c r="A20" s="40" t="str">
        <x:v>VS-01</x:v>
      </x:c>
      <x:c r="B20" s="40" t="n">
        <x:v>1</x:v>
      </x:c>
      <x:c r="C20" s="40" t="str">
        <x:v>Wave 1 — Foundation</x:v>
      </x:c>
      <x:c r="D20" s="40" t="str">
        <x:v>A. App Startup and Guest Onboarding</x:v>
      </x:c>
      <x:c r="E20" s="40" t="str">
        <x:v>FR-A-017</x:v>
      </x:c>
      <x:c r="F20" s="40" t="str">
        <x:v>not request unrelated Android permissions during onboarding.</x:v>
      </x:c>
      <x:c r="G20" s="40" t="str">
        <x:v>BR-A-005, BR-A-006, BR-A-010</x:v>
      </x:c>
      <x:c r="H20" s="40" t="str">
        <x:v>ADR-021 — Security, Privacy, Permissions, and Sensitive Data; ADR-006 — Local-First Operation with Background Synchronization; ADR-013 — Local Drift Database Architecture; ADR-002 — Guest-First Identity and Optional Accounts</x:v>
      </x:c>
      <x:c r="I20" s="40" t="str">
        <x:v>AC-A-017</x:v>
      </x:c>
      <x:c r="J20" s="40" t="str">
        <x:v>Yes</x:v>
      </x:c>
      <x:c r="K20" s="40" t="str">
        <x:v>V1</x:v>
      </x:c>
      <x:c r="L20" s="40" t="str">
        <x:v>Widget test</x:v>
      </x:c>
      <x:c r="M20" s="40" t="str">
        <x:v>OPD-1-004</x:v>
      </x:c>
      <x:c r="N20" s="40" t="str">
        <x:v>OPD-1-004: Optional during onboarding with a persistent Home prompt.</x:v>
      </x:c>
      <x:c r="O20" s="40" t="str">
        <x:v>None</x:v>
      </x:c>
      <x:c r="P20" s="40" t="str">
        <x:v>Not Started</x:v>
      </x:c>
      <x:c r="Q20" s="40"/>
    </x:row>
    <x:row r="21">
      <x:c r="A21" s="40" t="str">
        <x:v>VS-01</x:v>
      </x:c>
      <x:c r="B21" s="40" t="n">
        <x:v>1</x:v>
      </x:c>
      <x:c r="C21" s="40" t="str">
        <x:v>Wave 1 — Foundation</x:v>
      </x:c>
      <x:c r="D21" s="40" t="str">
        <x:v>A. App Startup and Guest Onboarding</x:v>
      </x:c>
      <x:c r="E21" s="40" t="str">
        <x:v>FR-A-018</x:v>
      </x:c>
      <x:c r="F21" s="40" t="str">
        <x:v>surface data-loss risk before any reset.</x:v>
      </x:c>
      <x:c r="G21" s="40" t="str">
        <x:v>BR-A-004, BR-A-007, BR-A-008</x:v>
      </x:c>
      <x:c r="H21" s="40" t="str">
        <x:v>ADR-006 — Local-First Operation with Background Synchronization; ADR-013 — Local Drift Database Architecture; ADR-002 — Guest-First Identity and Optional Accounts</x:v>
      </x:c>
      <x:c r="I21" s="40" t="str">
        <x:v>AC-A-018</x:v>
      </x:c>
      <x:c r="J21" s="40" t="str">
        <x:v>No</x:v>
      </x:c>
      <x:c r="K21" s="40" t="str">
        <x:v>V1</x:v>
      </x:c>
      <x:c r="L21" s="40" t="str">
        <x:v>Domain test</x:v>
      </x:c>
      <x:c r="M21" s="40"/>
      <x:c r="N21" s="40"/>
      <x:c r="O21" s="40" t="str">
        <x:v>None</x:v>
      </x:c>
      <x:c r="P21" s="40" t="str">
        <x:v>Not Started</x:v>
      </x:c>
      <x:c r="Q21" s="40"/>
    </x:row>
    <x:row r="22">
      <x:c r="A22" s="40" t="str">
        <x:v>VS-01</x:v>
      </x:c>
      <x:c r="B22" s="40" t="n">
        <x:v>1</x:v>
      </x:c>
      <x:c r="C22" s="40" t="str">
        <x:v>Wave 1 — Foundation</x:v>
      </x:c>
      <x:c r="D22" s="40" t="str">
        <x:v>A. App Startup and Guest Onboarding</x:v>
      </x:c>
      <x:c r="E22" s="40" t="str">
        <x:v>FR-A-019</x:v>
      </x:c>
      <x:c r="F22" s="40" t="str">
        <x:v>permit account setup later from the approved settings area.</x:v>
      </x:c>
      <x:c r="G22" s="40" t="str">
        <x:v>BR-A-001</x:v>
      </x:c>
      <x:c r="H22" s="40" t="str">
        <x:v>ADR-006 — Local-First Operation with Background Synchronization; ADR-013 — Local Drift Database Architecture; ADR-002 — Guest-First Identity and Optional Accounts</x:v>
      </x:c>
      <x:c r="I22" s="40" t="str">
        <x:v>AC-A-019</x:v>
      </x:c>
      <x:c r="J22" s="40" t="str">
        <x:v>No</x:v>
      </x:c>
      <x:c r="K22" s="40" t="str">
        <x:v>V1</x:v>
      </x:c>
      <x:c r="L22" s="40" t="str">
        <x:v>Domain test</x:v>
      </x:c>
      <x:c r="M22" s="40"/>
      <x:c r="N22" s="40"/>
      <x:c r="O22" s="40" t="str">
        <x:v>None</x:v>
      </x:c>
      <x:c r="P22" s="40" t="str">
        <x:v>Not Started</x:v>
      </x:c>
      <x:c r="Q22" s="40"/>
    </x:row>
    <x:row r="23">
      <x:c r="A23" s="40" t="str">
        <x:v>VS-01</x:v>
      </x:c>
      <x:c r="B23" s="40" t="n">
        <x:v>1</x:v>
      </x:c>
      <x:c r="C23" s="40" t="str">
        <x:v>Wave 1 — Foundation</x:v>
      </x:c>
      <x:c r="D23" s="40" t="str">
        <x:v>A. App Startup and Guest Onboarding</x:v>
      </x:c>
      <x:c r="E23" s="40" t="str">
        <x:v>FR-A-020</x:v>
      </x:c>
      <x:c r="F23" s="40" t="str">
        <x:v>keep optional remote initialization from blocking navigation.</x:v>
      </x:c>
      <x:c r="G23" s="40" t="str">
        <x:v>BR-A-001, BR-A-003, BR-A-004</x:v>
      </x:c>
      <x:c r="H23" s="40" t="str">
        <x:v>ADR-006 — Local-First Operation with Background Synchronization; ADR-013 — Local Drift Database Architecture; ADR-002 — Guest-First Identity and Optional Accounts</x:v>
      </x:c>
      <x:c r="I23" s="40" t="str">
        <x:v>AC-A-020</x:v>
      </x:c>
      <x:c r="J23" s="40" t="str">
        <x:v>Yes</x:v>
      </x:c>
      <x:c r="K23" s="40" t="str">
        <x:v>V1</x:v>
      </x:c>
      <x:c r="L23" s="40" t="str">
        <x:v>Domain test</x:v>
      </x:c>
      <x:c r="M23" s="40"/>
      <x:c r="N23" s="40"/>
      <x:c r="O23" s="40" t="str">
        <x:v>None</x:v>
      </x:c>
      <x:c r="P23" s="40" t="str">
        <x:v>Not Started</x:v>
      </x:c>
      <x:c r="Q23" s="40"/>
    </x:row>
    <x:row r="24">
      <x:c r="A24" s="40" t="str">
        <x:v>VS-07</x:v>
      </x:c>
      <x:c r="B24" s="40" t="n">
        <x:v>7</x:v>
      </x:c>
      <x:c r="C24" s="40" t="str">
        <x:v>Wave 2 — Core Planning Loop</x:v>
      </x:c>
      <x:c r="D24" s="40" t="str">
        <x:v>B. Home and Life Indicators</x:v>
      </x:c>
      <x:c r="E24" s="40" t="str">
        <x:v>FR-B-001</x:v>
      </x:c>
      <x:c r="F24" s="40" t="str">
        <x:v>display the active period and its date boundaries.</x:v>
      </x:c>
      <x:c r="G24" s="40" t="str">
        <x:v>BR-B-001</x:v>
      </x:c>
      <x:c r="H24" s="40" t="str">
        <x:v>ADR-005 — Confirmed-Source Progress and Read-Only Actuals; ADR-012 — Activity Ledger and Contribution Engine; ADR-010 — Weekly Planning Lifecycle</x:v>
      </x:c>
      <x:c r="I24" s="40" t="str">
        <x:v>AC-B-001</x:v>
      </x:c>
      <x:c r="J24" s="40" t="str">
        <x:v>Yes</x:v>
      </x:c>
      <x:c r="K24" s="40" t="str">
        <x:v>V1</x:v>
      </x:c>
      <x:c r="L24" s="40" t="str">
        <x:v>Widget test</x:v>
      </x:c>
      <x:c r="M24" s="40"/>
      <x:c r="N24" s="40"/>
      <x:c r="O24" s="40" t="str">
        <x:v>VS-06</x:v>
      </x:c>
      <x:c r="P24" s="40" t="str">
        <x:v>Not Started</x:v>
      </x:c>
      <x:c r="Q24" s="40"/>
    </x:row>
    <x:row r="25">
      <x:c r="A25" s="40" t="str">
        <x:v>VS-07</x:v>
      </x:c>
      <x:c r="B25" s="40" t="n">
        <x:v>7</x:v>
      </x:c>
      <x:c r="C25" s="40" t="str">
        <x:v>Wave 2 — Core Planning Loop</x:v>
      </x:c>
      <x:c r="D25" s="40" t="str">
        <x:v>B. Home and Life Indicators</x:v>
      </x:c>
      <x:c r="E25" s="40" t="str">
        <x:v>FR-B-002</x:v>
      </x:c>
      <x:c r="F25" s="40" t="str">
        <x:v>display all six approved initial Life Indicators.</x:v>
      </x:c>
      <x:c r="G25" s="40" t="str">
        <x:v>BR-B-009, BR-B-010</x:v>
      </x:c>
      <x:c r="H25" s="40" t="str">
        <x:v>ADR-005 — Confirmed-Source Progress and Read-Only Actuals; ADR-012 — Activity Ledger and Contribution Engine</x:v>
      </x:c>
      <x:c r="I25" s="40" t="str">
        <x:v>AC-B-002</x:v>
      </x:c>
      <x:c r="J25" s="40" t="str">
        <x:v>Yes</x:v>
      </x:c>
      <x:c r="K25" s="40" t="str">
        <x:v>V1</x:v>
      </x:c>
      <x:c r="L25" s="40" t="str">
        <x:v>Widget test</x:v>
      </x:c>
      <x:c r="M25" s="40" t="str">
        <x:v>OPD-1-008</x:v>
      </x:c>
      <x:c r="N25" s="40" t="str">
        <x:v>OPD-1-008: Use the fixed approved six-indicator order in V1.</x:v>
      </x:c>
      <x:c r="O25" s="40" t="str">
        <x:v>VS-06</x:v>
      </x:c>
      <x:c r="P25" s="40" t="str">
        <x:v>Not Started</x:v>
      </x:c>
      <x:c r="Q25" s="40"/>
    </x:row>
    <x:row r="26">
      <x:c r="A26" s="40" t="str">
        <x:v>VS-07</x:v>
      </x:c>
      <x:c r="B26" s="40" t="n">
        <x:v>7</x:v>
      </x:c>
      <x:c r="C26" s="40" t="str">
        <x:v>Wave 2 — Core Planning Loop</x:v>
      </x:c>
      <x:c r="D26" s="40" t="str">
        <x:v>B. Home and Life Indicators</x:v>
      </x:c>
      <x:c r="E26" s="40" t="str">
        <x:v>FR-B-003</x:v>
      </x:c>
      <x:c r="F26" s="40" t="str">
        <x:v>Each indicator shall display Actual, Target, and Scheduled Potential as separately labeled values.</x:v>
      </x:c>
      <x:c r="G26" s="40" t="str">
        <x:v>BR-B-001, BR-B-003, BR-B-008</x:v>
      </x:c>
      <x:c r="H26" s="40" t="str">
        <x:v>ADR-005 — Confirmed-Source Progress and Read-Only Actuals; ADR-012 — Activity Ledger and Contribution Engine</x:v>
      </x:c>
      <x:c r="I26" s="40" t="str">
        <x:v>AC-B-003</x:v>
      </x:c>
      <x:c r="J26" s="40" t="str">
        <x:v>Yes</x:v>
      </x:c>
      <x:c r="K26" s="40" t="str">
        <x:v>V1</x:v>
      </x:c>
      <x:c r="L26" s="40" t="str">
        <x:v>Domain test / Widget test</x:v>
      </x:c>
      <x:c r="M26" s="40" t="str">
        <x:v>OPD-1-007</x:v>
      </x:c>
      <x:c r="N26" s="40" t="str">
        <x:v>OPD-1-007: Omit Actual plus Scheduled Potential combined total in V1.</x:v>
      </x:c>
      <x:c r="O26" s="40" t="str">
        <x:v>VS-06</x:v>
      </x:c>
      <x:c r="P26" s="40" t="str">
        <x:v>Not Started</x:v>
      </x:c>
      <x:c r="Q26" s="40"/>
    </x:row>
    <x:row r="27">
      <x:c r="A27" s="40" t="str">
        <x:v>VS-07</x:v>
      </x:c>
      <x:c r="B27" s="40" t="n">
        <x:v>7</x:v>
      </x:c>
      <x:c r="C27" s="40" t="str">
        <x:v>Wave 2 — Core Planning Loop</x:v>
      </x:c>
      <x:c r="D27" s="40" t="str">
        <x:v>B. Home and Life Indicators</x:v>
      </x:c>
      <x:c r="E27" s="40" t="str">
        <x:v>FR-B-004</x:v>
      </x:c>
      <x:c r="F27" s="40" t="str">
        <x:v>derive Actual from local Activity Ledger-backed projections.</x:v>
      </x:c>
      <x:c r="G27" s="40" t="str">
        <x:v>BR-B-002, BR-B-004, BR-B-005</x:v>
      </x:c>
      <x:c r="H27" s="40" t="str">
        <x:v>ADR-005 — Confirmed-Source Progress and Read-Only Actuals; ADR-012 — Activity Ledger and Contribution Engine</x:v>
      </x:c>
      <x:c r="I27" s="40" t="str">
        <x:v>AC-B-004</x:v>
      </x:c>
      <x:c r="J27" s="40" t="str">
        <x:v>Yes</x:v>
      </x:c>
      <x:c r="K27" s="40" t="str">
        <x:v>V1</x:v>
      </x:c>
      <x:c r="L27" s="40" t="str">
        <x:v>Domain test / Database test</x:v>
      </x:c>
      <x:c r="M27" s="40"/>
      <x:c r="N27" s="40"/>
      <x:c r="O27" s="40" t="str">
        <x:v>VS-06</x:v>
      </x:c>
      <x:c r="P27" s="40" t="str">
        <x:v>Not Started</x:v>
      </x:c>
      <x:c r="Q27" s="40"/>
    </x:row>
    <x:row r="28">
      <x:c r="A28" s="40" t="str">
        <x:v>VS-07</x:v>
      </x:c>
      <x:c r="B28" s="40" t="n">
        <x:v>7</x:v>
      </x:c>
      <x:c r="C28" s="40" t="str">
        <x:v>Wave 2 — Core Planning Loop</x:v>
      </x:c>
      <x:c r="D28" s="40" t="str">
        <x:v>B. Home and Life Indicators</x:v>
      </x:c>
      <x:c r="E28" s="40" t="str">
        <x:v>FR-B-005</x:v>
      </x:c>
      <x:c r="F28" s="40" t="str">
        <x:v>provide access to each indicator’s contribution history.</x:v>
      </x:c>
      <x:c r="G28" s="40" t="str">
        <x:v>BR-B-005, BR-B-006, BR-B-007</x:v>
      </x:c>
      <x:c r="H28" s="40" t="str">
        <x:v>ADR-005 — Confirmed-Source Progress and Read-Only Actuals; ADR-012 — Activity Ledger and Contribution Engine</x:v>
      </x:c>
      <x:c r="I28" s="40" t="str">
        <x:v>AC-B-005</x:v>
      </x:c>
      <x:c r="J28" s="40" t="str">
        <x:v>Yes</x:v>
      </x:c>
      <x:c r="K28" s="40" t="str">
        <x:v>V1</x:v>
      </x:c>
      <x:c r="L28" s="40" t="str">
        <x:v>Domain test</x:v>
      </x:c>
      <x:c r="M28" s="40" t="str">
        <x:v>OPD-1-006</x:v>
      </x:c>
      <x:c r="N28" s="40" t="str">
        <x:v>OPD-1-006: Current week only on Home in V1; history through indicator detail.</x:v>
      </x:c>
      <x:c r="O28" s="40" t="str">
        <x:v>VS-06</x:v>
      </x:c>
      <x:c r="P28" s="40" t="str">
        <x:v>Not Started</x:v>
      </x:c>
      <x:c r="Q28" s="40"/>
    </x:row>
    <x:row r="29">
      <x:c r="A29" s="40" t="str">
        <x:v>VS-07</x:v>
      </x:c>
      <x:c r="B29" s="40" t="n">
        <x:v>7</x:v>
      </x:c>
      <x:c r="C29" s="40" t="str">
        <x:v>Wave 2 — Core Planning Loop</x:v>
      </x:c>
      <x:c r="D29" s="40" t="str">
        <x:v>B. Home and Life Indicators</x:v>
      </x:c>
      <x:c r="E29" s="40" t="str">
        <x:v>FR-B-006</x:v>
      </x:c>
      <x:c r="F29" s="40" t="str">
        <x:v>provide access to the sources of Scheduled Potential.</x:v>
      </x:c>
      <x:c r="G29" s="40" t="str">
        <x:v>BR-B-001, BR-B-003, BR-B-008</x:v>
      </x:c>
      <x:c r="H29" s="40" t="str">
        <x:v>ADR-005 — Confirmed-Source Progress and Read-Only Actuals; ADR-012 — Activity Ledger and Contribution Engine</x:v>
      </x:c>
      <x:c r="I29" s="40" t="str">
        <x:v>AC-B-006</x:v>
      </x:c>
      <x:c r="J29" s="40" t="str">
        <x:v>Yes</x:v>
      </x:c>
      <x:c r="K29" s="40" t="str">
        <x:v>V1</x:v>
      </x:c>
      <x:c r="L29" s="40" t="str">
        <x:v>Domain test</x:v>
      </x:c>
      <x:c r="M29" s="40" t="str">
        <x:v>OPD-1-007</x:v>
      </x:c>
      <x:c r="N29" s="40" t="str">
        <x:v>OPD-1-007: Omit Actual plus Scheduled Potential combined total in V1.</x:v>
      </x:c>
      <x:c r="O29" s="40" t="str">
        <x:v>VS-06</x:v>
      </x:c>
      <x:c r="P29" s="40" t="str">
        <x:v>Not Started</x:v>
      </x:c>
      <x:c r="Q29" s="40"/>
    </x:row>
    <x:row r="30">
      <x:c r="A30" s="40" t="str">
        <x:v>VS-07</x:v>
      </x:c>
      <x:c r="B30" s="40" t="n">
        <x:v>7</x:v>
      </x:c>
      <x:c r="C30" s="40" t="str">
        <x:v>Wave 2 — Core Planning Loop</x:v>
      </x:c>
      <x:c r="D30" s="40" t="str">
        <x:v>B. Home and Life Indicators</x:v>
      </x:c>
      <x:c r="E30" s="40" t="str">
        <x:v>FR-B-007</x:v>
      </x:c>
      <x:c r="F30" s="40" t="str">
        <x:v>distinguish no target from a zero target.</x:v>
      </x:c>
      <x:c r="G30" s="40" t="str">
        <x:v>BR-B-001, BR-B-002, BR-B-004</x:v>
      </x:c>
      <x:c r="H30" s="40" t="str">
        <x:v>ADR-005 — Confirmed-Source Progress and Read-Only Actuals; ADR-012 — Activity Ledger and Contribution Engine</x:v>
      </x:c>
      <x:c r="I30" s="40" t="str">
        <x:v>AC-B-007</x:v>
      </x:c>
      <x:c r="J30" s="40" t="str">
        <x:v>Yes</x:v>
      </x:c>
      <x:c r="K30" s="40" t="str">
        <x:v>V1</x:v>
      </x:c>
      <x:c r="L30" s="40" t="str">
        <x:v>Domain test</x:v>
      </x:c>
      <x:c r="M30" s="40" t="str">
        <x:v>OPD-1-005</x:v>
      </x:c>
      <x:c r="N30" s="40" t="str">
        <x:v>OPD-1-005: Begin as Not set and present optional suggested values without silently applying them.</x:v>
      </x:c>
      <x:c r="O30" s="40" t="str">
        <x:v>VS-06</x:v>
      </x:c>
      <x:c r="P30" s="40" t="str">
        <x:v>Not Started</x:v>
      </x:c>
      <x:c r="Q30" s="40"/>
    </x:row>
    <x:row r="31">
      <x:c r="A31" s="40" t="str">
        <x:v>VS-07</x:v>
      </x:c>
      <x:c r="B31" s="40" t="n">
        <x:v>7</x:v>
      </x:c>
      <x:c r="C31" s="40" t="str">
        <x:v>Wave 2 — Core Planning Loop</x:v>
      </x:c>
      <x:c r="D31" s="40" t="str">
        <x:v>B. Home and Life Indicators</x:v>
      </x:c>
      <x:c r="E31" s="40" t="str">
        <x:v>FR-B-008</x:v>
      </x:c>
      <x:c r="F31" s="40" t="str">
        <x:v>update after valid reports, reversals, and replacements.</x:v>
      </x:c>
      <x:c r="G31" s="40" t="str">
        <x:v>BR-B-006</x:v>
      </x:c>
      <x:c r="H31" s="40" t="str">
        <x:v>ADR-005 — Confirmed-Source Progress and Read-Only Actuals; ADR-011 — Event and Task Outcome Reporting; ADR-012 — Activity Ledger and Contribution Engine</x:v>
      </x:c>
      <x:c r="I31" s="40" t="str">
        <x:v>AC-B-008</x:v>
      </x:c>
      <x:c r="J31" s="40" t="str">
        <x:v>Yes</x:v>
      </x:c>
      <x:c r="K31" s="40" t="str">
        <x:v>V1</x:v>
      </x:c>
      <x:c r="L31" s="40" t="str">
        <x:v>Domain test</x:v>
      </x:c>
      <x:c r="M31" s="40"/>
      <x:c r="N31" s="40"/>
      <x:c r="O31" s="40" t="str">
        <x:v>VS-06</x:v>
      </x:c>
      <x:c r="P31" s="40" t="str">
        <x:v>Not Started</x:v>
      </x:c>
      <x:c r="Q31" s="40"/>
    </x:row>
    <x:row r="32">
      <x:c r="A32" s="40" t="str">
        <x:v>VS-07</x:v>
      </x:c>
      <x:c r="B32" s="40" t="n">
        <x:v>7</x:v>
      </x:c>
      <x:c r="C32" s="40" t="str">
        <x:v>Wave 2 — Core Planning Loop</x:v>
      </x:c>
      <x:c r="D32" s="40" t="str">
        <x:v>B. Home and Life Indicators</x:v>
      </x:c>
      <x:c r="E32" s="40" t="str">
        <x:v>FR-B-009</x:v>
      </x:c>
      <x:c r="F32" s="40" t="str">
        <x:v>not permit direct Actual editing.</x:v>
      </x:c>
      <x:c r="G32" s="40" t="str">
        <x:v>BR-B-002, BR-B-003, BR-B-005</x:v>
      </x:c>
      <x:c r="H32" s="40" t="str">
        <x:v>ADR-005 — Confirmed-Source Progress and Read-Only Actuals; ADR-012 — Activity Ledger and Contribution Engine</x:v>
      </x:c>
      <x:c r="I32" s="40" t="str">
        <x:v>AC-B-009</x:v>
      </x:c>
      <x:c r="J32" s="40" t="str">
        <x:v>Yes</x:v>
      </x:c>
      <x:c r="K32" s="40" t="str">
        <x:v>V1</x:v>
      </x:c>
      <x:c r="L32" s="40" t="str">
        <x:v>Domain test</x:v>
      </x:c>
      <x:c r="M32" s="40"/>
      <x:c r="N32" s="40"/>
      <x:c r="O32" s="40" t="str">
        <x:v>VS-06</x:v>
      </x:c>
      <x:c r="P32" s="40" t="str">
        <x:v>Not Started</x:v>
      </x:c>
      <x:c r="Q32" s="40"/>
    </x:row>
    <x:row r="33">
      <x:c r="A33" s="40" t="str">
        <x:v>VS-07</x:v>
      </x:c>
      <x:c r="B33" s="40" t="n">
        <x:v>7</x:v>
      </x:c>
      <x:c r="C33" s="40" t="str">
        <x:v>Wave 2 — Core Planning Loop</x:v>
      </x:c>
      <x:c r="D33" s="40" t="str">
        <x:v>B. Home and Life Indicators</x:v>
      </x:c>
      <x:c r="E33" s="40" t="str">
        <x:v>FR-B-010</x:v>
      </x:c>
      <x:c r="F33" s="40" t="str">
        <x:v>not classify records by title alone.</x:v>
      </x:c>
      <x:c r="G33" s="40" t="str">
        <x:v>BR-B-003, BR-B-007</x:v>
      </x:c>
      <x:c r="H33" s="40" t="str">
        <x:v>ADR-005 — Confirmed-Source Progress and Read-Only Actuals; ADR-012 — Activity Ledger and Contribution Engine</x:v>
      </x:c>
      <x:c r="I33" s="40" t="str">
        <x:v>AC-B-010</x:v>
      </x:c>
      <x:c r="J33" s="40" t="str">
        <x:v>Yes</x:v>
      </x:c>
      <x:c r="K33" s="40" t="str">
        <x:v>V1</x:v>
      </x:c>
      <x:c r="L33" s="40" t="str">
        <x:v>Domain test</x:v>
      </x:c>
      <x:c r="M33" s="40"/>
      <x:c r="N33" s="40"/>
      <x:c r="O33" s="40" t="str">
        <x:v>VS-06</x:v>
      </x:c>
      <x:c r="P33" s="40" t="str">
        <x:v>Not Started</x:v>
      </x:c>
      <x:c r="Q33" s="40"/>
    </x:row>
    <x:row r="34">
      <x:c r="A34" s="40" t="str">
        <x:v>VS-07</x:v>
      </x:c>
      <x:c r="B34" s="40" t="n">
        <x:v>7</x:v>
      </x:c>
      <x:c r="C34" s="40" t="str">
        <x:v>Wave 2 — Core Planning Loop</x:v>
      </x:c>
      <x:c r="D34" s="40" t="str">
        <x:v>B. Home and Life Indicators</x:v>
      </x:c>
      <x:c r="E34" s="40" t="str">
        <x:v>FR-B-011</x:v>
      </x:c>
      <x:c r="F34" s="40" t="str">
        <x:v>identify stale or rebuilding projection states.</x:v>
      </x:c>
      <x:c r="G34" s="40" t="str">
        <x:v>BR-B-001</x:v>
      </x:c>
      <x:c r="H34" s="40" t="str">
        <x:v>ADR-005 — Confirmed-Source Progress and Read-Only Actuals; ADR-012 — Activity Ledger and Contribution Engine</x:v>
      </x:c>
      <x:c r="I34" s="40" t="str">
        <x:v>AC-B-011</x:v>
      </x:c>
      <x:c r="J34" s="40" t="str">
        <x:v>No</x:v>
      </x:c>
      <x:c r="K34" s="40" t="str">
        <x:v>V1</x:v>
      </x:c>
      <x:c r="L34" s="40" t="str">
        <x:v>Domain test</x:v>
      </x:c>
      <x:c r="M34" s="40"/>
      <x:c r="N34" s="40"/>
      <x:c r="O34" s="40" t="str">
        <x:v>VS-06</x:v>
      </x:c>
      <x:c r="P34" s="40" t="str">
        <x:v>Not Started</x:v>
      </x:c>
      <x:c r="Q34" s="40"/>
    </x:row>
    <x:row r="35">
      <x:c r="A35" s="40" t="str">
        <x:v>VS-07</x:v>
      </x:c>
      <x:c r="B35" s="40" t="n">
        <x:v>7</x:v>
      </x:c>
      <x:c r="C35" s="40" t="str">
        <x:v>Wave 2 — Core Planning Loop</x:v>
      </x:c>
      <x:c r="D35" s="40" t="str">
        <x:v>B. Home and Life Indicators</x:v>
      </x:c>
      <x:c r="E35" s="40" t="str">
        <x:v>FR-B-012</x:v>
      </x:c>
      <x:c r="F35" s="40" t="str">
        <x:v>remain usable when one projection fails.</x:v>
      </x:c>
      <x:c r="G35" s="40" t="str">
        <x:v>BR-B-001</x:v>
      </x:c>
      <x:c r="H35" s="40" t="str">
        <x:v>ADR-005 — Confirmed-Source Progress and Read-Only Actuals; ADR-012 — Activity Ledger and Contribution Engine</x:v>
      </x:c>
      <x:c r="I35" s="40" t="str">
        <x:v>AC-B-012</x:v>
      </x:c>
      <x:c r="J35" s="40" t="str">
        <x:v>Yes</x:v>
      </x:c>
      <x:c r="K35" s="40" t="str">
        <x:v>V1</x:v>
      </x:c>
      <x:c r="L35" s="40" t="str">
        <x:v>Domain test</x:v>
      </x:c>
      <x:c r="M35" s="40"/>
      <x:c r="N35" s="40"/>
      <x:c r="O35" s="40" t="str">
        <x:v>VS-06</x:v>
      </x:c>
      <x:c r="P35" s="40" t="str">
        <x:v>Not Started</x:v>
      </x:c>
      <x:c r="Q35" s="40"/>
    </x:row>
    <x:row r="36">
      <x:c r="A36" s="40" t="str">
        <x:v>VS-07</x:v>
      </x:c>
      <x:c r="B36" s="40" t="n">
        <x:v>7</x:v>
      </x:c>
      <x:c r="C36" s="40" t="str">
        <x:v>Wave 2 — Core Planning Loop</x:v>
      </x:c>
      <x:c r="D36" s="40" t="str">
        <x:v>B. Home and Life Indicators</x:v>
      </x:c>
      <x:c r="E36" s="40" t="str">
        <x:v>FR-B-013</x:v>
      </x:c>
      <x:c r="F36" s="40" t="str">
        <x:v>provide a route to Planner for the current day.</x:v>
      </x:c>
      <x:c r="G36" s="40" t="str">
        <x:v>BR-B-001</x:v>
      </x:c>
      <x:c r="H36" s="40" t="str">
        <x:v>ADR-005 — Confirmed-Source Progress and Read-Only Actuals; ADR-012 — Activity Ledger and Contribution Engine</x:v>
      </x:c>
      <x:c r="I36" s="40" t="str">
        <x:v>AC-B-013</x:v>
      </x:c>
      <x:c r="J36" s="40" t="str">
        <x:v>No</x:v>
      </x:c>
      <x:c r="K36" s="40" t="str">
        <x:v>V1</x:v>
      </x:c>
      <x:c r="L36" s="40" t="str">
        <x:v>Domain test</x:v>
      </x:c>
      <x:c r="M36" s="40"/>
      <x:c r="N36" s="40"/>
      <x:c r="O36" s="40" t="str">
        <x:v>VS-06</x:v>
      </x:c>
      <x:c r="P36" s="40" t="str">
        <x:v>Not Started</x:v>
      </x:c>
      <x:c r="Q36" s="40"/>
    </x:row>
    <x:row r="37">
      <x:c r="A37" s="40" t="str">
        <x:v>VS-07</x:v>
      </x:c>
      <x:c r="B37" s="40" t="n">
        <x:v>7</x:v>
      </x:c>
      <x:c r="C37" s="40" t="str">
        <x:v>Wave 2 — Core Planning Loop</x:v>
      </x:c>
      <x:c r="D37" s="40" t="str">
        <x:v>B. Home and Life Indicators</x:v>
      </x:c>
      <x:c r="E37" s="40" t="str">
        <x:v>FR-B-014</x:v>
      </x:c>
      <x:c r="F37" s="40" t="str">
        <x:v>provide a route to Weekly Planning for target changes.</x:v>
      </x:c>
      <x:c r="G37" s="40" t="str">
        <x:v>BR-B-001, BR-B-004</x:v>
      </x:c>
      <x:c r="H37" s="40" t="str">
        <x:v>ADR-005 — Confirmed-Source Progress and Read-Only Actuals; ADR-012 — Activity Ledger and Contribution Engine; ADR-010 — Weekly Planning Lifecycle</x:v>
      </x:c>
      <x:c r="I37" s="40" t="str">
        <x:v>AC-B-014</x:v>
      </x:c>
      <x:c r="J37" s="40" t="str">
        <x:v>No</x:v>
      </x:c>
      <x:c r="K37" s="40" t="str">
        <x:v>V1</x:v>
      </x:c>
      <x:c r="L37" s="40" t="str">
        <x:v>Domain test</x:v>
      </x:c>
      <x:c r="M37" s="40"/>
      <x:c r="N37" s="40"/>
      <x:c r="O37" s="40" t="str">
        <x:v>VS-06</x:v>
      </x:c>
      <x:c r="P37" s="40" t="str">
        <x:v>Not Started</x:v>
      </x:c>
      <x:c r="Q37" s="40"/>
    </x:row>
    <x:row r="38">
      <x:c r="A38" s="40" t="str">
        <x:v>VS-07</x:v>
      </x:c>
      <x:c r="B38" s="40" t="n">
        <x:v>7</x:v>
      </x:c>
      <x:c r="C38" s="40" t="str">
        <x:v>Wave 2 — Core Planning Loop</x:v>
      </x:c>
      <x:c r="D38" s="40" t="str">
        <x:v>B. Home and Life Indicators</x:v>
      </x:c>
      <x:c r="E38" s="40" t="str">
        <x:v>FR-B-015</x:v>
      </x:c>
      <x:c r="F38" s="40" t="str">
        <x:v>show counts for relevant attention items, including overdue Tasks and Calendar Events Awaiting Report, when those summaries are included.</x:v>
      </x:c>
      <x:c r="G38" s="40" t="str">
        <x:v>BR-B-008</x:v>
      </x:c>
      <x:c r="H38" s="40" t="str">
        <x:v>ADR-004 — Separation of Tasks and Calendar Events; ADR-005 — Confirmed-Source Progress and Read-Only Actuals; ADR-011 — Event and Task Outcome Reporting; ADR-012 — Activity Ledger and Contribution Engine</x:v>
      </x:c>
      <x:c r="I38" s="40" t="str">
        <x:v>AC-B-015</x:v>
      </x:c>
      <x:c r="J38" s="40" t="str">
        <x:v>No</x:v>
      </x:c>
      <x:c r="K38" s="40" t="str">
        <x:v>V1</x:v>
      </x:c>
      <x:c r="L38" s="40" t="str">
        <x:v>Integration test</x:v>
      </x:c>
      <x:c r="M38" s="40"/>
      <x:c r="N38" s="40"/>
      <x:c r="O38" s="40" t="str">
        <x:v>VS-06</x:v>
      </x:c>
      <x:c r="P38" s="40" t="str">
        <x:v>Not Started</x:v>
      </x:c>
      <x:c r="Q38" s="40"/>
    </x:row>
    <x:row r="39">
      <x:c r="A39" s="40" t="str">
        <x:v>VS-07</x:v>
      </x:c>
      <x:c r="B39" s="40" t="n">
        <x:v>7</x:v>
      </x:c>
      <x:c r="C39" s="40" t="str">
        <x:v>Wave 2 — Core Planning Loop</x:v>
      </x:c>
      <x:c r="D39" s="40" t="str">
        <x:v>B. Home and Life Indicators</x:v>
      </x:c>
      <x:c r="E39" s="40" t="str">
        <x:v>FR-B-016</x:v>
      </x:c>
      <x:c r="F39" s="40" t="str">
        <x:v>display spiritual-adjacent indicators without scoring spiritual quality.</x:v>
      </x:c>
      <x:c r="G39" s="40" t="str">
        <x:v>BR-B-009, BR-B-010</x:v>
      </x:c>
      <x:c r="H39" s="40" t="str">
        <x:v>ADR-005 — Confirmed-Source Progress and Read-Only Actuals; ADR-012 — Activity Ledger and Contribution Engine</x:v>
      </x:c>
      <x:c r="I39" s="40" t="str">
        <x:v>AC-B-016</x:v>
      </x:c>
      <x:c r="J39" s="40" t="str">
        <x:v>Yes</x:v>
      </x:c>
      <x:c r="K39" s="40" t="str">
        <x:v>V1</x:v>
      </x:c>
      <x:c r="L39" s="40" t="str">
        <x:v>Widget test / Manual review</x:v>
      </x:c>
      <x:c r="M39" s="40"/>
      <x:c r="N39" s="40"/>
      <x:c r="O39" s="40" t="str">
        <x:v>VS-06</x:v>
      </x:c>
      <x:c r="P39" s="40" t="str">
        <x:v>Not Started</x:v>
      </x:c>
      <x:c r="Q39" s="40"/>
    </x:row>
    <x:row r="40">
      <x:c r="A40" s="40" t="str">
        <x:v>VS-07</x:v>
      </x:c>
      <x:c r="B40" s="40" t="n">
        <x:v>7</x:v>
      </x:c>
      <x:c r="C40" s="40" t="str">
        <x:v>Wave 2 — Core Planning Loop</x:v>
      </x:c>
      <x:c r="D40" s="40" t="str">
        <x:v>B. Home and Life Indicators</x:v>
      </x:c>
      <x:c r="E40" s="40" t="str">
        <x:v>FR-B-017</x:v>
      </x:c>
      <x:c r="F40" s="40" t="str">
        <x:v>not combine the six indicators into a worthiness or life-quality score.</x:v>
      </x:c>
      <x:c r="G40" s="40" t="str">
        <x:v>BR-B-009, BR-B-010</x:v>
      </x:c>
      <x:c r="H40" s="40" t="str">
        <x:v>ADR-005 — Confirmed-Source Progress and Read-Only Actuals; ADR-012 — Activity Ledger and Contribution Engine</x:v>
      </x:c>
      <x:c r="I40" s="40" t="str">
        <x:v>AC-B-017</x:v>
      </x:c>
      <x:c r="J40" s="40" t="str">
        <x:v>Yes</x:v>
      </x:c>
      <x:c r="K40" s="40" t="str">
        <x:v>V1</x:v>
      </x:c>
      <x:c r="L40" s="40" t="str">
        <x:v>Domain test</x:v>
      </x:c>
      <x:c r="M40" s="40"/>
      <x:c r="N40" s="40"/>
      <x:c r="O40" s="40" t="str">
        <x:v>VS-06</x:v>
      </x:c>
      <x:c r="P40" s="40" t="str">
        <x:v>Not Started</x:v>
      </x:c>
      <x:c r="Q40" s="40"/>
    </x:row>
    <x:row r="41">
      <x:c r="A41" s="40" t="str">
        <x:v>VS-07</x:v>
      </x:c>
      <x:c r="B41" s="40" t="n">
        <x:v>7</x:v>
      </x:c>
      <x:c r="C41" s="40" t="str">
        <x:v>Wave 2 — Core Planning Loop</x:v>
      </x:c>
      <x:c r="D41" s="40" t="str">
        <x:v>B. Home and Life Indicators</x:v>
      </x:c>
      <x:c r="E41" s="40" t="str">
        <x:v>FR-B-018</x:v>
      </x:c>
      <x:c r="F41" s="40" t="str">
        <x:v>retain period context when navigating into an indicator.</x:v>
      </x:c>
      <x:c r="G41" s="40" t="str">
        <x:v>BR-B-007</x:v>
      </x:c>
      <x:c r="H41" s="40" t="str">
        <x:v>ADR-005 — Confirmed-Source Progress and Read-Only Actuals; ADR-012 — Activity Ledger and Contribution Engine; ADR-010 — Weekly Planning Lifecycle</x:v>
      </x:c>
      <x:c r="I41" s="40" t="str">
        <x:v>AC-B-018</x:v>
      </x:c>
      <x:c r="J41" s="40" t="str">
        <x:v>No</x:v>
      </x:c>
      <x:c r="K41" s="40" t="str">
        <x:v>V1</x:v>
      </x:c>
      <x:c r="L41" s="40" t="str">
        <x:v>Domain test</x:v>
      </x:c>
      <x:c r="M41" s="40" t="str">
        <x:v>OPD-1-006</x:v>
      </x:c>
      <x:c r="N41" s="40" t="str">
        <x:v>OPD-1-006: Current week only on Home in V1; history through indicator detail.</x:v>
      </x:c>
      <x:c r="O41" s="40" t="str">
        <x:v>VS-06</x:v>
      </x:c>
      <x:c r="P41" s="40" t="str">
        <x:v>Not Started</x:v>
      </x:c>
      <x:c r="Q41" s="40"/>
    </x:row>
    <x:row r="42">
      <x:c r="A42" s="40" t="str">
        <x:v>VS-07</x:v>
      </x:c>
      <x:c r="B42" s="40" t="n">
        <x:v>7</x:v>
      </x:c>
      <x:c r="C42" s="40" t="str">
        <x:v>Wave 2 — Core Planning Loop</x:v>
      </x:c>
      <x:c r="D42" s="40" t="str">
        <x:v>B. Home and Life Indicators</x:v>
      </x:c>
      <x:c r="E42" s="40" t="str">
        <x:v>FR-B-019</x:v>
      </x:c>
      <x:c r="F42" s="40" t="str">
        <x:v>correctly handle rescheduled and cancelled planned items in Scheduled Potential.</x:v>
      </x:c>
      <x:c r="G42" s="40" t="str">
        <x:v>BR-B-001, BR-B-003, BR-B-008</x:v>
      </x:c>
      <x:c r="H42" s="40" t="str">
        <x:v>ADR-005 — Confirmed-Source Progress and Read-Only Actuals; ADR-011 — Event and Task Outcome Reporting; ADR-012 — Activity Ledger and Contribution Engine</x:v>
      </x:c>
      <x:c r="I42" s="40" t="str">
        <x:v>AC-B-019</x:v>
      </x:c>
      <x:c r="J42" s="40" t="str">
        <x:v>No</x:v>
      </x:c>
      <x:c r="K42" s="40" t="str">
        <x:v>V1</x:v>
      </x:c>
      <x:c r="L42" s="40" t="str">
        <x:v>Domain test</x:v>
      </x:c>
      <x:c r="M42" s="40" t="str">
        <x:v>OPD-1-007</x:v>
      </x:c>
      <x:c r="N42" s="40" t="str">
        <x:v>OPD-1-007: Omit Actual plus Scheduled Potential combined total in V1.</x:v>
      </x:c>
      <x:c r="O42" s="40" t="str">
        <x:v>VS-06</x:v>
      </x:c>
      <x:c r="P42" s="40" t="str">
        <x:v>Not Started</x:v>
      </x:c>
      <x:c r="Q42" s="40"/>
    </x:row>
    <x:row r="43">
      <x:c r="A43" s="40" t="str">
        <x:v>VS-07</x:v>
      </x:c>
      <x:c r="B43" s="40" t="n">
        <x:v>7</x:v>
      </x:c>
      <x:c r="C43" s="40" t="str">
        <x:v>Wave 2 — Core Planning Loop</x:v>
      </x:c>
      <x:c r="D43" s="40" t="str">
        <x:v>B. Home and Life Indicators</x:v>
      </x:c>
      <x:c r="E43" s="40" t="str">
        <x:v>FR-B-020</x:v>
      </x:c>
      <x:c r="F43" s="40" t="str">
        <x:v>use local state as the immediate displayed source.</x:v>
      </x:c>
      <x:c r="G43" s="40" t="str">
        <x:v>BR-B-001</x:v>
      </x:c>
      <x:c r="H43" s="40" t="str">
        <x:v>ADR-005 — Confirmed-Source Progress and Read-Only Actuals; ADR-012 — Activity Ledger and Contribution Engine; ADR-006 — Local-First Operation with Background Synchronization</x:v>
      </x:c>
      <x:c r="I43" s="40" t="str">
        <x:v>AC-B-020</x:v>
      </x:c>
      <x:c r="J43" s="40" t="str">
        <x:v>No</x:v>
      </x:c>
      <x:c r="K43" s="40" t="str">
        <x:v>V1</x:v>
      </x:c>
      <x:c r="L43" s="40" t="str">
        <x:v>Widget test</x:v>
      </x:c>
      <x:c r="M43" s="40"/>
      <x:c r="N43" s="40"/>
      <x:c r="O43" s="40" t="str">
        <x:v>VS-06</x:v>
      </x:c>
      <x:c r="P43" s="40" t="str">
        <x:v>Not Started</x:v>
      </x:c>
      <x:c r="Q43" s="40"/>
    </x:row>
    <x:row r="44">
      <x:c r="A44" s="40" t="str">
        <x:v>VS-03</x:v>
      </x:c>
      <x:c r="B44" s="40" t="n">
        <x:v>3</x:v>
      </x:c>
      <x:c r="C44" s="40" t="str">
        <x:v>Wave 2 — Core Planning Loop</x:v>
      </x:c>
      <x:c r="D44" s="40" t="str">
        <x:v>C. Planner Day View</x:v>
      </x:c>
      <x:c r="E44" s="40" t="str">
        <x:v>FR-C-001</x:v>
      </x:c>
      <x:c r="F44" s="40" t="str">
        <x:v>display a clearly identified selected date.</x:v>
      </x:c>
      <x:c r="G44" s="40" t="str">
        <x:v>BR-C-001</x:v>
      </x:c>
      <x:c r="H44" s="40" t="str">
        <x:v>ADR-004 — Separation of Tasks and Calendar Events; ADR-011 — Event and Task Outcome Reporting</x:v>
      </x:c>
      <x:c r="I44" s="40" t="str">
        <x:v>AC-C-001</x:v>
      </x:c>
      <x:c r="J44" s="40" t="str">
        <x:v>Yes</x:v>
      </x:c>
      <x:c r="K44" s="40" t="str">
        <x:v>V1</x:v>
      </x:c>
      <x:c r="L44" s="40" t="str">
        <x:v>Widget test</x:v>
      </x:c>
      <x:c r="M44" s="40" t="str">
        <x:v>OPD-1-010</x:v>
      </x:c>
      <x:c r="N44" s="40" t="str">
        <x:v>OPD-1-010: Preserve the last selected day in-session and default to today after cold start.</x:v>
      </x:c>
      <x:c r="O44" s="40" t="str">
        <x:v>VS-01, VS-02</x:v>
      </x:c>
      <x:c r="P44" s="40" t="str">
        <x:v>Not Started</x:v>
      </x:c>
      <x:c r="Q44" s="40"/>
    </x:row>
    <x:row r="45">
      <x:c r="A45" s="40" t="str">
        <x:v>VS-03</x:v>
      </x:c>
      <x:c r="B45" s="40" t="n">
        <x:v>3</x:v>
      </x:c>
      <x:c r="C45" s="40" t="str">
        <x:v>Wave 2 — Core Planning Loop</x:v>
      </x:c>
      <x:c r="D45" s="40" t="str">
        <x:v>C. Planner Day View</x:v>
      </x:c>
      <x:c r="E45" s="40" t="str">
        <x:v>FR-C-002</x:v>
      </x:c>
      <x:c r="F45" s="40" t="str">
        <x:v>display Tasks and Calendar Events with different type indicators and interactions.</x:v>
      </x:c>
      <x:c r="G45" s="40" t="str">
        <x:v>BR-C-001, BR-C-006</x:v>
      </x:c>
      <x:c r="H45" s="40" t="str">
        <x:v>ADR-004 — Separation of Tasks and Calendar Events; ADR-011 — Event and Task Outcome Reporting</x:v>
      </x:c>
      <x:c r="I45" s="40" t="str">
        <x:v>AC-C-002</x:v>
      </x:c>
      <x:c r="J45" s="40" t="str">
        <x:v>Yes</x:v>
      </x:c>
      <x:c r="K45" s="40" t="str">
        <x:v>V1</x:v>
      </x:c>
      <x:c r="L45" s="40" t="str">
        <x:v>Widget test / Integration test</x:v>
      </x:c>
      <x:c r="M45" s="40" t="str">
        <x:v>OPD-1-011</x:v>
      </x:c>
      <x:c r="N45" s="40" t="str">
        <x:v>OPD-1-011: All-day events, timed events, Tasks, overdue Tasks, Awaiting Report, then Changes.</x:v>
      </x:c>
      <x:c r="O45" s="40" t="str">
        <x:v>VS-01, VS-02</x:v>
      </x:c>
      <x:c r="P45" s="40" t="str">
        <x:v>Not Started</x:v>
      </x:c>
      <x:c r="Q45" s="40"/>
    </x:row>
    <x:row r="46">
      <x:c r="A46" s="40" t="str">
        <x:v>VS-03</x:v>
      </x:c>
      <x:c r="B46" s="40" t="n">
        <x:v>3</x:v>
      </x:c>
      <x:c r="C46" s="40" t="str">
        <x:v>Wave 2 — Core Planning Loop</x:v>
      </x:c>
      <x:c r="D46" s="40" t="str">
        <x:v>C. Planner Day View</x:v>
      </x:c>
      <x:c r="E46" s="40" t="str">
        <x:v>FR-C-003</x:v>
      </x:c>
      <x:c r="F46" s="40" t="str">
        <x:v>support all-day and timed Calendar Events.</x:v>
      </x:c>
      <x:c r="G46" s="40" t="str">
        <x:v>BR-C-001, BR-C-006</x:v>
      </x:c>
      <x:c r="H46" s="40" t="str">
        <x:v>ADR-004 — Separation of Tasks and Calendar Events; ADR-011 — Event and Task Outcome Reporting</x:v>
      </x:c>
      <x:c r="I46" s="40" t="str">
        <x:v>AC-C-003</x:v>
      </x:c>
      <x:c r="J46" s="40" t="str">
        <x:v>Yes</x:v>
      </x:c>
      <x:c r="K46" s="40" t="str">
        <x:v>V1</x:v>
      </x:c>
      <x:c r="L46" s="40" t="str">
        <x:v>Integration test</x:v>
      </x:c>
      <x:c r="M46" s="40" t="str">
        <x:v>OPD-1-011</x:v>
      </x:c>
      <x:c r="N46" s="40" t="str">
        <x:v>OPD-1-011: All-day events, timed events, Tasks, overdue Tasks, Awaiting Report, then Changes.</x:v>
      </x:c>
      <x:c r="O46" s="40" t="str">
        <x:v>VS-01, VS-02</x:v>
      </x:c>
      <x:c r="P46" s="40" t="str">
        <x:v>Not Started</x:v>
      </x:c>
      <x:c r="Q46" s="40"/>
    </x:row>
    <x:row r="47">
      <x:c r="A47" s="40" t="str">
        <x:v>VS-03</x:v>
      </x:c>
      <x:c r="B47" s="40" t="n">
        <x:v>3</x:v>
      </x:c>
      <x:c r="C47" s="40" t="str">
        <x:v>Wave 2 — Core Planning Loop</x:v>
      </x:c>
      <x:c r="D47" s="40" t="str">
        <x:v>C. Planner Day View</x:v>
      </x:c>
      <x:c r="E47" s="40" t="str">
        <x:v>FR-C-004</x:v>
      </x:c>
      <x:c r="F47" s="40" t="str">
        <x:v>show Tasks due on the selected day.</x:v>
      </x:c>
      <x:c r="G47" s="40" t="str">
        <x:v>BR-C-001</x:v>
      </x:c>
      <x:c r="H47" s="40" t="str">
        <x:v>ADR-004 — Separation of Tasks and Calendar Events; ADR-011 — Event and Task Outcome Reporting</x:v>
      </x:c>
      <x:c r="I47" s="40" t="str">
        <x:v>AC-C-004</x:v>
      </x:c>
      <x:c r="J47" s="40" t="str">
        <x:v>Yes</x:v>
      </x:c>
      <x:c r="K47" s="40" t="str">
        <x:v>V1</x:v>
      </x:c>
      <x:c r="L47" s="40" t="str">
        <x:v>Domain test</x:v>
      </x:c>
      <x:c r="M47" s="40" t="str">
        <x:v>OPD-1-010</x:v>
      </x:c>
      <x:c r="N47" s="40" t="str">
        <x:v>OPD-1-010: Preserve the last selected day in-session and default to today after cold start.</x:v>
      </x:c>
      <x:c r="O47" s="40" t="str">
        <x:v>VS-01, VS-02</x:v>
      </x:c>
      <x:c r="P47" s="40" t="str">
        <x:v>Not Started</x:v>
      </x:c>
      <x:c r="Q47" s="40"/>
    </x:row>
    <x:row r="48">
      <x:c r="A48" s="40" t="str">
        <x:v>VS-03</x:v>
      </x:c>
      <x:c r="B48" s="40" t="n">
        <x:v>3</x:v>
      </x:c>
      <x:c r="C48" s="40" t="str">
        <x:v>Wave 2 — Core Planning Loop</x:v>
      </x:c>
      <x:c r="D48" s="40" t="str">
        <x:v>C. Planner Day View</x:v>
      </x:c>
      <x:c r="E48" s="40" t="str">
        <x:v>FR-C-005</x:v>
      </x:c>
      <x:c r="F48" s="40" t="str">
        <x:v>show overdue Incomplete Tasks.</x:v>
      </x:c>
      <x:c r="G48" s="40" t="str">
        <x:v>BR-C-001, BR-C-002</x:v>
      </x:c>
      <x:c r="H48" s="40" t="str">
        <x:v>ADR-004 — Separation of Tasks and Calendar Events; ADR-011 — Event and Task Outcome Reporting</x:v>
      </x:c>
      <x:c r="I48" s="40" t="str">
        <x:v>AC-C-005</x:v>
      </x:c>
      <x:c r="J48" s="40" t="str">
        <x:v>Yes</x:v>
      </x:c>
      <x:c r="K48" s="40" t="str">
        <x:v>V1</x:v>
      </x:c>
      <x:c r="L48" s="40" t="str">
        <x:v>Domain test</x:v>
      </x:c>
      <x:c r="M48" s="40" t="str">
        <x:v>OPD-1-011</x:v>
      </x:c>
      <x:c r="N48" s="40" t="str">
        <x:v>OPD-1-011: All-day events, timed events, Tasks, overdue Tasks, Awaiting Report, then Changes.</x:v>
      </x:c>
      <x:c r="O48" s="40" t="str">
        <x:v>VS-01, VS-02</x:v>
      </x:c>
      <x:c r="P48" s="40" t="str">
        <x:v>Not Started</x:v>
      </x:c>
      <x:c r="Q48" s="40"/>
    </x:row>
    <x:row r="49">
      <x:c r="A49" s="40" t="str">
        <x:v>VS-03</x:v>
      </x:c>
      <x:c r="B49" s="40" t="n">
        <x:v>3</x:v>
      </x:c>
      <x:c r="C49" s="40" t="str">
        <x:v>Wave 2 — Core Planning Loop</x:v>
      </x:c>
      <x:c r="D49" s="40" t="str">
        <x:v>C. Planner Day View</x:v>
      </x:c>
      <x:c r="E49" s="40" t="str">
        <x:v>FR-C-006</x:v>
      </x:c>
      <x:c r="F49" s="40" t="str">
        <x:v>show ended report-required Calendar Events as Awaiting Report.</x:v>
      </x:c>
      <x:c r="G49" s="40" t="str">
        <x:v>BR-C-001, BR-C-003, BR-C-006</x:v>
      </x:c>
      <x:c r="H49" s="40" t="str">
        <x:v>ADR-004 — Separation of Tasks and Calendar Events; ADR-011 — Event and Task Outcome Reporting</x:v>
      </x:c>
      <x:c r="I49" s="40" t="str">
        <x:v>AC-C-006</x:v>
      </x:c>
      <x:c r="J49" s="40" t="str">
        <x:v>Yes</x:v>
      </x:c>
      <x:c r="K49" s="40" t="str">
        <x:v>V1</x:v>
      </x:c>
      <x:c r="L49" s="40" t="str">
        <x:v>Integration test</x:v>
      </x:c>
      <x:c r="M49" s="40" t="str">
        <x:v>OPD-1-009, OPD-1-011</x:v>
      </x:c>
      <x:c r="N49" s="40" t="str">
        <x:v>OPD-1-009: Use a Changes section while Awaiting Report remains prominent. | OPD-1-011: All-day events, timed events, Tasks, overdue Tasks, Awaiting Report, then Changes.</x:v>
      </x:c>
      <x:c r="O49" s="40" t="str">
        <x:v>VS-01, VS-02</x:v>
      </x:c>
      <x:c r="P49" s="40" t="str">
        <x:v>Not Started</x:v>
      </x:c>
      <x:c r="Q49" s="40"/>
    </x:row>
    <x:row r="50">
      <x:c r="A50" s="40" t="str">
        <x:v>VS-03</x:v>
      </x:c>
      <x:c r="B50" s="40" t="n">
        <x:v>3</x:v>
      </x:c>
      <x:c r="C50" s="40" t="str">
        <x:v>Wave 2 — Core Planning Loop</x:v>
      </x:c>
      <x:c r="D50" s="40" t="str">
        <x:v>C. Planner Day View</x:v>
      </x:c>
      <x:c r="E50" s="40" t="str">
        <x:v>FR-C-007</x:v>
      </x:c>
      <x:c r="F50" s="40" t="str">
        <x:v>represent cancelled events.</x:v>
      </x:c>
      <x:c r="G50" s="40" t="str">
        <x:v>BR-C-001, BR-C-006</x:v>
      </x:c>
      <x:c r="H50" s="40" t="str">
        <x:v>ADR-004 — Separation of Tasks and Calendar Events; ADR-011 — Event and Task Outcome Reporting</x:v>
      </x:c>
      <x:c r="I50" s="40" t="str">
        <x:v>AC-C-007</x:v>
      </x:c>
      <x:c r="J50" s="40" t="str">
        <x:v>Yes</x:v>
      </x:c>
      <x:c r="K50" s="40" t="str">
        <x:v>V1</x:v>
      </x:c>
      <x:c r="L50" s="40" t="str">
        <x:v>Domain test</x:v>
      </x:c>
      <x:c r="M50" s="40"/>
      <x:c r="N50" s="40"/>
      <x:c r="O50" s="40" t="str">
        <x:v>VS-01, VS-02</x:v>
      </x:c>
      <x:c r="P50" s="40" t="str">
        <x:v>Not Started</x:v>
      </x:c>
      <x:c r="Q50" s="40"/>
    </x:row>
    <x:row r="51">
      <x:c r="A51" s="40" t="str">
        <x:v>VS-03</x:v>
      </x:c>
      <x:c r="B51" s="40" t="n">
        <x:v>3</x:v>
      </x:c>
      <x:c r="C51" s="40" t="str">
        <x:v>Wave 2 — Core Planning Loop</x:v>
      </x:c>
      <x:c r="D51" s="40" t="str">
        <x:v>C. Planner Day View</x:v>
      </x:c>
      <x:c r="E51" s="40" t="str">
        <x:v>FR-C-008</x:v>
      </x:c>
      <x:c r="F51" s="40" t="str">
        <x:v>represent original rescheduled occurrences and their replacement events without double-presenting them as active commitments.</x:v>
      </x:c>
      <x:c r="G51" s="40" t="str">
        <x:v>BR-C-001, BR-C-006, BR-C-007</x:v>
      </x:c>
      <x:c r="H51" s="40" t="str">
        <x:v>ADR-004 — Separation of Tasks and Calendar Events; ADR-011 — Event and Task Outcome Reporting; ADR-012 — Activity Ledger and Contribution Engine</x:v>
      </x:c>
      <x:c r="I51" s="40" t="str">
        <x:v>AC-C-008</x:v>
      </x:c>
      <x:c r="J51" s="40" t="str">
        <x:v>Yes</x:v>
      </x:c>
      <x:c r="K51" s="40" t="str">
        <x:v>V1</x:v>
      </x:c>
      <x:c r="L51" s="40" t="str">
        <x:v>Domain test</x:v>
      </x:c>
      <x:c r="M51" s="40"/>
      <x:c r="N51" s="40"/>
      <x:c r="O51" s="40" t="str">
        <x:v>VS-01, VS-02</x:v>
      </x:c>
      <x:c r="P51" s="40" t="str">
        <x:v>Not Started</x:v>
      </x:c>
      <x:c r="Q51" s="40"/>
    </x:row>
    <x:row r="52">
      <x:c r="A52" s="40" t="str">
        <x:v>VS-03</x:v>
      </x:c>
      <x:c r="B52" s="40" t="n">
        <x:v>3</x:v>
      </x:c>
      <x:c r="C52" s="40" t="str">
        <x:v>Wave 2 — Core Planning Loop</x:v>
      </x:c>
      <x:c r="D52" s="40" t="str">
        <x:v>C. Planner Day View</x:v>
      </x:c>
      <x:c r="E52" s="40" t="str">
        <x:v>FR-C-009</x:v>
      </x:c>
      <x:c r="F52" s="40" t="str">
        <x:v>support date navigation.</x:v>
      </x:c>
      <x:c r="G52" s="40" t="str">
        <x:v>BR-C-001</x:v>
      </x:c>
      <x:c r="H52" s="40" t="str">
        <x:v>ADR-004 — Separation of Tasks and Calendar Events; ADR-011 — Event and Task Outcome Reporting</x:v>
      </x:c>
      <x:c r="I52" s="40" t="str">
        <x:v>AC-C-009</x:v>
      </x:c>
      <x:c r="J52" s="40" t="str">
        <x:v>No</x:v>
      </x:c>
      <x:c r="K52" s="40" t="str">
        <x:v>V1</x:v>
      </x:c>
      <x:c r="L52" s="40" t="str">
        <x:v>Domain test</x:v>
      </x:c>
      <x:c r="M52" s="40"/>
      <x:c r="N52" s="40"/>
      <x:c r="O52" s="40" t="str">
        <x:v>VS-01, VS-02</x:v>
      </x:c>
      <x:c r="P52" s="40" t="str">
        <x:v>Not Started</x:v>
      </x:c>
      <x:c r="Q52" s="40"/>
    </x:row>
    <x:row r="53">
      <x:c r="A53" s="40" t="str">
        <x:v>VS-03</x:v>
      </x:c>
      <x:c r="B53" s="40" t="n">
        <x:v>3</x:v>
      </x:c>
      <x:c r="C53" s="40" t="str">
        <x:v>Wave 2 — Core Planning Loop</x:v>
      </x:c>
      <x:c r="D53" s="40" t="str">
        <x:v>C. Planner Day View</x:v>
      </x:c>
      <x:c r="E53" s="40" t="str">
        <x:v>FR-C-010</x:v>
      </x:c>
      <x:c r="F53" s="40" t="str">
        <x:v>provide distinct creation actions for Task and Calendar Event.</x:v>
      </x:c>
      <x:c r="G53" s="40" t="str">
        <x:v>BR-C-001, BR-C-006, BR-C-008</x:v>
      </x:c>
      <x:c r="H53" s="40" t="str">
        <x:v>ADR-004 — Separation of Tasks and Calendar Events; ADR-011 — Event and Task Outcome Reporting</x:v>
      </x:c>
      <x:c r="I53" s="40" t="str">
        <x:v>AC-C-010</x:v>
      </x:c>
      <x:c r="J53" s="40" t="str">
        <x:v>No</x:v>
      </x:c>
      <x:c r="K53" s="40" t="str">
        <x:v>V1</x:v>
      </x:c>
      <x:c r="L53" s="40" t="str">
        <x:v>Integration test</x:v>
      </x:c>
      <x:c r="M53" s="40"/>
      <x:c r="N53" s="40"/>
      <x:c r="O53" s="40" t="str">
        <x:v>VS-01, VS-02</x:v>
      </x:c>
      <x:c r="P53" s="40" t="str">
        <x:v>Not Started</x:v>
      </x:c>
      <x:c r="Q53" s="40"/>
    </x:row>
    <x:row r="54">
      <x:c r="A54" s="40" t="str">
        <x:v>VS-03</x:v>
      </x:c>
      <x:c r="B54" s="40" t="n">
        <x:v>3</x:v>
      </x:c>
      <x:c r="C54" s="40" t="str">
        <x:v>Wave 2 — Core Planning Loop</x:v>
      </x:c>
      <x:c r="D54" s="40" t="str">
        <x:v>C. Planner Day View</x:v>
      </x:c>
      <x:c r="E54" s="40" t="str">
        <x:v>FR-C-011</x:v>
      </x:c>
      <x:c r="F54" s="40" t="str">
        <x:v>support offline creation and editing.</x:v>
      </x:c>
      <x:c r="G54" s="40" t="str">
        <x:v>BR-C-008</x:v>
      </x:c>
      <x:c r="H54" s="40" t="str">
        <x:v>ADR-004 — Separation of Tasks and Calendar Events; ADR-011 — Event and Task Outcome Reporting; ADR-006 — Local-First Operation with Background Synchronization</x:v>
      </x:c>
      <x:c r="I54" s="40" t="str">
        <x:v>AC-C-011</x:v>
      </x:c>
      <x:c r="J54" s="40" t="str">
        <x:v>Yes</x:v>
      </x:c>
      <x:c r="K54" s="40" t="str">
        <x:v>V1</x:v>
      </x:c>
      <x:c r="L54" s="40" t="str">
        <x:v>Domain test</x:v>
      </x:c>
      <x:c r="M54" s="40"/>
      <x:c r="N54" s="40"/>
      <x:c r="O54" s="40" t="str">
        <x:v>VS-01, VS-02</x:v>
      </x:c>
      <x:c r="P54" s="40" t="str">
        <x:v>Not Started</x:v>
      </x:c>
      <x:c r="Q54" s="40"/>
    </x:row>
    <x:row r="55">
      <x:c r="A55" s="40" t="str">
        <x:v>VS-03</x:v>
      </x:c>
      <x:c r="B55" s="40" t="n">
        <x:v>3</x:v>
      </x:c>
      <x:c r="C55" s="40" t="str">
        <x:v>Wave 2 — Core Planning Loop</x:v>
      </x:c>
      <x:c r="D55" s="40" t="str">
        <x:v>C. Planner Day View</x:v>
      </x:c>
      <x:c r="E55" s="40" t="str">
        <x:v>FR-C-012</x:v>
      </x:c>
      <x:c r="F55" s="40" t="str">
        <x:v>route to the correct detail type.</x:v>
      </x:c>
      <x:c r="G55" s="40" t="str">
        <x:v>BR-C-001</x:v>
      </x:c>
      <x:c r="H55" s="40" t="str">
        <x:v>ADR-004 — Separation of Tasks and Calendar Events; ADR-011 — Event and Task Outcome Reporting</x:v>
      </x:c>
      <x:c r="I55" s="40" t="str">
        <x:v>AC-C-012</x:v>
      </x:c>
      <x:c r="J55" s="40" t="str">
        <x:v>No</x:v>
      </x:c>
      <x:c r="K55" s="40" t="str">
        <x:v>V1</x:v>
      </x:c>
      <x:c r="L55" s="40" t="str">
        <x:v>Domain test</x:v>
      </x:c>
      <x:c r="M55" s="40"/>
      <x:c r="N55" s="40"/>
      <x:c r="O55" s="40" t="str">
        <x:v>VS-01, VS-02</x:v>
      </x:c>
      <x:c r="P55" s="40" t="str">
        <x:v>Not Started</x:v>
      </x:c>
      <x:c r="Q55" s="40"/>
    </x:row>
    <x:row r="56">
      <x:c r="A56" s="40" t="str">
        <x:v>VS-03</x:v>
      </x:c>
      <x:c r="B56" s="40" t="n">
        <x:v>3</x:v>
      </x:c>
      <x:c r="C56" s="40" t="str">
        <x:v>Wave 2 — Core Planning Loop</x:v>
      </x:c>
      <x:c r="D56" s="40" t="str">
        <x:v>C. Planner Day View</x:v>
      </x:c>
      <x:c r="E56" s="40" t="str">
        <x:v>FR-C-013</x:v>
      </x:c>
      <x:c r="F56" s="40" t="str">
        <x:v>display recurring-event identity.</x:v>
      </x:c>
      <x:c r="G56" s="40" t="str">
        <x:v>BR-C-003, BR-C-004</x:v>
      </x:c>
      <x:c r="H56" s="40" t="str">
        <x:v>ADR-004 — Separation of Tasks and Calendar Events; ADR-011 — Event and Task Outcome Reporting; ADR-009 — Domain Ownership and Relationship Model</x:v>
      </x:c>
      <x:c r="I56" s="40" t="str">
        <x:v>AC-C-013</x:v>
      </x:c>
      <x:c r="J56" s="40" t="str">
        <x:v>No</x:v>
      </x:c>
      <x:c r="K56" s="40" t="str">
        <x:v>V1</x:v>
      </x:c>
      <x:c r="L56" s="40" t="str">
        <x:v>Widget test</x:v>
      </x:c>
      <x:c r="M56" s="40"/>
      <x:c r="N56" s="40"/>
      <x:c r="O56" s="40" t="str">
        <x:v>VS-01, VS-02</x:v>
      </x:c>
      <x:c r="P56" s="40" t="str">
        <x:v>Not Started</x:v>
      </x:c>
      <x:c r="Q56" s="40"/>
    </x:row>
    <x:row r="57">
      <x:c r="A57" s="40" t="str">
        <x:v>VS-03</x:v>
      </x:c>
      <x:c r="B57" s="40" t="n">
        <x:v>3</x:v>
      </x:c>
      <x:c r="C57" s="40" t="str">
        <x:v>Wave 2 — Core Planning Loop</x:v>
      </x:c>
      <x:c r="D57" s="40" t="str">
        <x:v>C. Planner Day View</x:v>
      </x:c>
      <x:c r="E57" s="40" t="str">
        <x:v>FR-C-014</x:v>
      </x:c>
      <x:c r="F57" s="40" t="str">
        <x:v>support contextual location and map actions.</x:v>
      </x:c>
      <x:c r="G57" s="40" t="str">
        <x:v>BR-C-009</x:v>
      </x:c>
      <x:c r="H57" s="40" t="str">
        <x:v>ADR-004 — Separation of Tasks and Calendar Events; ADR-011 — Event and Task Outcome Reporting</x:v>
      </x:c>
      <x:c r="I57" s="40" t="str">
        <x:v>AC-C-014</x:v>
      </x:c>
      <x:c r="J57" s="40" t="str">
        <x:v>No</x:v>
      </x:c>
      <x:c r="K57" s="40" t="str">
        <x:v>V1</x:v>
      </x:c>
      <x:c r="L57" s="40" t="str">
        <x:v>Domain test</x:v>
      </x:c>
      <x:c r="M57" s="40"/>
      <x:c r="N57" s="40"/>
      <x:c r="O57" s="40" t="str">
        <x:v>VS-01, VS-02</x:v>
      </x:c>
      <x:c r="P57" s="40" t="str">
        <x:v>Not Started</x:v>
      </x:c>
      <x:c r="Q57" s="40"/>
    </x:row>
    <x:row r="58">
      <x:c r="A58" s="40" t="str">
        <x:v>VS-03</x:v>
      </x:c>
      <x:c r="B58" s="40" t="n">
        <x:v>3</x:v>
      </x:c>
      <x:c r="C58" s="40" t="str">
        <x:v>Wave 2 — Core Planning Loop</x:v>
      </x:c>
      <x:c r="D58" s="40" t="str">
        <x:v>C. Planner Day View</x:v>
      </x:c>
      <x:c r="E58" s="40" t="str">
        <x:v>FR-C-015</x:v>
      </x:c>
      <x:c r="F58" s="40" t="str">
        <x:v>retain stored location text when permission is denied.</x:v>
      </x:c>
      <x:c r="G58" s="40" t="str">
        <x:v>BR-C-001</x:v>
      </x:c>
      <x:c r="H58" s="40" t="str">
        <x:v>ADR-004 — Separation of Tasks and Calendar Events; ADR-011 — Event and Task Outcome Reporting; ADR-021 — Security, Privacy, Permissions, and Sensitive Data</x:v>
      </x:c>
      <x:c r="I58" s="40" t="str">
        <x:v>AC-C-015</x:v>
      </x:c>
      <x:c r="J58" s="40" t="str">
        <x:v>Yes</x:v>
      </x:c>
      <x:c r="K58" s="40" t="str">
        <x:v>V1</x:v>
      </x:c>
      <x:c r="L58" s="40" t="str">
        <x:v>Widget test</x:v>
      </x:c>
      <x:c r="M58" s="40"/>
      <x:c r="N58" s="40"/>
      <x:c r="O58" s="40" t="str">
        <x:v>VS-01, VS-02</x:v>
      </x:c>
      <x:c r="P58" s="40" t="str">
        <x:v>Not Started</x:v>
      </x:c>
      <x:c r="Q58" s="40"/>
    </x:row>
    <x:row r="59">
      <x:c r="A59" s="40" t="str">
        <x:v>VS-03</x:v>
      </x:c>
      <x:c r="B59" s="40" t="n">
        <x:v>3</x:v>
      </x:c>
      <x:c r="C59" s="40" t="str">
        <x:v>Wave 2 — Core Planning Loop</x:v>
      </x:c>
      <x:c r="D59" s="40" t="str">
        <x:v>C. Planner Day View</x:v>
      </x:c>
      <x:c r="E59" s="40" t="str">
        <x:v>FR-C-016</x:v>
      </x:c>
      <x:c r="F59" s="40" t="str">
        <x:v>not change event outcomes based on the current time.</x:v>
      </x:c>
      <x:c r="G59" s="40" t="str">
        <x:v>BR-C-003, BR-C-004</x:v>
      </x:c>
      <x:c r="H59" s="40" t="str">
        <x:v>ADR-004 — Separation of Tasks and Calendar Events; ADR-011 — Event and Task Outcome Reporting</x:v>
      </x:c>
      <x:c r="I59" s="40" t="str">
        <x:v>AC-C-016</x:v>
      </x:c>
      <x:c r="J59" s="40" t="str">
        <x:v>Yes</x:v>
      </x:c>
      <x:c r="K59" s="40" t="str">
        <x:v>V1</x:v>
      </x:c>
      <x:c r="L59" s="40" t="str">
        <x:v>Domain test</x:v>
      </x:c>
      <x:c r="M59" s="40"/>
      <x:c r="N59" s="40"/>
      <x:c r="O59" s="40" t="str">
        <x:v>VS-01, VS-02</x:v>
      </x:c>
      <x:c r="P59" s="40" t="str">
        <x:v>Not Started</x:v>
      </x:c>
      <x:c r="Q59" s="40"/>
    </x:row>
    <x:row r="60">
      <x:c r="A60" s="40" t="str">
        <x:v>VS-03</x:v>
      </x:c>
      <x:c r="B60" s="40" t="n">
        <x:v>3</x:v>
      </x:c>
      <x:c r="C60" s="40" t="str">
        <x:v>Wave 2 — Core Planning Loop</x:v>
      </x:c>
      <x:c r="D60" s="40" t="str">
        <x:v>C. Planner Day View</x:v>
      </x:c>
      <x:c r="E60" s="40" t="str">
        <x:v>FR-C-017</x:v>
      </x:c>
      <x:c r="F60" s="40" t="str">
        <x:v>preserve the selected date after returning from item details where practical.</x:v>
      </x:c>
      <x:c r="G60" s="40" t="str">
        <x:v>BR-C-001</x:v>
      </x:c>
      <x:c r="H60" s="40" t="str">
        <x:v>ADR-004 — Separation of Tasks and Calendar Events; ADR-011 — Event and Task Outcome Reporting</x:v>
      </x:c>
      <x:c r="I60" s="40" t="str">
        <x:v>AC-C-017</x:v>
      </x:c>
      <x:c r="J60" s="40" t="str">
        <x:v>Yes</x:v>
      </x:c>
      <x:c r="K60" s="40" t="str">
        <x:v>V1</x:v>
      </x:c>
      <x:c r="L60" s="40" t="str">
        <x:v>Domain test</x:v>
      </x:c>
      <x:c r="M60" s="40" t="str">
        <x:v>OPD-1-010</x:v>
      </x:c>
      <x:c r="N60" s="40" t="str">
        <x:v>OPD-1-010: Preserve the last selected day in-session and default to today after cold start.</x:v>
      </x:c>
      <x:c r="O60" s="40" t="str">
        <x:v>VS-01, VS-02</x:v>
      </x:c>
      <x:c r="P60" s="40" t="str">
        <x:v>Not Started</x:v>
      </x:c>
      <x:c r="Q60" s="40"/>
    </x:row>
    <x:row r="61">
      <x:c r="A61" s="40" t="str">
        <x:v>VS-03</x:v>
      </x:c>
      <x:c r="B61" s="40" t="n">
        <x:v>3</x:v>
      </x:c>
      <x:c r="C61" s="40" t="str">
        <x:v>Wave 2 — Core Planning Loop</x:v>
      </x:c>
      <x:c r="D61" s="40" t="str">
        <x:v>C. Planner Day View</x:v>
      </x:c>
      <x:c r="E61" s="40" t="str">
        <x:v>FR-C-018</x:v>
      </x:c>
      <x:c r="F61" s="40" t="str">
        <x:v>allow filtering or collapsing historical-status items without deleting them.</x:v>
      </x:c>
      <x:c r="G61" s="40" t="str">
        <x:v>BR-C-002, BR-C-003</x:v>
      </x:c>
      <x:c r="H61" s="40" t="str">
        <x:v>ADR-004 — Separation of Tasks and Calendar Events; ADR-011 — Event and Task Outcome Reporting</x:v>
      </x:c>
      <x:c r="I61" s="40" t="str">
        <x:v>AC-C-018</x:v>
      </x:c>
      <x:c r="J61" s="40" t="str">
        <x:v>Yes</x:v>
      </x:c>
      <x:c r="K61" s="40" t="str">
        <x:v>V1</x:v>
      </x:c>
      <x:c r="L61" s="40" t="str">
        <x:v>Domain test</x:v>
      </x:c>
      <x:c r="M61" s="40"/>
      <x:c r="N61" s="40"/>
      <x:c r="O61" s="40" t="str">
        <x:v>VS-01, VS-02</x:v>
      </x:c>
      <x:c r="P61" s="40" t="str">
        <x:v>Not Started</x:v>
      </x:c>
      <x:c r="Q61" s="40"/>
    </x:row>
    <x:row r="62">
      <x:c r="A62" s="40" t="str">
        <x:v>VS-03</x:v>
      </x:c>
      <x:c r="B62" s="40" t="n">
        <x:v>3</x:v>
      </x:c>
      <x:c r="C62" s="40" t="str">
        <x:v>Wave 2 — Core Planning Loop</x:v>
      </x:c>
      <x:c r="D62" s="40" t="str">
        <x:v>C. Planner Day View</x:v>
      </x:c>
      <x:c r="E62" s="40" t="str">
        <x:v>FR-C-019</x:v>
      </x:c>
      <x:c r="F62" s="40" t="str">
        <x:v>show save failures without creating false records.</x:v>
      </x:c>
      <x:c r="G62" s="40" t="str">
        <x:v>BR-C-010</x:v>
      </x:c>
      <x:c r="H62" s="40" t="str">
        <x:v>ADR-004 — Separation of Tasks and Calendar Events; ADR-011 — Event and Task Outcome Reporting; ADR-023 — Testing, Observability, Diagnostics, and Quality Strategy</x:v>
      </x:c>
      <x:c r="I62" s="40" t="str">
        <x:v>AC-C-019</x:v>
      </x:c>
      <x:c r="J62" s="40" t="str">
        <x:v>Yes</x:v>
      </x:c>
      <x:c r="K62" s="40" t="str">
        <x:v>V1</x:v>
      </x:c>
      <x:c r="L62" s="40" t="str">
        <x:v>Domain test</x:v>
      </x:c>
      <x:c r="M62" s="40"/>
      <x:c r="N62" s="40"/>
      <x:c r="O62" s="40" t="str">
        <x:v>VS-01, VS-02</x:v>
      </x:c>
      <x:c r="P62" s="40" t="str">
        <x:v>Not Started</x:v>
      </x:c>
      <x:c r="Q62" s="40"/>
    </x:row>
    <x:row r="63">
      <x:c r="A63" s="40" t="str">
        <x:v>VS-03</x:v>
      </x:c>
      <x:c r="B63" s="40" t="n">
        <x:v>3</x:v>
      </x:c>
      <x:c r="C63" s="40" t="str">
        <x:v>Wave 2 — Core Planning Loop</x:v>
      </x:c>
      <x:c r="D63" s="40" t="str">
        <x:v>C. Planner Day View</x:v>
      </x:c>
      <x:c r="E63" s="40" t="str">
        <x:v>FR-C-020</x:v>
      </x:c>
      <x:c r="F63" s="40" t="str">
        <x:v>expose linked-record context without merging Task and Calendar Event identities.</x:v>
      </x:c>
      <x:c r="G63" s="40" t="str">
        <x:v>BR-C-004, BR-C-005, BR-C-006</x:v>
      </x:c>
      <x:c r="H63" s="40" t="str">
        <x:v>ADR-004 — Separation of Tasks and Calendar Events; ADR-011 — Event and Task Outcome Reporting; ADR-009 — Domain Ownership and Relationship Model</x:v>
      </x:c>
      <x:c r="I63" s="40" t="str">
        <x:v>AC-C-020</x:v>
      </x:c>
      <x:c r="J63" s="40" t="str">
        <x:v>Yes</x:v>
      </x:c>
      <x:c r="K63" s="40" t="str">
        <x:v>V1</x:v>
      </x:c>
      <x:c r="L63" s="40" t="str">
        <x:v>Integration test</x:v>
      </x:c>
      <x:c r="M63" s="40"/>
      <x:c r="N63" s="40"/>
      <x:c r="O63" s="40" t="str">
        <x:v>VS-01, VS-02</x:v>
      </x:c>
      <x:c r="P63" s="40" t="str">
        <x:v>Not Started</x:v>
      </x:c>
      <x:c r="Q63" s="40"/>
    </x:row>
    <x:row r="64">
      <x:c r="A64" s="40" t="str">
        <x:v>VS-03</x:v>
      </x:c>
      <x:c r="B64" s="40" t="n">
        <x:v>3</x:v>
      </x:c>
      <x:c r="C64" s="40" t="str">
        <x:v>Wave 2 — Core Planning Loop</x:v>
      </x:c>
      <x:c r="D64" s="40" t="str">
        <x:v>D. Tasks</x:v>
      </x:c>
      <x:c r="E64" s="40" t="str">
        <x:v>FR-D-001</x:v>
      </x:c>
      <x:c r="F64" s="40" t="str">
        <x:v>be able to create a Task offline.</x:v>
      </x:c>
      <x:c r="G64" s="40" t="str">
        <x:v>BR-D-001, BR-D-004, BR-D-006</x:v>
      </x:c>
      <x:c r="H64" s="40" t="str">
        <x:v>ADR-004 — Separation of Tasks and Calendar Events; ADR-006 — Local-First Operation with Background Synchronization</x:v>
      </x:c>
      <x:c r="I64" s="40" t="str">
        <x:v>AC-D-001</x:v>
      </x:c>
      <x:c r="J64" s="40" t="str">
        <x:v>Yes</x:v>
      </x:c>
      <x:c r="K64" s="40" t="str">
        <x:v>V1</x:v>
      </x:c>
      <x:c r="L64" s="40" t="str">
        <x:v>Widget test</x:v>
      </x:c>
      <x:c r="M64" s="40"/>
      <x:c r="N64" s="40"/>
      <x:c r="O64" s="40" t="str">
        <x:v>VS-01, VS-02</x:v>
      </x:c>
      <x:c r="P64" s="40" t="str">
        <x:v>Not Started</x:v>
      </x:c>
      <x:c r="Q64" s="40"/>
    </x:row>
    <x:row r="65">
      <x:c r="A65" s="40" t="str">
        <x:v>VS-03</x:v>
      </x:c>
      <x:c r="B65" s="40" t="n">
        <x:v>3</x:v>
      </x:c>
      <x:c r="C65" s="40" t="str">
        <x:v>Wave 2 — Core Planning Loop</x:v>
      </x:c>
      <x:c r="D65" s="40" t="str">
        <x:v>D. Tasks</x:v>
      </x:c>
      <x:c r="E65" s="40" t="str">
        <x:v>FR-D-002</x:v>
      </x:c>
      <x:c r="F65" s="40" t="str">
        <x:v>A Task shall require a nonblank user-visible title.</x:v>
      </x:c>
      <x:c r="G65" s="40" t="str">
        <x:v>BR-D-004, BR-D-006, BR-D-007</x:v>
      </x:c>
      <x:c r="H65" s="40" t="str">
        <x:v>ADR-004 — Separation of Tasks and Calendar Events</x:v>
      </x:c>
      <x:c r="I65" s="40" t="str">
        <x:v>AC-D-002</x:v>
      </x:c>
      <x:c r="J65" s="40" t="str">
        <x:v>Yes</x:v>
      </x:c>
      <x:c r="K65" s="40" t="str">
        <x:v>V1</x:v>
      </x:c>
      <x:c r="L65" s="40" t="str">
        <x:v>Domain test</x:v>
      </x:c>
      <x:c r="M65" s="40"/>
      <x:c r="N65" s="40"/>
      <x:c r="O65" s="40" t="str">
        <x:v>VS-01, VS-02</x:v>
      </x:c>
      <x:c r="P65" s="40" t="str">
        <x:v>Not Started</x:v>
      </x:c>
      <x:c r="Q65" s="40"/>
    </x:row>
    <x:row r="66">
      <x:c r="A66" s="40" t="str">
        <x:v>VS-03</x:v>
      </x:c>
      <x:c r="B66" s="40" t="n">
        <x:v>3</x:v>
      </x:c>
      <x:c r="C66" s="40" t="str">
        <x:v>Wave 2 — Core Planning Loop</x:v>
      </x:c>
      <x:c r="D66" s="40" t="str">
        <x:v>D. Tasks</x:v>
      </x:c>
      <x:c r="E66" s="40" t="str">
        <x:v>FR-D-003</x:v>
      </x:c>
      <x:c r="F66" s="40" t="str">
        <x:v>New Tasks shall default to Incomplete.</x:v>
      </x:c>
      <x:c r="G66" s="40" t="str">
        <x:v>BR-D-002, BR-D-003, BR-D-008</x:v>
      </x:c>
      <x:c r="H66" s="40" t="str">
        <x:v>ADR-004 — Separation of Tasks and Calendar Events</x:v>
      </x:c>
      <x:c r="I66" s="40" t="str">
        <x:v>AC-D-003</x:v>
      </x:c>
      <x:c r="J66" s="40" t="str">
        <x:v>Yes</x:v>
      </x:c>
      <x:c r="K66" s="40" t="str">
        <x:v>V1</x:v>
      </x:c>
      <x:c r="L66" s="40" t="str">
        <x:v>Domain test</x:v>
      </x:c>
      <x:c r="M66" s="40"/>
      <x:c r="N66" s="40"/>
      <x:c r="O66" s="40" t="str">
        <x:v>VS-01, VS-02</x:v>
      </x:c>
      <x:c r="P66" s="40" t="str">
        <x:v>Not Started</x:v>
      </x:c>
      <x:c r="Q66" s="40"/>
    </x:row>
    <x:row r="67">
      <x:c r="A67" s="40" t="str">
        <x:v>VS-03</x:v>
      </x:c>
      <x:c r="B67" s="40" t="n">
        <x:v>3</x:v>
      </x:c>
      <x:c r="C67" s="40" t="str">
        <x:v>Wave 2 — Core Planning Loop</x:v>
      </x:c>
      <x:c r="D67" s="40" t="str">
        <x:v>D. Tasks</x:v>
      </x:c>
      <x:c r="E67" s="40" t="str">
        <x:v>FR-D-004</x:v>
      </x:c>
      <x:c r="F67" s="40" t="str">
        <x:v>be able to edit supported Task planning fields.</x:v>
      </x:c>
      <x:c r="G67" s="40" t="str">
        <x:v>BR-D-001, BR-D-004, BR-D-006</x:v>
      </x:c>
      <x:c r="H67" s="40" t="str">
        <x:v>ADR-004 — Separation of Tasks and Calendar Events</x:v>
      </x:c>
      <x:c r="I67" s="40" t="str">
        <x:v>AC-D-004</x:v>
      </x:c>
      <x:c r="J67" s="40" t="str">
        <x:v>Yes</x:v>
      </x:c>
      <x:c r="K67" s="40" t="str">
        <x:v>V1</x:v>
      </x:c>
      <x:c r="L67" s="40" t="str">
        <x:v>Widget test</x:v>
      </x:c>
      <x:c r="M67" s="40"/>
      <x:c r="N67" s="40"/>
      <x:c r="O67" s="40" t="str">
        <x:v>VS-01, VS-02</x:v>
      </x:c>
      <x:c r="P67" s="40" t="str">
        <x:v>Not Started</x:v>
      </x:c>
      <x:c r="Q67" s="40"/>
    </x:row>
    <x:row r="68">
      <x:c r="A68" s="40" t="str">
        <x:v>VS-03</x:v>
      </x:c>
      <x:c r="B68" s="40" t="n">
        <x:v>3</x:v>
      </x:c>
      <x:c r="C68" s="40" t="str">
        <x:v>Wave 2 — Core Planning Loop</x:v>
      </x:c>
      <x:c r="D68" s="40" t="str">
        <x:v>D. Tasks</x:v>
      </x:c>
      <x:c r="E68" s="40" t="str">
        <x:v>FR-D-005</x:v>
      </x:c>
      <x:c r="F68" s="40" t="str">
        <x:v>be able to set Task status to Completed, Skipped, or Cancelled.</x:v>
      </x:c>
      <x:c r="G68" s="40" t="str">
        <x:v>BR-D-001, BR-D-004, BR-D-006</x:v>
      </x:c>
      <x:c r="H68" s="40" t="str">
        <x:v>ADR-004 — Separation of Tasks and Calendar Events</x:v>
      </x:c>
      <x:c r="I68" s="40" t="str">
        <x:v>AC-D-005</x:v>
      </x:c>
      <x:c r="J68" s="40" t="str">
        <x:v>Yes</x:v>
      </x:c>
      <x:c r="K68" s="40" t="str">
        <x:v>V1</x:v>
      </x:c>
      <x:c r="L68" s="40" t="str">
        <x:v>Domain test / Widget test</x:v>
      </x:c>
      <x:c r="M68" s="40" t="str">
        <x:v>OPD-1-014, OPD-1-015</x:v>
      </x:c>
      <x:c r="N68" s="40" t="str">
        <x:v>OPD-1-014: Skipped means intentionally not done for the relevant plan or period; Cancelled means no longer intended. | OPD-1-015: No hard delete in V1; use Cancelled and later archive behavior.</x:v>
      </x:c>
      <x:c r="O68" s="40" t="str">
        <x:v>VS-01, VS-02</x:v>
      </x:c>
      <x:c r="P68" s="40" t="str">
        <x:v>Not Started</x:v>
      </x:c>
      <x:c r="Q68" s="40"/>
    </x:row>
    <x:row r="69">
      <x:c r="A69" s="40" t="str">
        <x:v>VS-03</x:v>
      </x:c>
      <x:c r="B69" s="40" t="n">
        <x:v>3</x:v>
      </x:c>
      <x:c r="C69" s="40" t="str">
        <x:v>Wave 2 — Core Planning Loop</x:v>
      </x:c>
      <x:c r="D69" s="40" t="str">
        <x:v>D. Tasks</x:v>
      </x:c>
      <x:c r="E69" s="40" t="str">
        <x:v>FR-D-006</x:v>
      </x:c>
      <x:c r="F69" s="40" t="str">
        <x:v>derive overdue state for applicable Incomplete Tasks.</x:v>
      </x:c>
      <x:c r="G69" s="40" t="str">
        <x:v>BR-D-002, BR-D-003, BR-D-008</x:v>
      </x:c>
      <x:c r="H69" s="40" t="str">
        <x:v>ADR-004 — Separation of Tasks and Calendar Events</x:v>
      </x:c>
      <x:c r="I69" s="40" t="str">
        <x:v>AC-D-006</x:v>
      </x:c>
      <x:c r="J69" s="40" t="str">
        <x:v>Yes</x:v>
      </x:c>
      <x:c r="K69" s="40" t="str">
        <x:v>V1</x:v>
      </x:c>
      <x:c r="L69" s="40" t="str">
        <x:v>Domain test</x:v>
      </x:c>
      <x:c r="M69" s="40"/>
      <x:c r="N69" s="40"/>
      <x:c r="O69" s="40" t="str">
        <x:v>VS-01, VS-02</x:v>
      </x:c>
      <x:c r="P69" s="40" t="str">
        <x:v>Not Started</x:v>
      </x:c>
      <x:c r="Q69" s="40"/>
    </x:row>
    <x:row r="70">
      <x:c r="A70" s="40" t="str">
        <x:v>VS-03</x:v>
      </x:c>
      <x:c r="B70" s="40" t="n">
        <x:v>3</x:v>
      </x:c>
      <x:c r="C70" s="40" t="str">
        <x:v>Wave 2 — Core Planning Loop</x:v>
      </x:c>
      <x:c r="D70" s="40" t="str">
        <x:v>D. Tasks</x:v>
      </x:c>
      <x:c r="E70" s="40" t="str">
        <x:v>FR-D-007</x:v>
      </x:c>
      <x:c r="F70" s="40" t="str">
        <x:v>support Tasks without due dates.</x:v>
      </x:c>
      <x:c r="G70" s="40" t="str">
        <x:v>BR-D-002, BR-D-008</x:v>
      </x:c>
      <x:c r="H70" s="40" t="str">
        <x:v>ADR-004 — Separation of Tasks and Calendar Events</x:v>
      </x:c>
      <x:c r="I70" s="40" t="str">
        <x:v>AC-D-007</x:v>
      </x:c>
      <x:c r="J70" s="40" t="str">
        <x:v>Yes</x:v>
      </x:c>
      <x:c r="K70" s="40" t="str">
        <x:v>V1</x:v>
      </x:c>
      <x:c r="L70" s="40" t="str">
        <x:v>Domain test</x:v>
      </x:c>
      <x:c r="M70" s="40"/>
      <x:c r="N70" s="40"/>
      <x:c r="O70" s="40" t="str">
        <x:v>VS-01, VS-02</x:v>
      </x:c>
      <x:c r="P70" s="40" t="str">
        <x:v>Not Started</x:v>
      </x:c>
      <x:c r="Q70" s="40"/>
    </x:row>
    <x:row r="71">
      <x:c r="A71" s="40" t="str">
        <x:v>VS-03</x:v>
      </x:c>
      <x:c r="B71" s="40" t="n">
        <x:v>3</x:v>
      </x:c>
      <x:c r="C71" s="40" t="str">
        <x:v>Wave 2 — Core Planning Loop</x:v>
      </x:c>
      <x:c r="D71" s="40" t="str">
        <x:v>D. Tasks</x:v>
      </x:c>
      <x:c r="E71" s="40" t="str">
        <x:v>FR-D-008</x:v>
      </x:c>
      <x:c r="F71" s="40" t="str">
        <x:v>keep linked Calendar Event statuses independent.</x:v>
      </x:c>
      <x:c r="G71" s="40" t="str">
        <x:v>BR-D-001, BR-D-004</x:v>
      </x:c>
      <x:c r="H71" s="40" t="str">
        <x:v>ADR-004 — Separation of Tasks and Calendar Events; ADR-009 — Domain Ownership and Relationship Model</x:v>
      </x:c>
      <x:c r="I71" s="40" t="str">
        <x:v>AC-D-008</x:v>
      </x:c>
      <x:c r="J71" s="40" t="str">
        <x:v>Yes</x:v>
      </x:c>
      <x:c r="K71" s="40" t="str">
        <x:v>V1</x:v>
      </x:c>
      <x:c r="L71" s="40" t="str">
        <x:v>Domain test / Integration test</x:v>
      </x:c>
      <x:c r="M71" s="40"/>
      <x:c r="N71" s="40"/>
      <x:c r="O71" s="40" t="str">
        <x:v>VS-01, VS-02</x:v>
      </x:c>
      <x:c r="P71" s="40" t="str">
        <x:v>Not Started</x:v>
      </x:c>
      <x:c r="Q71" s="40"/>
    </x:row>
    <x:row r="72">
      <x:c r="A72" s="40" t="str">
        <x:v>VS-03</x:v>
      </x:c>
      <x:c r="B72" s="40" t="n">
        <x:v>3</x:v>
      </x:c>
      <x:c r="C72" s="40" t="str">
        <x:v>Wave 2 — Core Planning Loop</x:v>
      </x:c>
      <x:c r="D72" s="40" t="str">
        <x:v>D. Tasks</x:v>
      </x:c>
      <x:c r="E72" s="40" t="str">
        <x:v>FR-D-009</x:v>
      </x:c>
      <x:c r="F72" s="40" t="str">
        <x:v>identify when structured reporting is required.</x:v>
      </x:c>
      <x:c r="G72" s="40" t="str">
        <x:v>BR-D-005</x:v>
      </x:c>
      <x:c r="H72" s="40" t="str">
        <x:v>ADR-004 — Separation of Tasks and Calendar Events; ADR-011 — Event and Task Outcome Reporting</x:v>
      </x:c>
      <x:c r="I72" s="40" t="str">
        <x:v>AC-D-009</x:v>
      </x:c>
      <x:c r="J72" s="40" t="str">
        <x:v>No</x:v>
      </x:c>
      <x:c r="K72" s="40" t="str">
        <x:v>V1</x:v>
      </x:c>
      <x:c r="L72" s="40" t="str">
        <x:v>Domain test</x:v>
      </x:c>
      <x:c r="M72" s="40"/>
      <x:c r="N72" s="40"/>
      <x:c r="O72" s="40" t="str">
        <x:v>VS-01, VS-02</x:v>
      </x:c>
      <x:c r="P72" s="40" t="str">
        <x:v>Not Started</x:v>
      </x:c>
      <x:c r="Q72" s="40"/>
    </x:row>
    <x:row r="73">
      <x:c r="A73" s="40" t="str">
        <x:v>VS-03</x:v>
      </x:c>
      <x:c r="B73" s="40" t="n">
        <x:v>3</x:v>
      </x:c>
      <x:c r="C73" s="40" t="str">
        <x:v>Wave 2 — Core Planning Loop</x:v>
      </x:c>
      <x:c r="D73" s="40" t="str">
        <x:v>D. Tasks</x:v>
      </x:c>
      <x:c r="E73" s="40" t="str">
        <x:v>FR-D-010</x:v>
      </x:c>
      <x:c r="F73" s="40" t="str">
        <x:v>prevent bypass of required reporting.</x:v>
      </x:c>
      <x:c r="G73" s="40" t="str">
        <x:v>BR-D-005</x:v>
      </x:c>
      <x:c r="H73" s="40" t="str">
        <x:v>ADR-004 — Separation of Tasks and Calendar Events; ADR-011 — Event and Task Outcome Reporting</x:v>
      </x:c>
      <x:c r="I73" s="40" t="str">
        <x:v>AC-D-010</x:v>
      </x:c>
      <x:c r="J73" s="40" t="str">
        <x:v>Yes</x:v>
      </x:c>
      <x:c r="K73" s="40" t="str">
        <x:v>V1</x:v>
      </x:c>
      <x:c r="L73" s="40" t="str">
        <x:v>Domain test</x:v>
      </x:c>
      <x:c r="M73" s="40" t="str">
        <x:v>OPD-1-012</x:v>
      </x:c>
      <x:c r="N73" s="40" t="str">
        <x:v>OPD-1-012: Keep the Task Incomplete until report and completion save coherently.</x:v>
      </x:c>
      <x:c r="O73" s="40" t="str">
        <x:v>VS-01, VS-02</x:v>
      </x:c>
      <x:c r="P73" s="40" t="str">
        <x:v>Not Started</x:v>
      </x:c>
      <x:c r="Q73" s="40"/>
    </x:row>
    <x:row r="74">
      <x:c r="A74" s="40" t="str">
        <x:v>VS-03</x:v>
      </x:c>
      <x:c r="B74" s="40" t="n">
        <x:v>3</x:v>
      </x:c>
      <x:c r="C74" s="40" t="str">
        <x:v>Wave 2 — Core Planning Loop</x:v>
      </x:c>
      <x:c r="D74" s="40" t="str">
        <x:v>D. Tasks</x:v>
      </x:c>
      <x:c r="E74" s="40" t="str">
        <x:v>FR-D-011</x:v>
      </x:c>
      <x:c r="F74" s="40" t="str">
        <x:v>Task completion shall not directly edit Actual.</x:v>
      </x:c>
      <x:c r="G74" s="40" t="str">
        <x:v>BR-D-001, BR-D-004, BR-D-006</x:v>
      </x:c>
      <x:c r="H74" s="40" t="str">
        <x:v>ADR-004 — Separation of Tasks and Calendar Events; ADR-005 — Confirmed-Source Progress and Read-Only Actuals</x:v>
      </x:c>
      <x:c r="I74" s="40" t="str">
        <x:v>AC-D-011</x:v>
      </x:c>
      <x:c r="J74" s="40" t="str">
        <x:v>Yes</x:v>
      </x:c>
      <x:c r="K74" s="40" t="str">
        <x:v>V1</x:v>
      </x:c>
      <x:c r="L74" s="40" t="str">
        <x:v>Domain test</x:v>
      </x:c>
      <x:c r="M74" s="40"/>
      <x:c r="N74" s="40"/>
      <x:c r="O74" s="40" t="str">
        <x:v>VS-01, VS-02</x:v>
      </x:c>
      <x:c r="P74" s="40" t="str">
        <x:v>Not Started</x:v>
      </x:c>
      <x:c r="Q74" s="40"/>
    </x:row>
    <x:row r="75">
      <x:c r="A75" s="40" t="str">
        <x:v>VS-03</x:v>
      </x:c>
      <x:c r="B75" s="40" t="n">
        <x:v>3</x:v>
      </x:c>
      <x:c r="C75" s="40" t="str">
        <x:v>Wave 2 — Core Planning Loop</x:v>
      </x:c>
      <x:c r="D75" s="40" t="str">
        <x:v>D. Tasks</x:v>
      </x:c>
      <x:c r="E75" s="40" t="str">
        <x:v>FR-D-012</x:v>
      </x:c>
      <x:c r="F75" s="40" t="str">
        <x:v>Task contribution classification shall use explicit configuration rather than title matching.</x:v>
      </x:c>
      <x:c r="G75" s="40" t="str">
        <x:v>BR-D-004, BR-D-006, BR-D-007</x:v>
      </x:c>
      <x:c r="H75" s="40" t="str">
        <x:v>ADR-004 — Separation of Tasks and Calendar Events; ADR-012 — Activity Ledger and Contribution Engine</x:v>
      </x:c>
      <x:c r="I75" s="40" t="str">
        <x:v>AC-D-012</x:v>
      </x:c>
      <x:c r="J75" s="40" t="str">
        <x:v>No</x:v>
      </x:c>
      <x:c r="K75" s="40" t="str">
        <x:v>V1</x:v>
      </x:c>
      <x:c r="L75" s="40" t="str">
        <x:v>Domain test</x:v>
      </x:c>
      <x:c r="M75" s="40"/>
      <x:c r="N75" s="40"/>
      <x:c r="O75" s="40" t="str">
        <x:v>VS-01, VS-02</x:v>
      </x:c>
      <x:c r="P75" s="40" t="str">
        <x:v>Not Started</x:v>
      </x:c>
      <x:c r="Q75" s="40"/>
    </x:row>
    <x:row r="76">
      <x:c r="A76" s="40" t="str">
        <x:v>VS-03</x:v>
      </x:c>
      <x:c r="B76" s="40" t="n">
        <x:v>3</x:v>
      </x:c>
      <x:c r="C76" s="40" t="str">
        <x:v>Wave 2 — Core Planning Loop</x:v>
      </x:c>
      <x:c r="D76" s="40" t="str">
        <x:v>D. Tasks</x:v>
      </x:c>
      <x:c r="E76" s="40" t="str">
        <x:v>FR-D-013</x:v>
      </x:c>
      <x:c r="F76" s="40" t="str">
        <x:v>display linked Calendar Events.</x:v>
      </x:c>
      <x:c r="G76" s="40" t="str">
        <x:v>BR-D-004</x:v>
      </x:c>
      <x:c r="H76" s="40" t="str">
        <x:v>ADR-004 — Separation of Tasks and Calendar Events; ADR-009 — Domain Ownership and Relationship Model</x:v>
      </x:c>
      <x:c r="I76" s="40" t="str">
        <x:v>AC-D-013</x:v>
      </x:c>
      <x:c r="J76" s="40" t="str">
        <x:v>No</x:v>
      </x:c>
      <x:c r="K76" s="40" t="str">
        <x:v>V1</x:v>
      </x:c>
      <x:c r="L76" s="40" t="str">
        <x:v>Widget test / Integration test</x:v>
      </x:c>
      <x:c r="M76" s="40"/>
      <x:c r="N76" s="40"/>
      <x:c r="O76" s="40" t="str">
        <x:v>VS-01, VS-02</x:v>
      </x:c>
      <x:c r="P76" s="40" t="str">
        <x:v>Not Started</x:v>
      </x:c>
      <x:c r="Q76" s="40"/>
    </x:row>
    <x:row r="77">
      <x:c r="A77" s="40" t="str">
        <x:v>VS-03</x:v>
      </x:c>
      <x:c r="B77" s="40" t="n">
        <x:v>3</x:v>
      </x:c>
      <x:c r="C77" s="40" t="str">
        <x:v>Wave 2 — Core Planning Loop</x:v>
      </x:c>
      <x:c r="D77" s="40" t="str">
        <x:v>D. Tasks</x:v>
      </x:c>
      <x:c r="E77" s="40" t="str">
        <x:v>FR-D-014</x:v>
      </x:c>
      <x:c r="F77" s="40" t="str">
        <x:v>display Pathway, Goal, or Milestone context where linked.</x:v>
      </x:c>
      <x:c r="G77" s="40" t="str">
        <x:v>BR-D-004</x:v>
      </x:c>
      <x:c r="H77" s="40" t="str">
        <x:v>ADR-004 — Separation of Tasks and Calendar Events; ADR-009 — Domain Ownership and Relationship Model</x:v>
      </x:c>
      <x:c r="I77" s="40" t="str">
        <x:v>AC-D-014</x:v>
      </x:c>
      <x:c r="J77" s="40" t="str">
        <x:v>No</x:v>
      </x:c>
      <x:c r="K77" s="40" t="str">
        <x:v>V1</x:v>
      </x:c>
      <x:c r="L77" s="40" t="str">
        <x:v>Widget test</x:v>
      </x:c>
      <x:c r="M77" s="40"/>
      <x:c r="N77" s="40"/>
      <x:c r="O77" s="40" t="str">
        <x:v>VS-01, VS-02</x:v>
      </x:c>
      <x:c r="P77" s="40" t="str">
        <x:v>Not Started</x:v>
      </x:c>
      <x:c r="Q77" s="40"/>
    </x:row>
    <x:row r="78">
      <x:c r="A78" s="40" t="str">
        <x:v>VS-03</x:v>
      </x:c>
      <x:c r="B78" s="40" t="n">
        <x:v>3</x:v>
      </x:c>
      <x:c r="C78" s="40" t="str">
        <x:v>Wave 2 — Core Planning Loop</x:v>
      </x:c>
      <x:c r="D78" s="40" t="str">
        <x:v>D. Tasks</x:v>
      </x:c>
      <x:c r="E78" s="40" t="str">
        <x:v>FR-D-015</x:v>
      </x:c>
      <x:c r="F78" s="40" t="str">
        <x:v>preserve Task state during sync failure.</x:v>
      </x:c>
      <x:c r="G78" s="40" t="str">
        <x:v>BR-D-004, BR-D-006, BR-D-010</x:v>
      </x:c>
      <x:c r="H78" s="40" t="str">
        <x:v>ADR-004 — Separation of Tasks and Calendar Events; ADR-023 — Testing, Observability, Diagnostics, and Quality Strategy</x:v>
      </x:c>
      <x:c r="I78" s="40" t="str">
        <x:v>AC-D-015</x:v>
      </x:c>
      <x:c r="J78" s="40" t="str">
        <x:v>Yes</x:v>
      </x:c>
      <x:c r="K78" s="40" t="str">
        <x:v>V1</x:v>
      </x:c>
      <x:c r="L78" s="40" t="str">
        <x:v>Integration test</x:v>
      </x:c>
      <x:c r="M78" s="40"/>
      <x:c r="N78" s="40"/>
      <x:c r="O78" s="40" t="str">
        <x:v>VS-01, VS-02</x:v>
      </x:c>
      <x:c r="P78" s="40" t="str">
        <x:v>Not Started</x:v>
      </x:c>
      <x:c r="Q78" s="40"/>
    </x:row>
    <x:row r="79">
      <x:c r="A79" s="40" t="str">
        <x:v>VS-03</x:v>
      </x:c>
      <x:c r="B79" s="40" t="n">
        <x:v>3</x:v>
      </x:c>
      <x:c r="C79" s="40" t="str">
        <x:v>Wave 2 — Core Planning Loop</x:v>
      </x:c>
      <x:c r="D79" s="40" t="str">
        <x:v>D. Tasks</x:v>
      </x:c>
      <x:c r="E79" s="40" t="str">
        <x:v>FR-D-016</x:v>
      </x:c>
      <x:c r="F79" s="40" t="str">
        <x:v>retain user input after a recoverable save failure.</x:v>
      </x:c>
      <x:c r="G79" s="40" t="str">
        <x:v>BR-D-001</x:v>
      </x:c>
      <x:c r="H79" s="40" t="str">
        <x:v>ADR-004 — Separation of Tasks and Calendar Events; ADR-023 — Testing, Observability, Diagnostics, and Quality Strategy</x:v>
      </x:c>
      <x:c r="I79" s="40" t="str">
        <x:v>AC-D-016</x:v>
      </x:c>
      <x:c r="J79" s="40" t="str">
        <x:v>No</x:v>
      </x:c>
      <x:c r="K79" s="40" t="str">
        <x:v>V1</x:v>
      </x:c>
      <x:c r="L79" s="40" t="str">
        <x:v>Domain test</x:v>
      </x:c>
      <x:c r="M79" s="40"/>
      <x:c r="N79" s="40"/>
      <x:c r="O79" s="40" t="str">
        <x:v>VS-01, VS-02</x:v>
      </x:c>
      <x:c r="P79" s="40" t="str">
        <x:v>Not Started</x:v>
      </x:c>
      <x:c r="Q79" s="40"/>
    </x:row>
    <x:row r="80">
      <x:c r="A80" s="40" t="str">
        <x:v>VS-03</x:v>
      </x:c>
      <x:c r="B80" s="40" t="n">
        <x:v>3</x:v>
      </x:c>
      <x:c r="C80" s="40" t="str">
        <x:v>Wave 2 — Core Planning Loop</x:v>
      </x:c>
      <x:c r="D80" s="40" t="str">
        <x:v>D. Tasks</x:v>
      </x:c>
      <x:c r="E80" s="40" t="str">
        <x:v>FR-D-017</x:v>
      </x:c>
      <x:c r="F80" s="40" t="str">
        <x:v>avoid duplicate outcome reports and ledger contributions during retries.</x:v>
      </x:c>
      <x:c r="G80" s="40" t="str">
        <x:v>BR-D-009</x:v>
      </x:c>
      <x:c r="H80" s="40" t="str">
        <x:v>ADR-004 — Separation of Tasks and Calendar Events; ADR-011 — Event and Task Outcome Reporting; ADR-012 — Activity Ledger and Contribution Engine</x:v>
      </x:c>
      <x:c r="I80" s="40" t="str">
        <x:v>AC-D-017</x:v>
      </x:c>
      <x:c r="J80" s="40" t="str">
        <x:v>No</x:v>
      </x:c>
      <x:c r="K80" s="40" t="str">
        <x:v>V1</x:v>
      </x:c>
      <x:c r="L80" s="40" t="str">
        <x:v>Domain test / Database test</x:v>
      </x:c>
      <x:c r="M80" s="40"/>
      <x:c r="N80" s="40"/>
      <x:c r="O80" s="40" t="str">
        <x:v>VS-01, VS-02</x:v>
      </x:c>
      <x:c r="P80" s="40" t="str">
        <x:v>Not Started</x:v>
      </x:c>
      <x:c r="Q80" s="40"/>
    </x:row>
    <x:row r="81">
      <x:c r="A81" s="40" t="str">
        <x:v>VS-03</x:v>
      </x:c>
      <x:c r="B81" s="40" t="n">
        <x:v>3</x:v>
      </x:c>
      <x:c r="C81" s="40" t="str">
        <x:v>Wave 2 — Core Planning Loop</x:v>
      </x:c>
      <x:c r="D81" s="40" t="str">
        <x:v>D. Tasks</x:v>
      </x:c>
      <x:c r="E81" s="40" t="str">
        <x:v>FR-D-018</x:v>
      </x:c>
      <x:c r="F81" s="40" t="str">
        <x:v>support status correction according to historical correction rules.</x:v>
      </x:c>
      <x:c r="G81" s="40" t="str">
        <x:v>BR-D-003, BR-D-007, BR-D-010</x:v>
      </x:c>
      <x:c r="H81" s="40" t="str">
        <x:v>ADR-004 — Separation of Tasks and Calendar Events</x:v>
      </x:c>
      <x:c r="I81" s="40" t="str">
        <x:v>AC-D-018</x:v>
      </x:c>
      <x:c r="J81" s="40" t="str">
        <x:v>No</x:v>
      </x:c>
      <x:c r="K81" s="40" t="str">
        <x:v>V1</x:v>
      </x:c>
      <x:c r="L81" s="40" t="str">
        <x:v>Domain test</x:v>
      </x:c>
      <x:c r="M81" s="40" t="str">
        <x:v>OPD-1-013</x:v>
      </x:c>
      <x:c r="N81" s="40" t="str">
        <x:v>OPD-1-013: Direct reopen only when no report or ledger effect exists; otherwise use correction.</x:v>
      </x:c>
      <x:c r="O81" s="40" t="str">
        <x:v>VS-01, VS-02</x:v>
      </x:c>
      <x:c r="P81" s="40" t="str">
        <x:v>Not Started</x:v>
      </x:c>
      <x:c r="Q81" s="40"/>
    </x:row>
    <x:row r="82">
      <x:c r="A82" s="40" t="str">
        <x:v>VS-03</x:v>
      </x:c>
      <x:c r="B82" s="40" t="n">
        <x:v>3</x:v>
      </x:c>
      <x:c r="C82" s="40" t="str">
        <x:v>Wave 2 — Core Planning Loop</x:v>
      </x:c>
      <x:c r="D82" s="40" t="str">
        <x:v>D. Tasks</x:v>
      </x:c>
      <x:c r="E82" s="40" t="str">
        <x:v>FR-D-019</x:v>
      </x:c>
      <x:c r="F82" s="40" t="str">
        <x:v>distinguish Cancelled from Skipped.</x:v>
      </x:c>
      <x:c r="G82" s="40" t="str">
        <x:v>BR-D-001, BR-D-003</x:v>
      </x:c>
      <x:c r="H82" s="40" t="str">
        <x:v>ADR-004 — Separation of Tasks and Calendar Events</x:v>
      </x:c>
      <x:c r="I82" s="40" t="str">
        <x:v>AC-D-019</x:v>
      </x:c>
      <x:c r="J82" s="40" t="str">
        <x:v>No</x:v>
      </x:c>
      <x:c r="K82" s="40" t="str">
        <x:v>V1</x:v>
      </x:c>
      <x:c r="L82" s="40" t="str">
        <x:v>Domain test</x:v>
      </x:c>
      <x:c r="M82" s="40" t="str">
        <x:v>OPD-1-014, OPD-1-015</x:v>
      </x:c>
      <x:c r="N82" s="40" t="str">
        <x:v>OPD-1-014: Skipped means intentionally not done for the relevant plan or period; Cancelled means no longer intended. | OPD-1-015: No hard delete in V1; use Cancelled and later archive behavior.</x:v>
      </x:c>
      <x:c r="O82" s="40" t="str">
        <x:v>VS-01, VS-02</x:v>
      </x:c>
      <x:c r="P82" s="40" t="str">
        <x:v>Not Started</x:v>
      </x:c>
      <x:c r="Q82" s="40"/>
    </x:row>
    <x:row r="83">
      <x:c r="A83" s="40" t="str">
        <x:v>VS-03</x:v>
      </x:c>
      <x:c r="B83" s="40" t="n">
        <x:v>3</x:v>
      </x:c>
      <x:c r="C83" s="40" t="str">
        <x:v>Wave 2 — Core Planning Loop</x:v>
      </x:c>
      <x:c r="D83" s="40" t="str">
        <x:v>D. Tasks</x:v>
      </x:c>
      <x:c r="E83" s="40" t="str">
        <x:v>FR-D-020</x:v>
      </x:c>
      <x:c r="F83" s="40" t="str">
        <x:v>make Task type clear in mixed Planner views.</x:v>
      </x:c>
      <x:c r="G83" s="40" t="str">
        <x:v>BR-D-001, BR-D-004, BR-D-006</x:v>
      </x:c>
      <x:c r="H83" s="40" t="str">
        <x:v>ADR-004 — Separation of Tasks and Calendar Events</x:v>
      </x:c>
      <x:c r="I83" s="40" t="str">
        <x:v>AC-D-020</x:v>
      </x:c>
      <x:c r="J83" s="40" t="str">
        <x:v>No</x:v>
      </x:c>
      <x:c r="K83" s="40" t="str">
        <x:v>V1</x:v>
      </x:c>
      <x:c r="L83" s="40" t="str">
        <x:v>Domain test</x:v>
      </x:c>
      <x:c r="M83" s="40"/>
      <x:c r="N83" s="40"/>
      <x:c r="O83" s="40" t="str">
        <x:v>VS-01, VS-02</x:v>
      </x:c>
      <x:c r="P83" s="40" t="str">
        <x:v>Not Started</x:v>
      </x:c>
      <x:c r="Q83" s="40"/>
    </x:row>
    <x:row r="84">
      <x:c r="A84" s="40" t="str">
        <x:v>VS-04</x:v>
      </x:c>
      <x:c r="B84" s="40" t="n">
        <x:v>4</x:v>
      </x:c>
      <x:c r="C84" s="40" t="str">
        <x:v>Wave 2 — Core Planning Loop</x:v>
      </x:c>
      <x:c r="D84" s="40" t="str">
        <x:v>E. Calendar Events and Recurrence</x:v>
      </x:c>
      <x:c r="E84" s="40" t="str">
        <x:v>FR-E-001</x:v>
      </x:c>
      <x:c r="F84" s="40" t="str">
        <x:v>be able to create one-time Calendar Events offline.</x:v>
      </x:c>
      <x:c r="G84" s="40" t="str">
        <x:v>BR-E-001, BR-E-003, BR-E-009</x:v>
      </x:c>
      <x:c r="H84" s="40" t="str">
        <x:v>ADR-011 — Event and Task Outcome Reporting; ADR-006 — Local-First Operation with Background Synchronization</x:v>
      </x:c>
      <x:c r="I84" s="40" t="str">
        <x:v>AC-E-001</x:v>
      </x:c>
      <x:c r="J84" s="40" t="str">
        <x:v>Yes</x:v>
      </x:c>
      <x:c r="K84" s="40" t="str">
        <x:v>V1</x:v>
      </x:c>
      <x:c r="L84" s="40" t="str">
        <x:v>Widget test / Integration test</x:v>
      </x:c>
      <x:c r="M84" s="40"/>
      <x:c r="N84" s="40"/>
      <x:c r="O84" s="40" t="str">
        <x:v>VS-01, VS-02, VS-03</x:v>
      </x:c>
      <x:c r="P84" s="40" t="str">
        <x:v>Not Started</x:v>
      </x:c>
      <x:c r="Q84" s="40"/>
    </x:row>
    <x:row r="85">
      <x:c r="A85" s="40" t="str">
        <x:v>VS-04</x:v>
      </x:c>
      <x:c r="B85" s="40" t="n">
        <x:v>4</x:v>
      </x:c>
      <x:c r="C85" s="40" t="str">
        <x:v>Wave 2 — Core Planning Loop</x:v>
      </x:c>
      <x:c r="D85" s="40" t="str">
        <x:v>E. Calendar Events and Recurrence</x:v>
      </x:c>
      <x:c r="E85" s="40" t="str">
        <x:v>FR-E-002</x:v>
      </x:c>
      <x:c r="F85" s="40" t="str">
        <x:v>be able to create all-day and timed events.</x:v>
      </x:c>
      <x:c r="G85" s="40" t="str">
        <x:v>BR-E-003, BR-E-009</x:v>
      </x:c>
      <x:c r="H85" s="40" t="str">
        <x:v>ADR-011 — Event and Task Outcome Reporting</x:v>
      </x:c>
      <x:c r="I85" s="40" t="str">
        <x:v>AC-E-002</x:v>
      </x:c>
      <x:c r="J85" s="40" t="str">
        <x:v>Yes</x:v>
      </x:c>
      <x:c r="K85" s="40" t="str">
        <x:v>V1</x:v>
      </x:c>
      <x:c r="L85" s="40" t="str">
        <x:v>Widget test</x:v>
      </x:c>
      <x:c r="M85" s="40"/>
      <x:c r="N85" s="40"/>
      <x:c r="O85" s="40" t="str">
        <x:v>VS-01, VS-02, VS-03</x:v>
      </x:c>
      <x:c r="P85" s="40" t="str">
        <x:v>Not Started</x:v>
      </x:c>
      <x:c r="Q85" s="40"/>
    </x:row>
    <x:row r="86">
      <x:c r="A86" s="40" t="str">
        <x:v>VS-04</x:v>
      </x:c>
      <x:c r="B86" s="40" t="n">
        <x:v>4</x:v>
      </x:c>
      <x:c r="C86" s="40" t="str">
        <x:v>Wave 2 — Core Planning Loop</x:v>
      </x:c>
      <x:c r="D86" s="40" t="str">
        <x:v>E. Calendar Events and Recurrence</x:v>
      </x:c>
      <x:c r="E86" s="40" t="str">
        <x:v>FR-E-003</x:v>
      </x:c>
      <x:c r="F86" s="40" t="str">
        <x:v>New Calendar Events shall begin as Scheduled.</x:v>
      </x:c>
      <x:c r="G86" s="40" t="str">
        <x:v>BR-E-001, BR-E-007, BR-E-009</x:v>
      </x:c>
      <x:c r="H86" s="40" t="str">
        <x:v>ADR-011 — Event and Task Outcome Reporting</x:v>
      </x:c>
      <x:c r="I86" s="40" t="str">
        <x:v>AC-E-003</x:v>
      </x:c>
      <x:c r="J86" s="40" t="str">
        <x:v>Yes</x:v>
      </x:c>
      <x:c r="K86" s="40" t="str">
        <x:v>V1</x:v>
      </x:c>
      <x:c r="L86" s="40" t="str">
        <x:v>Integration test</x:v>
      </x:c>
      <x:c r="M86" s="40"/>
      <x:c r="N86" s="40"/>
      <x:c r="O86" s="40" t="str">
        <x:v>VS-01, VS-02, VS-03</x:v>
      </x:c>
      <x:c r="P86" s="40" t="str">
        <x:v>Not Started</x:v>
      </x:c>
      <x:c r="Q86" s="40"/>
    </x:row>
    <x:row r="87">
      <x:c r="A87" s="40" t="str">
        <x:v>VS-04</x:v>
      </x:c>
      <x:c r="B87" s="40" t="n">
        <x:v>4</x:v>
      </x:c>
      <x:c r="C87" s="40" t="str">
        <x:v>Wave 2 — Core Planning Loop</x:v>
      </x:c>
      <x:c r="D87" s="40" t="str">
        <x:v>E. Calendar Events and Recurrence</x:v>
      </x:c>
      <x:c r="E87" s="40" t="str">
        <x:v>FR-E-004</x:v>
      </x:c>
      <x:c r="F87" s="40" t="str">
        <x:v>be able to create Daily recurrence.</x:v>
      </x:c>
      <x:c r="G87" s="40" t="str">
        <x:v>BR-E-003</x:v>
      </x:c>
      <x:c r="H87" s="40" t="str">
        <x:v>ADR-011 — Event and Task Outcome Reporting</x:v>
      </x:c>
      <x:c r="I87" s="40" t="str">
        <x:v>AC-E-004</x:v>
      </x:c>
      <x:c r="J87" s="40" t="str">
        <x:v>Yes</x:v>
      </x:c>
      <x:c r="K87" s="40" t="str">
        <x:v>V1</x:v>
      </x:c>
      <x:c r="L87" s="40" t="str">
        <x:v>Widget test</x:v>
      </x:c>
      <x:c r="M87" s="40" t="str">
        <x:v>OPD-1-019</x:v>
      </x:c>
      <x:c r="N87" s="40" t="str">
        <x:v>OPD-1-019: Support no end, end on date, and end after count.</x:v>
      </x:c>
      <x:c r="O87" s="40" t="str">
        <x:v>VS-01, VS-02, VS-03</x:v>
      </x:c>
      <x:c r="P87" s="40" t="str">
        <x:v>Not Started</x:v>
      </x:c>
      <x:c r="Q87" s="40"/>
    </x:row>
    <x:row r="88">
      <x:c r="A88" s="40" t="str">
        <x:v>VS-04</x:v>
      </x:c>
      <x:c r="B88" s="40" t="n">
        <x:v>4</x:v>
      </x:c>
      <x:c r="C88" s="40" t="str">
        <x:v>Wave 2 — Core Planning Loop</x:v>
      </x:c>
      <x:c r="D88" s="40" t="str">
        <x:v>E. Calendar Events and Recurrence</x:v>
      </x:c>
      <x:c r="E88" s="40" t="str">
        <x:v>FR-E-005</x:v>
      </x:c>
      <x:c r="F88" s="40" t="str">
        <x:v>be able to create Weekly recurrence.</x:v>
      </x:c>
      <x:c r="G88" s="40" t="str">
        <x:v>BR-E-003</x:v>
      </x:c>
      <x:c r="H88" s="40" t="str">
        <x:v>ADR-011 — Event and Task Outcome Reporting</x:v>
      </x:c>
      <x:c r="I88" s="40" t="str">
        <x:v>AC-E-005</x:v>
      </x:c>
      <x:c r="J88" s="40" t="str">
        <x:v>Yes</x:v>
      </x:c>
      <x:c r="K88" s="40" t="str">
        <x:v>V1</x:v>
      </x:c>
      <x:c r="L88" s="40" t="str">
        <x:v>Widget test</x:v>
      </x:c>
      <x:c r="M88" s="40" t="str">
        <x:v>OPD-1-019</x:v>
      </x:c>
      <x:c r="N88" s="40" t="str">
        <x:v>OPD-1-019: Support no end, end on date, and end after count.</x:v>
      </x:c>
      <x:c r="O88" s="40" t="str">
        <x:v>VS-01, VS-02, VS-03</x:v>
      </x:c>
      <x:c r="P88" s="40" t="str">
        <x:v>Not Started</x:v>
      </x:c>
      <x:c r="Q88" s="40"/>
    </x:row>
    <x:row r="89">
      <x:c r="A89" s="40" t="str">
        <x:v>VS-04</x:v>
      </x:c>
      <x:c r="B89" s="40" t="n">
        <x:v>4</x:v>
      </x:c>
      <x:c r="C89" s="40" t="str">
        <x:v>Wave 2 — Core Planning Loop</x:v>
      </x:c>
      <x:c r="D89" s="40" t="str">
        <x:v>E. Calendar Events and Recurrence</x:v>
      </x:c>
      <x:c r="E89" s="40" t="str">
        <x:v>FR-E-006</x:v>
      </x:c>
      <x:c r="F89" s="40" t="str">
        <x:v>be able to create Monthly recurrence.</x:v>
      </x:c>
      <x:c r="G89" s="40" t="str">
        <x:v>BR-E-003</x:v>
      </x:c>
      <x:c r="H89" s="40" t="str">
        <x:v>ADR-011 — Event and Task Outcome Reporting</x:v>
      </x:c>
      <x:c r="I89" s="40" t="str">
        <x:v>AC-E-006</x:v>
      </x:c>
      <x:c r="J89" s="40" t="str">
        <x:v>Yes</x:v>
      </x:c>
      <x:c r="K89" s="40" t="str">
        <x:v>V1</x:v>
      </x:c>
      <x:c r="L89" s="40" t="str">
        <x:v>Widget test</x:v>
      </x:c>
      <x:c r="M89" s="40" t="str">
        <x:v>OPD-1-016, OPD-1-019</x:v>
      </x:c>
      <x:c r="N89" s="40" t="str">
        <x:v>OPD-1-016: Use the final valid day in shorter months. | OPD-1-019: Support no end, end on date, and end after count.</x:v>
      </x:c>
      <x:c r="O89" s="40" t="str">
        <x:v>VS-01, VS-02, VS-03</x:v>
      </x:c>
      <x:c r="P89" s="40" t="str">
        <x:v>Not Started</x:v>
      </x:c>
      <x:c r="Q89" s="40"/>
    </x:row>
    <x:row r="90">
      <x:c r="A90" s="40" t="str">
        <x:v>VS-04</x:v>
      </x:c>
      <x:c r="B90" s="40" t="n">
        <x:v>4</x:v>
      </x:c>
      <x:c r="C90" s="40" t="str">
        <x:v>Wave 2 — Core Planning Loop</x:v>
      </x:c>
      <x:c r="D90" s="40" t="str">
        <x:v>E. Calendar Events and Recurrence</x:v>
      </x:c>
      <x:c r="E90" s="40" t="str">
        <x:v>FR-E-007</x:v>
      </x:c>
      <x:c r="F90" s="40" t="str">
        <x:v>be able to create Yearly recurrence.</x:v>
      </x:c>
      <x:c r="G90" s="40" t="str">
        <x:v>BR-E-003</x:v>
      </x:c>
      <x:c r="H90" s="40" t="str">
        <x:v>ADR-011 — Event and Task Outcome Reporting</x:v>
      </x:c>
      <x:c r="I90" s="40" t="str">
        <x:v>AC-E-007</x:v>
      </x:c>
      <x:c r="J90" s="40" t="str">
        <x:v>Yes</x:v>
      </x:c>
      <x:c r="K90" s="40" t="str">
        <x:v>V1</x:v>
      </x:c>
      <x:c r="L90" s="40" t="str">
        <x:v>Widget test</x:v>
      </x:c>
      <x:c r="M90" s="40" t="str">
        <x:v>OPD-1-017, OPD-1-019</x:v>
      </x:c>
      <x:c r="N90" s="40" t="str">
        <x:v>OPD-1-017: Use February 28 in non-leap years. | OPD-1-019: Support no end, end on date, and end after count.</x:v>
      </x:c>
      <x:c r="O90" s="40" t="str">
        <x:v>VS-01, VS-02, VS-03</x:v>
      </x:c>
      <x:c r="P90" s="40" t="str">
        <x:v>Not Started</x:v>
      </x:c>
      <x:c r="Q90" s="40"/>
    </x:row>
    <x:row r="91">
      <x:c r="A91" s="40" t="str">
        <x:v>VS-04</x:v>
      </x:c>
      <x:c r="B91" s="40" t="n">
        <x:v>4</x:v>
      </x:c>
      <x:c r="C91" s="40" t="str">
        <x:v>Wave 2 — Core Planning Loop</x:v>
      </x:c>
      <x:c r="D91" s="40" t="str">
        <x:v>E. Calendar Events and Recurrence</x:v>
      </x:c>
      <x:c r="E91" s="40" t="str">
        <x:v>FR-E-008</x:v>
      </x:c>
      <x:c r="F91" s="40" t="str">
        <x:v>Each occurrence shall have an independently reportable identity.</x:v>
      </x:c>
      <x:c r="G91" s="40" t="str">
        <x:v>BR-E-005</x:v>
      </x:c>
      <x:c r="H91" s="40" t="str">
        <x:v>ADR-011 — Event and Task Outcome Reporting; ADR-009 — Domain Ownership and Relationship Model</x:v>
      </x:c>
      <x:c r="I91" s="40" t="str">
        <x:v>AC-E-008</x:v>
      </x:c>
      <x:c r="J91" s="40" t="str">
        <x:v>Yes</x:v>
      </x:c>
      <x:c r="K91" s="40" t="str">
        <x:v>V1</x:v>
      </x:c>
      <x:c r="L91" s="40" t="str">
        <x:v>Domain test</x:v>
      </x:c>
      <x:c r="M91" s="40"/>
      <x:c r="N91" s="40"/>
      <x:c r="O91" s="40" t="str">
        <x:v>VS-01, VS-02, VS-03</x:v>
      </x:c>
      <x:c r="P91" s="40" t="str">
        <x:v>Not Started</x:v>
      </x:c>
      <x:c r="Q91" s="40"/>
    </x:row>
    <x:row r="92">
      <x:c r="A92" s="40" t="str">
        <x:v>VS-04</x:v>
      </x:c>
      <x:c r="B92" s="40" t="n">
        <x:v>4</x:v>
      </x:c>
      <x:c r="C92" s="40" t="str">
        <x:v>Wave 2 — Core Planning Loop</x:v>
      </x:c>
      <x:c r="D92" s="40" t="str">
        <x:v>E. Calendar Events and Recurrence</x:v>
      </x:c>
      <x:c r="E92" s="40" t="str">
        <x:v>FR-E-009</x:v>
      </x:c>
      <x:c r="F92" s="40" t="str">
        <x:v>derive Awaiting Report for ended report-required occurrences.</x:v>
      </x:c>
      <x:c r="G92" s="40" t="str">
        <x:v>BR-E-004, BR-E-008, BR-E-009</x:v>
      </x:c>
      <x:c r="H92" s="40" t="str">
        <x:v>ADR-011 — Event and Task Outcome Reporting</x:v>
      </x:c>
      <x:c r="I92" s="40" t="str">
        <x:v>AC-E-009</x:v>
      </x:c>
      <x:c r="J92" s="40" t="str">
        <x:v>No</x:v>
      </x:c>
      <x:c r="K92" s="40" t="str">
        <x:v>V1</x:v>
      </x:c>
      <x:c r="L92" s="40" t="str">
        <x:v>Domain test</x:v>
      </x:c>
      <x:c r="M92" s="40"/>
      <x:c r="N92" s="40"/>
      <x:c r="O92" s="40" t="str">
        <x:v>VS-01, VS-02, VS-03</x:v>
      </x:c>
      <x:c r="P92" s="40" t="str">
        <x:v>Not Started</x:v>
      </x:c>
      <x:c r="Q92" s="40"/>
    </x:row>
    <x:row r="93">
      <x:c r="A93" s="40" t="str">
        <x:v>VS-04</x:v>
      </x:c>
      <x:c r="B93" s="40" t="n">
        <x:v>4</x:v>
      </x:c>
      <x:c r="C93" s="40" t="str">
        <x:v>Wave 2 — Core Planning Loop</x:v>
      </x:c>
      <x:c r="D93" s="40" t="str">
        <x:v>E. Calendar Events and Recurrence</x:v>
      </x:c>
      <x:c r="E93" s="40" t="str">
        <x:v>FR-E-010</x:v>
      </x:c>
      <x:c r="F93" s="40" t="str">
        <x:v>not infer outcome from elapsed time.</x:v>
      </x:c>
      <x:c r="G93" s="40" t="str">
        <x:v>BR-E-002, BR-E-003</x:v>
      </x:c>
      <x:c r="H93" s="40" t="str">
        <x:v>ADR-005 — Confirmed-Source Progress and Read-Only Actuals; ADR-011 — Event and Task Outcome Reporting</x:v>
      </x:c>
      <x:c r="I93" s="40" t="str">
        <x:v>AC-E-010</x:v>
      </x:c>
      <x:c r="J93" s="40" t="str">
        <x:v>Yes</x:v>
      </x:c>
      <x:c r="K93" s="40" t="str">
        <x:v>V1</x:v>
      </x:c>
      <x:c r="L93" s="40" t="str">
        <x:v>Domain test</x:v>
      </x:c>
      <x:c r="M93" s="40"/>
      <x:c r="N93" s="40"/>
      <x:c r="O93" s="40" t="str">
        <x:v>VS-01, VS-02, VS-03</x:v>
      </x:c>
      <x:c r="P93" s="40" t="str">
        <x:v>Not Started</x:v>
      </x:c>
      <x:c r="Q93" s="40"/>
    </x:row>
    <x:row r="94">
      <x:c r="A94" s="40" t="str">
        <x:v>VS-04</x:v>
      </x:c>
      <x:c r="B94" s="40" t="n">
        <x:v>4</x:v>
      </x:c>
      <x:c r="C94" s="40" t="str">
        <x:v>Wave 2 — Core Planning Loop</x:v>
      </x:c>
      <x:c r="D94" s="40" t="str">
        <x:v>E. Calendar Events and Recurrence</x:v>
      </x:c>
      <x:c r="E94" s="40" t="str">
        <x:v>FR-E-011</x:v>
      </x:c>
      <x:c r="F94" s="40" t="str">
        <x:v>Valid reports shall support Completed/Happened, Partially Completed, and Did Not Happen.</x:v>
      </x:c>
      <x:c r="G94" s="40" t="str">
        <x:v>BR-E-001, BR-E-002</x:v>
      </x:c>
      <x:c r="H94" s="40" t="str">
        <x:v>ADR-011 — Event and Task Outcome Reporting</x:v>
      </x:c>
      <x:c r="I94" s="40" t="str">
        <x:v>AC-E-011</x:v>
      </x:c>
      <x:c r="J94" s="40" t="str">
        <x:v>No</x:v>
      </x:c>
      <x:c r="K94" s="40" t="str">
        <x:v>V1</x:v>
      </x:c>
      <x:c r="L94" s="40" t="str">
        <x:v>Domain test</x:v>
      </x:c>
      <x:c r="M94" s="40"/>
      <x:c r="N94" s="40"/>
      <x:c r="O94" s="40" t="str">
        <x:v>VS-01, VS-02, VS-03</x:v>
      </x:c>
      <x:c r="P94" s="40" t="str">
        <x:v>Not Started</x:v>
      </x:c>
      <x:c r="Q94" s="40"/>
    </x:row>
    <x:row r="95">
      <x:c r="A95" s="40" t="str">
        <x:v>VS-04</x:v>
      </x:c>
      <x:c r="B95" s="40" t="n">
        <x:v>4</x:v>
      </x:c>
      <x:c r="C95" s="40" t="str">
        <x:v>Wave 2 — Core Planning Loop</x:v>
      </x:c>
      <x:c r="D95" s="40" t="str">
        <x:v>E. Calendar Events and Recurrence</x:v>
      </x:c>
      <x:c r="E95" s="40" t="str">
        <x:v>FR-E-012</x:v>
      </x:c>
      <x:c r="F95" s="40" t="str">
        <x:v>be able to cancel supported event scopes.</x:v>
      </x:c>
      <x:c r="G95" s="40" t="str">
        <x:v>BR-E-001</x:v>
      </x:c>
      <x:c r="H95" s="40" t="str">
        <x:v>ADR-011 — Event and Task Outcome Reporting</x:v>
      </x:c>
      <x:c r="I95" s="40" t="str">
        <x:v>AC-E-012</x:v>
      </x:c>
      <x:c r="J95" s="40" t="str">
        <x:v>No</x:v>
      </x:c>
      <x:c r="K95" s="40" t="str">
        <x:v>V1</x:v>
      </x:c>
      <x:c r="L95" s="40" t="str">
        <x:v>Widget test</x:v>
      </x:c>
      <x:c r="M95" s="40"/>
      <x:c r="N95" s="40"/>
      <x:c r="O95" s="40" t="str">
        <x:v>VS-01, VS-02, VS-03</x:v>
      </x:c>
      <x:c r="P95" s="40" t="str">
        <x:v>Not Started</x:v>
      </x:c>
      <x:c r="Q95" s="40"/>
    </x:row>
    <x:row r="96">
      <x:c r="A96" s="40" t="str">
        <x:v>VS-04</x:v>
      </x:c>
      <x:c r="B96" s="40" t="n">
        <x:v>4</x:v>
      </x:c>
      <x:c r="C96" s="40" t="str">
        <x:v>Wave 2 — Core Planning Loop</x:v>
      </x:c>
      <x:c r="D96" s="40" t="str">
        <x:v>E. Calendar Events and Recurrence</x:v>
      </x:c>
      <x:c r="E96" s="40" t="str">
        <x:v>FR-E-013</x:v>
      </x:c>
      <x:c r="F96" s="40" t="str">
        <x:v>be able to reschedule supported event scopes.</x:v>
      </x:c>
      <x:c r="G96" s="40" t="str">
        <x:v>BR-E-001</x:v>
      </x:c>
      <x:c r="H96" s="40" t="str">
        <x:v>ADR-011 — Event and Task Outcome Reporting</x:v>
      </x:c>
      <x:c r="I96" s="40" t="str">
        <x:v>AC-E-013</x:v>
      </x:c>
      <x:c r="J96" s="40" t="str">
        <x:v>No</x:v>
      </x:c>
      <x:c r="K96" s="40" t="str">
        <x:v>V1</x:v>
      </x:c>
      <x:c r="L96" s="40" t="str">
        <x:v>Widget test</x:v>
      </x:c>
      <x:c r="M96" s="40"/>
      <x:c r="N96" s="40"/>
      <x:c r="O96" s="40" t="str">
        <x:v>VS-01, VS-02, VS-03</x:v>
      </x:c>
      <x:c r="P96" s="40" t="str">
        <x:v>Not Started</x:v>
      </x:c>
      <x:c r="Q96" s="40"/>
    </x:row>
    <x:row r="97">
      <x:c r="A97" s="40" t="str">
        <x:v>VS-04</x:v>
      </x:c>
      <x:c r="B97" s="40" t="n">
        <x:v>4</x:v>
      </x:c>
      <x:c r="C97" s="40" t="str">
        <x:v>Wave 2 — Core Planning Loop</x:v>
      </x:c>
      <x:c r="D97" s="40" t="str">
        <x:v>E. Calendar Events and Recurrence</x:v>
      </x:c>
      <x:c r="E97" s="40" t="str">
        <x:v>FR-E-014</x:v>
      </x:c>
      <x:c r="F97" s="40" t="str">
        <x:v>Rescheduling shall preserve the original occurrence’s Rescheduled status.</x:v>
      </x:c>
      <x:c r="G97" s="40" t="str">
        <x:v>BR-E-006, BR-E-007, BR-E-008</x:v>
      </x:c>
      <x:c r="H97" s="40" t="str">
        <x:v>ADR-011 — Event and Task Outcome Reporting</x:v>
      </x:c>
      <x:c r="I97" s="40" t="str">
        <x:v>AC-E-014</x:v>
      </x:c>
      <x:c r="J97" s="40" t="str">
        <x:v>Yes</x:v>
      </x:c>
      <x:c r="K97" s="40" t="str">
        <x:v>V1</x:v>
      </x:c>
      <x:c r="L97" s="40" t="str">
        <x:v>Domain test</x:v>
      </x:c>
      <x:c r="M97" s="40" t="str">
        <x:v>OPD-1-020</x:v>
      </x:c>
      <x:c r="N97" s="40" t="str">
        <x:v>OPD-1-020: Timed events retain their original IANA time zone and show converted local time when relevant. All-day events remain date-based and must not shift dates through time-zone conversion.</x:v>
      </x:c>
      <x:c r="O97" s="40" t="str">
        <x:v>VS-01, VS-02, VS-03</x:v>
      </x:c>
      <x:c r="P97" s="40" t="str">
        <x:v>Not Started</x:v>
      </x:c>
      <x:c r="Q97" s="40"/>
    </x:row>
    <x:row r="98">
      <x:c r="A98" s="40" t="str">
        <x:v>VS-04</x:v>
      </x:c>
      <x:c r="B98" s="40" t="n">
        <x:v>4</x:v>
      </x:c>
      <x:c r="C98" s="40" t="str">
        <x:v>Wave 2 — Core Planning Loop</x:v>
      </x:c>
      <x:c r="D98" s="40" t="str">
        <x:v>E. Calendar Events and Recurrence</x:v>
      </x:c>
      <x:c r="E98" s="40" t="str">
        <x:v>FR-E-015</x:v>
      </x:c>
      <x:c r="F98" s="40" t="str">
        <x:v>Rescheduling shall create or identify a linked replacement.</x:v>
      </x:c>
      <x:c r="G98" s="40" t="str">
        <x:v>BR-E-003, BR-E-006, BR-E-007</x:v>
      </x:c>
      <x:c r="H98" s="40" t="str">
        <x:v>ADR-011 — Event and Task Outcome Reporting; ADR-012 — Activity Ledger and Contribution Engine; ADR-009 — Domain Ownership and Relationship Model</x:v>
      </x:c>
      <x:c r="I98" s="40" t="str">
        <x:v>AC-E-015</x:v>
      </x:c>
      <x:c r="J98" s="40" t="str">
        <x:v>No</x:v>
      </x:c>
      <x:c r="K98" s="40" t="str">
        <x:v>V1</x:v>
      </x:c>
      <x:c r="L98" s="40" t="str">
        <x:v>Domain test</x:v>
      </x:c>
      <x:c r="M98" s="40"/>
      <x:c r="N98" s="40"/>
      <x:c r="O98" s="40" t="str">
        <x:v>VS-01, VS-02, VS-03</x:v>
      </x:c>
      <x:c r="P98" s="40" t="str">
        <x:v>Not Started</x:v>
      </x:c>
      <x:c r="Q98" s="40"/>
    </x:row>
    <x:row r="99">
      <x:c r="A99" s="40" t="str">
        <x:v>VS-04</x:v>
      </x:c>
      <x:c r="B99" s="40" t="n">
        <x:v>4</x:v>
      </x:c>
      <x:c r="C99" s="40" t="str">
        <x:v>Wave 2 — Core Planning Loop</x:v>
      </x:c>
      <x:c r="D99" s="40" t="str">
        <x:v>E. Calendar Events and Recurrence</x:v>
      </x:c>
      <x:c r="E99" s="40" t="str">
        <x:v>FR-E-016</x:v>
      </x:c>
      <x:c r="F99" s="40" t="str">
        <x:v>Scheduled Potential shall exclude the inactive original after rescheduling.</x:v>
      </x:c>
      <x:c r="G99" s="40" t="str">
        <x:v>BR-E-001, BR-E-006, BR-E-007</x:v>
      </x:c>
      <x:c r="H99" s="40" t="str">
        <x:v>ADR-005 — Confirmed-Source Progress and Read-Only Actuals; ADR-011 — Event and Task Outcome Reporting</x:v>
      </x:c>
      <x:c r="I99" s="40" t="str">
        <x:v>AC-E-016</x:v>
      </x:c>
      <x:c r="J99" s="40" t="str">
        <x:v>No</x:v>
      </x:c>
      <x:c r="K99" s="40" t="str">
        <x:v>V1</x:v>
      </x:c>
      <x:c r="L99" s="40" t="str">
        <x:v>Domain test</x:v>
      </x:c>
      <x:c r="M99" s="40"/>
      <x:c r="N99" s="40"/>
      <x:c r="O99" s="40" t="str">
        <x:v>VS-01, VS-02, VS-03</x:v>
      </x:c>
      <x:c r="P99" s="40" t="str">
        <x:v>Not Started</x:v>
      </x:c>
      <x:c r="Q99" s="40"/>
    </x:row>
    <x:row r="100">
      <x:c r="A100" s="40" t="str">
        <x:v>VS-04</x:v>
      </x:c>
      <x:c r="B100" s="40" t="n">
        <x:v>4</x:v>
      </x:c>
      <x:c r="C100" s="40" t="str">
        <x:v>Wave 2 — Core Planning Loop</x:v>
      </x:c>
      <x:c r="D100" s="40" t="str">
        <x:v>E. Calendar Events and Recurrence</x:v>
      </x:c>
      <x:c r="E100" s="40" t="str">
        <x:v>FR-E-017</x:v>
      </x:c>
      <x:c r="F100" s="40" t="str">
        <x:v>Recurring series edits shall preserve reported historical occurrences.</x:v>
      </x:c>
      <x:c r="G100" s="40" t="str">
        <x:v>BR-E-005, BR-E-008</x:v>
      </x:c>
      <x:c r="H100" s="40" t="str">
        <x:v>ADR-011 — Event and Task Outcome Reporting</x:v>
      </x:c>
      <x:c r="I100" s="40" t="str">
        <x:v>AC-E-017</x:v>
      </x:c>
      <x:c r="J100" s="40" t="str">
        <x:v>Yes</x:v>
      </x:c>
      <x:c r="K100" s="40" t="str">
        <x:v>V1</x:v>
      </x:c>
      <x:c r="L100" s="40" t="str">
        <x:v>Domain test</x:v>
      </x:c>
      <x:c r="M100" s="40" t="str">
        <x:v>OPD-1-018</x:v>
      </x:c>
      <x:c r="N100" s="40" t="str">
        <x:v>OPD-1-018: Support this occurrence, this and future, and entire series.</x:v>
      </x:c>
      <x:c r="O100" s="40" t="str">
        <x:v>VS-01, VS-02, VS-03</x:v>
      </x:c>
      <x:c r="P100" s="40" t="str">
        <x:v>Not Started</x:v>
      </x:c>
      <x:c r="Q100" s="40"/>
    </x:row>
    <x:row r="101">
      <x:c r="A101" s="40" t="str">
        <x:v>VS-04</x:v>
      </x:c>
      <x:c r="B101" s="40" t="n">
        <x:v>4</x:v>
      </x:c>
      <x:c r="C101" s="40" t="str">
        <x:v>Wave 2 — Core Planning Loop</x:v>
      </x:c>
      <x:c r="D101" s="40" t="str">
        <x:v>E. Calendar Events and Recurrence</x:v>
      </x:c>
      <x:c r="E101" s="40" t="str">
        <x:v>FR-E-018</x:v>
      </x:c>
      <x:c r="F101" s="40" t="str">
        <x:v>display the selected edit scope before changing a recurring series.</x:v>
      </x:c>
      <x:c r="G101" s="40" t="str">
        <x:v>BR-E-005, BR-E-008</x:v>
      </x:c>
      <x:c r="H101" s="40" t="str">
        <x:v>ADR-011 — Event and Task Outcome Reporting</x:v>
      </x:c>
      <x:c r="I101" s="40" t="str">
        <x:v>AC-E-018</x:v>
      </x:c>
      <x:c r="J101" s="40" t="str">
        <x:v>No</x:v>
      </x:c>
      <x:c r="K101" s="40" t="str">
        <x:v>V1</x:v>
      </x:c>
      <x:c r="L101" s="40" t="str">
        <x:v>Widget test</x:v>
      </x:c>
      <x:c r="M101" s="40" t="str">
        <x:v>OPD-1-018</x:v>
      </x:c>
      <x:c r="N101" s="40" t="str">
        <x:v>OPD-1-018: Support this occurrence, this and future, and entire series.</x:v>
      </x:c>
      <x:c r="O101" s="40" t="str">
        <x:v>VS-01, VS-02, VS-03</x:v>
      </x:c>
      <x:c r="P101" s="40" t="str">
        <x:v>Not Started</x:v>
      </x:c>
      <x:c r="Q101" s="40"/>
    </x:row>
    <x:row r="102">
      <x:c r="A102" s="40" t="str">
        <x:v>VS-04</x:v>
      </x:c>
      <x:c r="B102" s="40" t="n">
        <x:v>4</x:v>
      </x:c>
      <x:c r="C102" s="40" t="str">
        <x:v>Wave 2 — Core Planning Loop</x:v>
      </x:c>
      <x:c r="D102" s="40" t="str">
        <x:v>E. Calendar Events and Recurrence</x:v>
      </x:c>
      <x:c r="E102" s="40" t="str">
        <x:v>FR-E-019</x:v>
      </x:c>
      <x:c r="F102" s="40" t="str">
        <x:v>Events shall support optional typed locations without location permission.</x:v>
      </x:c>
      <x:c r="G102" s="40" t="str">
        <x:v>BR-E-009</x:v>
      </x:c>
      <x:c r="H102" s="40" t="str">
        <x:v>ADR-011 — Event and Task Outcome Reporting; ADR-021 — Security, Privacy, Permissions, and Sensitive Data</x:v>
      </x:c>
      <x:c r="I102" s="40" t="str">
        <x:v>AC-E-019</x:v>
      </x:c>
      <x:c r="J102" s="40" t="str">
        <x:v>Yes</x:v>
      </x:c>
      <x:c r="K102" s="40" t="str">
        <x:v>V1</x:v>
      </x:c>
      <x:c r="L102" s="40" t="str">
        <x:v>Widget test</x:v>
      </x:c>
      <x:c r="M102" s="40"/>
      <x:c r="N102" s="40"/>
      <x:c r="O102" s="40" t="str">
        <x:v>VS-01, VS-02, VS-03</x:v>
      </x:c>
      <x:c r="P102" s="40" t="str">
        <x:v>Not Started</x:v>
      </x:c>
      <x:c r="Q102" s="40"/>
    </x:row>
    <x:row r="103">
      <x:c r="A103" s="40" t="str">
        <x:v>VS-04</x:v>
      </x:c>
      <x:c r="B103" s="40" t="n">
        <x:v>4</x:v>
      </x:c>
      <x:c r="C103" s="40" t="str">
        <x:v>Wave 2 — Core Planning Loop</x:v>
      </x:c>
      <x:c r="D103" s="40" t="str">
        <x:v>E. Calendar Events and Recurrence</x:v>
      </x:c>
      <x:c r="E103" s="40" t="str">
        <x:v>FR-E-020</x:v>
      </x:c>
      <x:c r="F103" s="40" t="str">
        <x:v>Core events shall function without Android calendar permission.</x:v>
      </x:c>
      <x:c r="G103" s="40" t="str">
        <x:v>BR-E-001, BR-E-009</x:v>
      </x:c>
      <x:c r="H103" s="40" t="str">
        <x:v>ADR-011 — Event and Task Outcome Reporting; ADR-021 — Security, Privacy, Permissions, and Sensitive Data; ADR-022 — Notifications, Background Work, and Calendar Integration; ADR-001 — Android-First Platform Strategy</x:v>
      </x:c>
      <x:c r="I103" s="40" t="str">
        <x:v>AC-E-020</x:v>
      </x:c>
      <x:c r="J103" s="40" t="str">
        <x:v>Yes</x:v>
      </x:c>
      <x:c r="K103" s="40" t="str">
        <x:v>V1</x:v>
      </x:c>
      <x:c r="L103" s="40" t="str">
        <x:v>Widget test / Integration test</x:v>
      </x:c>
      <x:c r="M103" s="40"/>
      <x:c r="N103" s="40"/>
      <x:c r="O103" s="40" t="str">
        <x:v>VS-01, VS-02, VS-03</x:v>
      </x:c>
      <x:c r="P103" s="40" t="str">
        <x:v>Not Started</x:v>
      </x:c>
      <x:c r="Q103" s="40"/>
    </x:row>
    <x:row r="104">
      <x:c r="A104" s="40" t="str">
        <x:v>VS-04</x:v>
      </x:c>
      <x:c r="B104" s="40" t="n">
        <x:v>4</x:v>
      </x:c>
      <x:c r="C104" s="40" t="str">
        <x:v>Wave 2 — Core Planning Loop</x:v>
      </x:c>
      <x:c r="D104" s="40" t="str">
        <x:v>E. Calendar Events and Recurrence</x:v>
      </x:c>
      <x:c r="E104" s="40" t="str">
        <x:v>FR-E-021</x:v>
      </x:c>
      <x:c r="F104" s="40" t="str">
        <x:v>Event save and report retries shall be idempotent from the user’s perspective.</x:v>
      </x:c>
      <x:c r="G104" s="40" t="str">
        <x:v>BR-E-001, BR-E-002, BR-E-004</x:v>
      </x:c>
      <x:c r="H104" s="40" t="str">
        <x:v>ADR-011 — Event and Task Outcome Reporting; ADR-023 — Testing, Observability, Diagnostics, and Quality Strategy</x:v>
      </x:c>
      <x:c r="I104" s="40" t="str">
        <x:v>AC-E-021</x:v>
      </x:c>
      <x:c r="J104" s="40" t="str">
        <x:v>Yes</x:v>
      </x:c>
      <x:c r="K104" s="40" t="str">
        <x:v>V1</x:v>
      </x:c>
      <x:c r="L104" s="40" t="str">
        <x:v>Domain test</x:v>
      </x:c>
      <x:c r="M104" s="40"/>
      <x:c r="N104" s="40"/>
      <x:c r="O104" s="40" t="str">
        <x:v>VS-01, VS-02, VS-03</x:v>
      </x:c>
      <x:c r="P104" s="40" t="str">
        <x:v>Not Started</x:v>
      </x:c>
      <x:c r="Q104" s="40"/>
    </x:row>
    <x:row r="105">
      <x:c r="A105" s="40" t="str">
        <x:v>VS-04</x:v>
      </x:c>
      <x:c r="B105" s="40" t="n">
        <x:v>4</x:v>
      </x:c>
      <x:c r="C105" s="40" t="str">
        <x:v>Wave 2 — Core Planning Loop</x:v>
      </x:c>
      <x:c r="D105" s="40" t="str">
        <x:v>E. Calendar Events and Recurrence</x:v>
      </x:c>
      <x:c r="E105" s="40" t="str">
        <x:v>FR-E-022</x:v>
      </x:c>
      <x:c r="F105" s="40" t="str">
        <x:v>prevent title-only indicator classification.</x:v>
      </x:c>
      <x:c r="G105" s="40" t="str">
        <x:v>BR-E-010</x:v>
      </x:c>
      <x:c r="H105" s="40" t="str">
        <x:v>ADR-011 — Event and Task Outcome Reporting</x:v>
      </x:c>
      <x:c r="I105" s="40" t="str">
        <x:v>AC-E-022</x:v>
      </x:c>
      <x:c r="J105" s="40" t="str">
        <x:v>Yes</x:v>
      </x:c>
      <x:c r="K105" s="40" t="str">
        <x:v>V1</x:v>
      </x:c>
      <x:c r="L105" s="40" t="str">
        <x:v>Domain test</x:v>
      </x:c>
      <x:c r="M105" s="40"/>
      <x:c r="N105" s="40"/>
      <x:c r="O105" s="40" t="str">
        <x:v>VS-01, VS-02, VS-03</x:v>
      </x:c>
      <x:c r="P105" s="40" t="str">
        <x:v>Not Started</x:v>
      </x:c>
      <x:c r="Q105" s="40"/>
    </x:row>
    <x:row r="106">
      <x:c r="A106" s="40" t="str">
        <x:v>VS-04</x:v>
      </x:c>
      <x:c r="B106" s="40" t="n">
        <x:v>4</x:v>
      </x:c>
      <x:c r="C106" s="40" t="str">
        <x:v>Wave 2 — Core Planning Loop</x:v>
      </x:c>
      <x:c r="D106" s="40" t="str">
        <x:v>E. Calendar Events and Recurrence</x:v>
      </x:c>
      <x:c r="E106" s="40" t="str">
        <x:v>FR-E-023</x:v>
      </x:c>
      <x:c r="F106" s="40" t="str">
        <x:v>expose linked Tasks without merging statuses.</x:v>
      </x:c>
      <x:c r="G106" s="40" t="str">
        <x:v>BR-E-001, BR-E-006</x:v>
      </x:c>
      <x:c r="H106" s="40" t="str">
        <x:v>ADR-011 — Event and Task Outcome Reporting; ADR-009 — Domain Ownership and Relationship Model</x:v>
      </x:c>
      <x:c r="I106" s="40" t="str">
        <x:v>AC-E-023</x:v>
      </x:c>
      <x:c r="J106" s="40" t="str">
        <x:v>Yes</x:v>
      </x:c>
      <x:c r="K106" s="40" t="str">
        <x:v>V1</x:v>
      </x:c>
      <x:c r="L106" s="40" t="str">
        <x:v>Domain test</x:v>
      </x:c>
      <x:c r="M106" s="40"/>
      <x:c r="N106" s="40"/>
      <x:c r="O106" s="40" t="str">
        <x:v>VS-01, VS-02, VS-03</x:v>
      </x:c>
      <x:c r="P106" s="40" t="str">
        <x:v>Not Started</x:v>
      </x:c>
      <x:c r="Q106" s="40"/>
    </x:row>
    <x:row r="107">
      <x:c r="A107" s="40" t="str">
        <x:v>VS-04</x:v>
      </x:c>
      <x:c r="B107" s="40" t="n">
        <x:v>4</x:v>
      </x:c>
      <x:c r="C107" s="40" t="str">
        <x:v>Wave 2 — Core Planning Loop</x:v>
      </x:c>
      <x:c r="D107" s="40" t="str">
        <x:v>E. Calendar Events and Recurrence</x:v>
      </x:c>
      <x:c r="E107" s="40" t="str">
        <x:v>FR-E-024</x:v>
      </x:c>
      <x:c r="F107" s="40" t="str">
        <x:v>preserve occurrence reports during synchronization and conflict recovery.</x:v>
      </x:c>
      <x:c r="G107" s="40" t="str">
        <x:v>BR-E-005, BR-E-008</x:v>
      </x:c>
      <x:c r="H107" s="40" t="str">
        <x:v>ADR-011 — Event and Task Outcome Reporting; ADR-016 — Offline Outbox Synchronization and Conflict Resolution</x:v>
      </x:c>
      <x:c r="I107" s="40" t="str">
        <x:v>AC-E-024</x:v>
      </x:c>
      <x:c r="J107" s="40" t="str">
        <x:v>Yes</x:v>
      </x:c>
      <x:c r="K107" s="40" t="str">
        <x:v>V1</x:v>
      </x:c>
      <x:c r="L107" s="40" t="str">
        <x:v>Integration test</x:v>
      </x:c>
      <x:c r="M107" s="40"/>
      <x:c r="N107" s="40"/>
      <x:c r="O107" s="40" t="str">
        <x:v>VS-01, VS-02, VS-03</x:v>
      </x:c>
      <x:c r="P107" s="40" t="str">
        <x:v>Not Started</x:v>
      </x:c>
      <x:c r="Q107" s="40"/>
    </x:row>
    <x:row r="108">
      <x:c r="A108" s="40" t="str">
        <x:v>VS-05</x:v>
      </x:c>
      <x:c r="B108" s="40" t="n">
        <x:v>5</x:v>
      </x:c>
      <x:c r="C108" s="40" t="str">
        <x:v>Wave 2 — Core Planning Loop</x:v>
      </x:c>
      <x:c r="D108" s="40" t="str">
        <x:v>F. Task–Event Linking</x:v>
      </x:c>
      <x:c r="E108" s="40" t="str">
        <x:v>FR-F-001</x:v>
      </x:c>
      <x:c r="F108" s="40" t="str">
        <x:v>be able to link an existing Task to an existing Calendar Event.</x:v>
      </x:c>
      <x:c r="G108" s="40" t="str">
        <x:v>BR-F-001, BR-F-003, BR-F-006</x:v>
      </x:c>
      <x:c r="H108" s="40" t="str">
        <x:v>ADR-004 — Separation of Tasks and Calendar Events; ADR-009 — Domain Ownership and Relationship Model</x:v>
      </x:c>
      <x:c r="I108" s="40" t="str">
        <x:v>AC-F-001</x:v>
      </x:c>
      <x:c r="J108" s="40" t="str">
        <x:v>Yes</x:v>
      </x:c>
      <x:c r="K108" s="40" t="str">
        <x:v>V1</x:v>
      </x:c>
      <x:c r="L108" s="40" t="str">
        <x:v>Widget test / Integration test</x:v>
      </x:c>
      <x:c r="M108" s="40"/>
      <x:c r="N108" s="40"/>
      <x:c r="O108" s="40" t="str">
        <x:v>VS-03, VS-04</x:v>
      </x:c>
      <x:c r="P108" s="40" t="str">
        <x:v>Not Started</x:v>
      </x:c>
      <x:c r="Q108" s="40"/>
    </x:row>
    <x:row r="109">
      <x:c r="A109" s="40" t="str">
        <x:v>VS-05</x:v>
      </x:c>
      <x:c r="B109" s="40" t="n">
        <x:v>5</x:v>
      </x:c>
      <x:c r="C109" s="40" t="str">
        <x:v>Wave 2 — Core Planning Loop</x:v>
      </x:c>
      <x:c r="D109" s="40" t="str">
        <x:v>F. Task–Event Linking</x:v>
      </x:c>
      <x:c r="E109" s="40" t="str">
        <x:v>FR-F-002</x:v>
      </x:c>
      <x:c r="F109" s="40" t="str">
        <x:v>be able to create a Calendar Event from a Task.</x:v>
      </x:c>
      <x:c r="G109" s="40" t="str">
        <x:v>BR-F-001, BR-F-002, BR-F-003</x:v>
      </x:c>
      <x:c r="H109" s="40" t="str">
        <x:v>ADR-004 — Separation of Tasks and Calendar Events; ADR-009 — Domain Ownership and Relationship Model</x:v>
      </x:c>
      <x:c r="I109" s="40" t="str">
        <x:v>AC-F-002</x:v>
      </x:c>
      <x:c r="J109" s="40" t="str">
        <x:v>Yes</x:v>
      </x:c>
      <x:c r="K109" s="40" t="str">
        <x:v>V1</x:v>
      </x:c>
      <x:c r="L109" s="40" t="str">
        <x:v>Widget test / Integration test</x:v>
      </x:c>
      <x:c r="M109" s="40"/>
      <x:c r="N109" s="40"/>
      <x:c r="O109" s="40" t="str">
        <x:v>VS-03, VS-04</x:v>
      </x:c>
      <x:c r="P109" s="40" t="str">
        <x:v>Not Started</x:v>
      </x:c>
      <x:c r="Q109" s="40"/>
    </x:row>
    <x:row r="110">
      <x:c r="A110" s="40" t="str">
        <x:v>VS-05</x:v>
      </x:c>
      <x:c r="B110" s="40" t="n">
        <x:v>5</x:v>
      </x:c>
      <x:c r="C110" s="40" t="str">
        <x:v>Wave 2 — Core Planning Loop</x:v>
      </x:c>
      <x:c r="D110" s="40" t="str">
        <x:v>F. Task–Event Linking</x:v>
      </x:c>
      <x:c r="E110" s="40" t="str">
        <x:v>FR-F-003</x:v>
      </x:c>
      <x:c r="F110" s="40" t="str">
        <x:v>be able to link eligible recurring occurrences.</x:v>
      </x:c>
      <x:c r="G110" s="40" t="str">
        <x:v>BR-F-003, BR-F-006</x:v>
      </x:c>
      <x:c r="H110" s="40" t="str">
        <x:v>ADR-004 — Separation of Tasks and Calendar Events; ADR-009 — Domain Ownership and Relationship Model</x:v>
      </x:c>
      <x:c r="I110" s="40" t="str">
        <x:v>AC-F-003</x:v>
      </x:c>
      <x:c r="J110" s="40" t="str">
        <x:v>Yes</x:v>
      </x:c>
      <x:c r="K110" s="40" t="str">
        <x:v>V1</x:v>
      </x:c>
      <x:c r="L110" s="40" t="str">
        <x:v>Widget test</x:v>
      </x:c>
      <x:c r="M110" s="40"/>
      <x:c r="N110" s="40"/>
      <x:c r="O110" s="40" t="str">
        <x:v>VS-03, VS-04</x:v>
      </x:c>
      <x:c r="P110" s="40" t="str">
        <x:v>Not Started</x:v>
      </x:c>
      <x:c r="Q110" s="40"/>
    </x:row>
    <x:row r="111">
      <x:c r="A111" s="40" t="str">
        <x:v>VS-05</x:v>
      </x:c>
      <x:c r="B111" s="40" t="n">
        <x:v>5</x:v>
      </x:c>
      <x:c r="C111" s="40" t="str">
        <x:v>Wave 2 — Core Planning Loop</x:v>
      </x:c>
      <x:c r="D111" s="40" t="str">
        <x:v>F. Task–Event Linking</x:v>
      </x:c>
      <x:c r="E111" s="40" t="str">
        <x:v>FR-F-004</x:v>
      </x:c>
      <x:c r="F111" s="40" t="str">
        <x:v>display linked records from both Task and event details.</x:v>
      </x:c>
      <x:c r="G111" s="40" t="str">
        <x:v>BR-F-001, BR-F-002</x:v>
      </x:c>
      <x:c r="H111" s="40" t="str">
        <x:v>ADR-004 — Separation of Tasks and Calendar Events; ADR-009 — Domain Ownership and Relationship Model</x:v>
      </x:c>
      <x:c r="I111" s="40" t="str">
        <x:v>AC-F-004</x:v>
      </x:c>
      <x:c r="J111" s="40" t="str">
        <x:v>Yes</x:v>
      </x:c>
      <x:c r="K111" s="40" t="str">
        <x:v>V1</x:v>
      </x:c>
      <x:c r="L111" s="40" t="str">
        <x:v>Widget test</x:v>
      </x:c>
      <x:c r="M111" s="40" t="str">
        <x:v>OPD-2-001</x:v>
      </x:c>
      <x:c r="N111" s="40" t="str">
        <x:v>OPD-2-001: Permit explicit linking but never calculate progress from link count.</x:v>
      </x:c>
      <x:c r="O111" s="40" t="str">
        <x:v>VS-03, VS-04</x:v>
      </x:c>
      <x:c r="P111" s="40" t="str">
        <x:v>Not Started</x:v>
      </x:c>
      <x:c r="Q111" s="40"/>
    </x:row>
    <x:row r="112">
      <x:c r="A112" s="40" t="str">
        <x:v>VS-05</x:v>
      </x:c>
      <x:c r="B112" s="40" t="n">
        <x:v>5</x:v>
      </x:c>
      <x:c r="C112" s="40" t="str">
        <x:v>Wave 2 — Core Planning Loop</x:v>
      </x:c>
      <x:c r="D112" s="40" t="str">
        <x:v>F. Task–Event Linking</x:v>
      </x:c>
      <x:c r="E112" s="40" t="str">
        <x:v>FR-F-005</x:v>
      </x:c>
      <x:c r="F112" s="40" t="str">
        <x:v>preserve independent statuses.</x:v>
      </x:c>
      <x:c r="G112" s="40" t="str">
        <x:v>BR-F-001</x:v>
      </x:c>
      <x:c r="H112" s="40" t="str">
        <x:v>ADR-004 — Separation of Tasks and Calendar Events; ADR-009 — Domain Ownership and Relationship Model</x:v>
      </x:c>
      <x:c r="I112" s="40" t="str">
        <x:v>AC-F-005</x:v>
      </x:c>
      <x:c r="J112" s="40" t="str">
        <x:v>Yes</x:v>
      </x:c>
      <x:c r="K112" s="40" t="str">
        <x:v>V1</x:v>
      </x:c>
      <x:c r="L112" s="40" t="str">
        <x:v>Domain test</x:v>
      </x:c>
      <x:c r="M112" s="40"/>
      <x:c r="N112" s="40"/>
      <x:c r="O112" s="40" t="str">
        <x:v>VS-03, VS-04</x:v>
      </x:c>
      <x:c r="P112" s="40" t="str">
        <x:v>Not Started</x:v>
      </x:c>
      <x:c r="Q112" s="40"/>
    </x:row>
    <x:row r="113">
      <x:c r="A113" s="40" t="str">
        <x:v>VS-05</x:v>
      </x:c>
      <x:c r="B113" s="40" t="n">
        <x:v>5</x:v>
      </x:c>
      <x:c r="C113" s="40" t="str">
        <x:v>Wave 2 — Core Planning Loop</x:v>
      </x:c>
      <x:c r="D113" s="40" t="str">
        <x:v>F. Task–Event Linking</x:v>
      </x:c>
      <x:c r="E113" s="40" t="str">
        <x:v>FR-F-006</x:v>
      </x:c>
      <x:c r="F113" s="40" t="str">
        <x:v>prevent equivalent duplicate active links.</x:v>
      </x:c>
      <x:c r="G113" s="40" t="str">
        <x:v>BR-F-004, BR-F-005, BR-F-009</x:v>
      </x:c>
      <x:c r="H113" s="40" t="str">
        <x:v>ADR-004 — Separation of Tasks and Calendar Events; ADR-009 — Domain Ownership and Relationship Model</x:v>
      </x:c>
      <x:c r="I113" s="40" t="str">
        <x:v>AC-F-006</x:v>
      </x:c>
      <x:c r="J113" s="40" t="str">
        <x:v>Yes</x:v>
      </x:c>
      <x:c r="K113" s="40" t="str">
        <x:v>V1</x:v>
      </x:c>
      <x:c r="L113" s="40" t="str">
        <x:v>Domain test</x:v>
      </x:c>
      <x:c r="M113" s="40"/>
      <x:c r="N113" s="40"/>
      <x:c r="O113" s="40" t="str">
        <x:v>VS-03, VS-04</x:v>
      </x:c>
      <x:c r="P113" s="40" t="str">
        <x:v>Not Started</x:v>
      </x:c>
      <x:c r="Q113" s="40"/>
    </x:row>
    <x:row r="114">
      <x:c r="A114" s="40" t="str">
        <x:v>VS-05</x:v>
      </x:c>
      <x:c r="B114" s="40" t="n">
        <x:v>5</x:v>
      </x:c>
      <x:c r="C114" s="40" t="str">
        <x:v>Wave 2 — Core Planning Loop</x:v>
      </x:c>
      <x:c r="D114" s="40" t="str">
        <x:v>F. Task–Event Linking</x:v>
      </x:c>
      <x:c r="E114" s="40" t="str">
        <x:v>FR-F-007</x:v>
      </x:c>
      <x:c r="F114" s="40" t="str">
        <x:v>support link removal without deleting either record.</x:v>
      </x:c>
      <x:c r="G114" s="40" t="str">
        <x:v>BR-F-001, BR-F-003, BR-F-006</x:v>
      </x:c>
      <x:c r="H114" s="40" t="str">
        <x:v>ADR-004 — Separation of Tasks and Calendar Events; ADR-009 — Domain Ownership and Relationship Model</x:v>
      </x:c>
      <x:c r="I114" s="40" t="str">
        <x:v>AC-F-007</x:v>
      </x:c>
      <x:c r="J114" s="40" t="str">
        <x:v>Yes</x:v>
      </x:c>
      <x:c r="K114" s="40" t="str">
        <x:v>V1</x:v>
      </x:c>
      <x:c r="L114" s="40" t="str">
        <x:v>Domain test</x:v>
      </x:c>
      <x:c r="M114" s="40"/>
      <x:c r="N114" s="40"/>
      <x:c r="O114" s="40" t="str">
        <x:v>VS-03, VS-04</x:v>
      </x:c>
      <x:c r="P114" s="40" t="str">
        <x:v>Not Started</x:v>
      </x:c>
      <x:c r="Q114" s="40"/>
    </x:row>
    <x:row r="115">
      <x:c r="A115" s="40" t="str">
        <x:v>VS-05</x:v>
      </x:c>
      <x:c r="B115" s="40" t="n">
        <x:v>5</x:v>
      </x:c>
      <x:c r="C115" s="40" t="str">
        <x:v>Wave 2 — Core Planning Loop</x:v>
      </x:c>
      <x:c r="D115" s="40" t="str">
        <x:v>F. Task–Event Linking</x:v>
      </x:c>
      <x:c r="E115" s="40" t="str">
        <x:v>FR-F-008</x:v>
      </x:c>
      <x:c r="F115" s="40" t="str">
        <x:v>preserve historical relationship references where needed.</x:v>
      </x:c>
      <x:c r="G115" s="40" t="str">
        <x:v>BR-F-007</x:v>
      </x:c>
      <x:c r="H115" s="40" t="str">
        <x:v>ADR-004 — Separation of Tasks and Calendar Events; ADR-009 — Domain Ownership and Relationship Model</x:v>
      </x:c>
      <x:c r="I115" s="40" t="str">
        <x:v>AC-F-008</x:v>
      </x:c>
      <x:c r="J115" s="40" t="str">
        <x:v>Yes</x:v>
      </x:c>
      <x:c r="K115" s="40" t="str">
        <x:v>V1</x:v>
      </x:c>
      <x:c r="L115" s="40" t="str">
        <x:v>Domain test</x:v>
      </x:c>
      <x:c r="M115" s="40"/>
      <x:c r="N115" s="40"/>
      <x:c r="O115" s="40" t="str">
        <x:v>VS-03, VS-04</x:v>
      </x:c>
      <x:c r="P115" s="40" t="str">
        <x:v>Not Started</x:v>
      </x:c>
      <x:c r="Q115" s="40"/>
    </x:row>
    <x:row r="116">
      <x:c r="A116" s="40" t="str">
        <x:v>VS-05</x:v>
      </x:c>
      <x:c r="B116" s="40" t="n">
        <x:v>5</x:v>
      </x:c>
      <x:c r="C116" s="40" t="str">
        <x:v>Wave 2 — Core Planning Loop</x:v>
      </x:c>
      <x:c r="D116" s="40" t="str">
        <x:v>F. Task–Event Linking</x:v>
      </x:c>
      <x:c r="E116" s="40" t="str">
        <x:v>FR-F-009</x:v>
      </x:c>
      <x:c r="F116" s="40" t="str">
        <x:v>distinguish series-level and occurrence-level links.</x:v>
      </x:c>
      <x:c r="G116" s="40" t="str">
        <x:v>BR-F-005, BR-F-008, BR-F-009</x:v>
      </x:c>
      <x:c r="H116" s="40" t="str">
        <x:v>ADR-004 — Separation of Tasks and Calendar Events; ADR-009 — Domain Ownership and Relationship Model</x:v>
      </x:c>
      <x:c r="I116" s="40" t="str">
        <x:v>AC-F-009</x:v>
      </x:c>
      <x:c r="J116" s="40" t="str">
        <x:v>No</x:v>
      </x:c>
      <x:c r="K116" s="40" t="str">
        <x:v>V1</x:v>
      </x:c>
      <x:c r="L116" s="40" t="str">
        <x:v>Domain test</x:v>
      </x:c>
      <x:c r="M116" s="40" t="str">
        <x:v>OPD-2-002</x:v>
      </x:c>
      <x:c r="N116" s="40" t="str">
        <x:v>OPD-2-002: Apply to future occurrences with occurrence-level overrides.</x:v>
      </x:c>
      <x:c r="O116" s="40" t="str">
        <x:v>VS-03, VS-04</x:v>
      </x:c>
      <x:c r="P116" s="40" t="str">
        <x:v>Not Started</x:v>
      </x:c>
      <x:c r="Q116" s="40"/>
    </x:row>
    <x:row r="117">
      <x:c r="A117" s="40" t="str">
        <x:v>VS-05</x:v>
      </x:c>
      <x:c r="B117" s="40" t="n">
        <x:v>5</x:v>
      </x:c>
      <x:c r="C117" s="40" t="str">
        <x:v>Wave 2 — Core Planning Loop</x:v>
      </x:c>
      <x:c r="D117" s="40" t="str">
        <x:v>F. Task–Event Linking</x:v>
      </x:c>
      <x:c r="E117" s="40" t="str">
        <x:v>FR-F-010</x:v>
      </x:c>
      <x:c r="F117" s="40" t="str">
        <x:v>Rescheduling shall transfer active planning context to the replacement without losing original history.</x:v>
      </x:c>
      <x:c r="G117" s="40" t="str">
        <x:v>BR-F-004, BR-F-006, BR-F-007</x:v>
      </x:c>
      <x:c r="H117" s="40" t="str">
        <x:v>ADR-004 — Separation of Tasks and Calendar Events; ADR-012 — Activity Ledger and Contribution Engine; ADR-009 — Domain Ownership and Relationship Model</x:v>
      </x:c>
      <x:c r="I117" s="40" t="str">
        <x:v>AC-F-010</x:v>
      </x:c>
      <x:c r="J117" s="40" t="str">
        <x:v>Yes</x:v>
      </x:c>
      <x:c r="K117" s="40" t="str">
        <x:v>V1</x:v>
      </x:c>
      <x:c r="L117" s="40" t="str">
        <x:v>Domain test</x:v>
      </x:c>
      <x:c r="M117" s="40"/>
      <x:c r="N117" s="40"/>
      <x:c r="O117" s="40" t="str">
        <x:v>VS-03, VS-04</x:v>
      </x:c>
      <x:c r="P117" s="40" t="str">
        <x:v>Not Started</x:v>
      </x:c>
      <x:c r="Q117" s="40"/>
    </x:row>
    <x:row r="118">
      <x:c r="A118" s="40" t="str">
        <x:v>VS-05</x:v>
      </x:c>
      <x:c r="B118" s="40" t="n">
        <x:v>5</x:v>
      </x:c>
      <x:c r="C118" s="40" t="str">
        <x:v>Wave 2 — Core Planning Loop</x:v>
      </x:c>
      <x:c r="D118" s="40" t="str">
        <x:v>F. Task–Event Linking</x:v>
      </x:c>
      <x:c r="E118" s="40" t="str">
        <x:v>FR-F-011</x:v>
      </x:c>
      <x:c r="F118" s="40" t="str">
        <x:v>not create Actual or Activity Ledger entries from link creation.</x:v>
      </x:c>
      <x:c r="G118" s="40" t="str">
        <x:v>BR-F-002, BR-F-003, BR-F-006</x:v>
      </x:c>
      <x:c r="H118" s="40" t="str">
        <x:v>ADR-004 — Separation of Tasks and Calendar Events; ADR-005 — Confirmed-Source Progress and Read-Only Actuals; ADR-012 — Activity Ledger and Contribution Engine; ADR-009 — Domain Ownership and Relationship Model</x:v>
      </x:c>
      <x:c r="I118" s="40" t="str">
        <x:v>AC-F-011</x:v>
      </x:c>
      <x:c r="J118" s="40" t="str">
        <x:v>Yes</x:v>
      </x:c>
      <x:c r="K118" s="40" t="str">
        <x:v>V1</x:v>
      </x:c>
      <x:c r="L118" s="40" t="str">
        <x:v>Domain test / Database test</x:v>
      </x:c>
      <x:c r="M118" s="40"/>
      <x:c r="N118" s="40"/>
      <x:c r="O118" s="40" t="str">
        <x:v>VS-03, VS-04</x:v>
      </x:c>
      <x:c r="P118" s="40" t="str">
        <x:v>Not Started</x:v>
      </x:c>
      <x:c r="Q118" s="40"/>
    </x:row>
    <x:row r="119">
      <x:c r="A119" s="40" t="str">
        <x:v>VS-05</x:v>
      </x:c>
      <x:c r="B119" s="40" t="n">
        <x:v>5</x:v>
      </x:c>
      <x:c r="C119" s="40" t="str">
        <x:v>Wave 2 — Core Planning Loop</x:v>
      </x:c>
      <x:c r="D119" s="40" t="str">
        <x:v>F. Task–Event Linking</x:v>
      </x:c>
      <x:c r="E119" s="40" t="str">
        <x:v>FR-F-012</x:v>
      </x:c>
      <x:c r="F119" s="40" t="str">
        <x:v>not classify links from titles.</x:v>
      </x:c>
      <x:c r="G119" s="40" t="str">
        <x:v>BR-F-002, BR-F-008, BR-F-009</x:v>
      </x:c>
      <x:c r="H119" s="40" t="str">
        <x:v>ADR-004 — Separation of Tasks and Calendar Events; ADR-009 — Domain Ownership and Relationship Model</x:v>
      </x:c>
      <x:c r="I119" s="40" t="str">
        <x:v>AC-F-012</x:v>
      </x:c>
      <x:c r="J119" s="40" t="str">
        <x:v>Yes</x:v>
      </x:c>
      <x:c r="K119" s="40" t="str">
        <x:v>V1</x:v>
      </x:c>
      <x:c r="L119" s="40" t="str">
        <x:v>Domain test</x:v>
      </x:c>
      <x:c r="M119" s="40"/>
      <x:c r="N119" s="40"/>
      <x:c r="O119" s="40" t="str">
        <x:v>VS-03, VS-04</x:v>
      </x:c>
      <x:c r="P119" s="40" t="str">
        <x:v>Not Started</x:v>
      </x:c>
      <x:c r="Q119" s="40"/>
    </x:row>
    <x:row r="120">
      <x:c r="A120" s="40" t="str">
        <x:v>VS-05</x:v>
      </x:c>
      <x:c r="B120" s="40" t="n">
        <x:v>5</x:v>
      </x:c>
      <x:c r="C120" s="40" t="str">
        <x:v>Wave 2 — Core Planning Loop</x:v>
      </x:c>
      <x:c r="D120" s="40" t="str">
        <x:v>F. Task–Event Linking</x:v>
      </x:c>
      <x:c r="E120" s="40" t="str">
        <x:v>FR-F-013</x:v>
      </x:c>
      <x:c r="F120" s="40" t="str">
        <x:v>prevent double-counting of Scheduled Potential.</x:v>
      </x:c>
      <x:c r="G120" s="40" t="str">
        <x:v>BR-F-001</x:v>
      </x:c>
      <x:c r="H120" s="40" t="str">
        <x:v>ADR-004 — Separation of Tasks and Calendar Events; ADR-005 — Confirmed-Source Progress and Read-Only Actuals; ADR-009 — Domain Ownership and Relationship Model</x:v>
      </x:c>
      <x:c r="I120" s="40" t="str">
        <x:v>AC-F-013</x:v>
      </x:c>
      <x:c r="J120" s="40" t="str">
        <x:v>Yes</x:v>
      </x:c>
      <x:c r="K120" s="40" t="str">
        <x:v>V1</x:v>
      </x:c>
      <x:c r="L120" s="40" t="str">
        <x:v>Domain test</x:v>
      </x:c>
      <x:c r="M120" s="40" t="str">
        <x:v>OPD-2-003</x:v>
      </x:c>
      <x:c r="N120" s="40" t="str">
        <x:v>OPD-2-003: Require one explicit canonical planning source per planned contribution.</x:v>
      </x:c>
      <x:c r="O120" s="40" t="str">
        <x:v>VS-03, VS-04</x:v>
      </x:c>
      <x:c r="P120" s="40" t="str">
        <x:v>Not Started</x:v>
      </x:c>
      <x:c r="Q120" s="40"/>
    </x:row>
    <x:row r="121">
      <x:c r="A121" s="40" t="str">
        <x:v>VS-05</x:v>
      </x:c>
      <x:c r="B121" s="40" t="n">
        <x:v>5</x:v>
      </x:c>
      <x:c r="C121" s="40" t="str">
        <x:v>Wave 2 — Core Planning Loop</x:v>
      </x:c>
      <x:c r="D121" s="40" t="str">
        <x:v>F. Task–Event Linking</x:v>
      </x:c>
      <x:c r="E121" s="40" t="str">
        <x:v>FR-F-014</x:v>
      </x:c>
      <x:c r="F121" s="40" t="str">
        <x:v>support broken-link recovery.</x:v>
      </x:c>
      <x:c r="G121" s="40" t="str">
        <x:v>BR-F-003, BR-F-006, BR-F-009</x:v>
      </x:c>
      <x:c r="H121" s="40" t="str">
        <x:v>ADR-004 — Separation of Tasks and Calendar Events; ADR-009 — Domain Ownership and Relationship Model</x:v>
      </x:c>
      <x:c r="I121" s="40" t="str">
        <x:v>AC-F-014</x:v>
      </x:c>
      <x:c r="J121" s="40" t="str">
        <x:v>No</x:v>
      </x:c>
      <x:c r="K121" s="40" t="str">
        <x:v>V1</x:v>
      </x:c>
      <x:c r="L121" s="40" t="str">
        <x:v>Integration test</x:v>
      </x:c>
      <x:c r="M121" s="40"/>
      <x:c r="N121" s="40"/>
      <x:c r="O121" s="40" t="str">
        <x:v>VS-03, VS-04</x:v>
      </x:c>
      <x:c r="P121" s="40" t="str">
        <x:v>Not Started</x:v>
      </x:c>
      <x:c r="Q121" s="40"/>
    </x:row>
    <x:row r="122">
      <x:c r="A122" s="40" t="str">
        <x:v>VS-05</x:v>
      </x:c>
      <x:c r="B122" s="40" t="n">
        <x:v>5</x:v>
      </x:c>
      <x:c r="C122" s="40" t="str">
        <x:v>Wave 2 — Core Planning Loop</x:v>
      </x:c>
      <x:c r="D122" s="40" t="str">
        <x:v>F. Task–Event Linking</x:v>
      </x:c>
      <x:c r="E122" s="40" t="str">
        <x:v>FR-F-015</x:v>
      </x:c>
      <x:c r="F122" s="40" t="str">
        <x:v>support offline link creation and removal.</x:v>
      </x:c>
      <x:c r="G122" s="40" t="str">
        <x:v>BR-F-003, BR-F-006, BR-F-010</x:v>
      </x:c>
      <x:c r="H122" s="40" t="str">
        <x:v>ADR-004 — Separation of Tasks and Calendar Events; ADR-009 — Domain Ownership and Relationship Model; ADR-006 — Local-First Operation with Background Synchronization</x:v>
      </x:c>
      <x:c r="I122" s="40" t="str">
        <x:v>AC-F-015</x:v>
      </x:c>
      <x:c r="J122" s="40" t="str">
        <x:v>Yes</x:v>
      </x:c>
      <x:c r="K122" s="40" t="str">
        <x:v>V1</x:v>
      </x:c>
      <x:c r="L122" s="40" t="str">
        <x:v>Domain test</x:v>
      </x:c>
      <x:c r="M122" s="40"/>
      <x:c r="N122" s="40"/>
      <x:c r="O122" s="40" t="str">
        <x:v>VS-03, VS-04</x:v>
      </x:c>
      <x:c r="P122" s="40" t="str">
        <x:v>Not Started</x:v>
      </x:c>
      <x:c r="Q122" s="40"/>
    </x:row>
    <x:row r="123">
      <x:c r="A123" s="40" t="str">
        <x:v>VS-05</x:v>
      </x:c>
      <x:c r="B123" s="40" t="n">
        <x:v>5</x:v>
      </x:c>
      <x:c r="C123" s="40" t="str">
        <x:v>Wave 2 — Core Planning Loop</x:v>
      </x:c>
      <x:c r="D123" s="40" t="str">
        <x:v>F. Task–Event Linking</x:v>
      </x:c>
      <x:c r="E123" s="40" t="str">
        <x:v>FR-F-016</x:v>
      </x:c>
      <x:c r="F123" s="40" t="str">
        <x:v>preserve user selections after recoverable failures.</x:v>
      </x:c>
      <x:c r="G123" s="40" t="str">
        <x:v>BR-F-001</x:v>
      </x:c>
      <x:c r="H123" s="40" t="str">
        <x:v>ADR-004 — Separation of Tasks and Calendar Events; ADR-009 — Domain Ownership and Relationship Model; ADR-023 — Testing, Observability, Diagnostics, and Quality Strategy</x:v>
      </x:c>
      <x:c r="I123" s="40" t="str">
        <x:v>AC-F-016</x:v>
      </x:c>
      <x:c r="J123" s="40" t="str">
        <x:v>Yes</x:v>
      </x:c>
      <x:c r="K123" s="40" t="str">
        <x:v>V1</x:v>
      </x:c>
      <x:c r="L123" s="40" t="str">
        <x:v>Domain test</x:v>
      </x:c>
      <x:c r="M123" s="40"/>
      <x:c r="N123" s="40"/>
      <x:c r="O123" s="40" t="str">
        <x:v>VS-03, VS-04</x:v>
      </x:c>
      <x:c r="P123" s="40" t="str">
        <x:v>Not Started</x:v>
      </x:c>
      <x:c r="Q123" s="40"/>
    </x:row>
    <x:row r="124">
      <x:c r="A124" s="40" t="str">
        <x:v>VS-05</x:v>
      </x:c>
      <x:c r="B124" s="40" t="n">
        <x:v>5</x:v>
      </x:c>
      <x:c r="C124" s="40" t="str">
        <x:v>Wave 2 — Core Planning Loop</x:v>
      </x:c>
      <x:c r="D124" s="40" t="str">
        <x:v>F. Task–Event Linking</x:v>
      </x:c>
      <x:c r="E124" s="40" t="str">
        <x:v>FR-F-017</x:v>
      </x:c>
      <x:c r="F124" s="40" t="str">
        <x:v>expose why a linked item does or does not qualify as Scheduled Potential.</x:v>
      </x:c>
      <x:c r="G124" s="40" t="str">
        <x:v>BR-F-003, BR-F-006</x:v>
      </x:c>
      <x:c r="H124" s="40" t="str">
        <x:v>ADR-004 — Separation of Tasks and Calendar Events; ADR-005 — Confirmed-Source Progress and Read-Only Actuals; ADR-009 — Domain Ownership and Relationship Model</x:v>
      </x:c>
      <x:c r="I124" s="40" t="str">
        <x:v>AC-F-017</x:v>
      </x:c>
      <x:c r="J124" s="40" t="str">
        <x:v>No</x:v>
      </x:c>
      <x:c r="K124" s="40" t="str">
        <x:v>V1</x:v>
      </x:c>
      <x:c r="L124" s="40" t="str">
        <x:v>Domain test</x:v>
      </x:c>
      <x:c r="M124" s="40" t="str">
        <x:v>OPD-2-003</x:v>
      </x:c>
      <x:c r="N124" s="40" t="str">
        <x:v>OPD-2-003: Require one explicit canonical planning source per planned contribution.</x:v>
      </x:c>
      <x:c r="O124" s="40" t="str">
        <x:v>VS-03, VS-04</x:v>
      </x:c>
      <x:c r="P124" s="40" t="str">
        <x:v>Not Started</x:v>
      </x:c>
      <x:c r="Q124" s="40"/>
    </x:row>
    <x:row r="125">
      <x:c r="A125" s="40" t="str">
        <x:v>VS-05</x:v>
      </x:c>
      <x:c r="B125" s="40" t="n">
        <x:v>5</x:v>
      </x:c>
      <x:c r="C125" s="40" t="str">
        <x:v>Wave 2 — Core Planning Loop</x:v>
      </x:c>
      <x:c r="D125" s="40" t="str">
        <x:v>F. Task–Event Linking</x:v>
      </x:c>
      <x:c r="E125" s="40" t="str">
        <x:v>FR-F-018</x:v>
      </x:c>
      <x:c r="F125" s="40" t="str">
        <x:v>not apply one Event Report to multiple linked Tasks automatically.</x:v>
      </x:c>
      <x:c r="G125" s="40" t="str">
        <x:v>BR-F-001, BR-F-005, BR-F-006</x:v>
      </x:c>
      <x:c r="H125" s="40" t="str">
        <x:v>ADR-004 — Separation of Tasks and Calendar Events; ADR-011 — Event and Task Outcome Reporting; ADR-009 — Domain Ownership and Relationship Model</x:v>
      </x:c>
      <x:c r="I125" s="40" t="str">
        <x:v>AC-F-018</x:v>
      </x:c>
      <x:c r="J125" s="40" t="str">
        <x:v>Yes</x:v>
      </x:c>
      <x:c r="K125" s="40" t="str">
        <x:v>V1</x:v>
      </x:c>
      <x:c r="L125" s="40" t="str">
        <x:v>Domain test</x:v>
      </x:c>
      <x:c r="M125" s="40" t="str">
        <x:v>OPD-2-001</x:v>
      </x:c>
      <x:c r="N125" s="40" t="str">
        <x:v>OPD-2-001: Permit explicit linking but never calculate progress from link count.</x:v>
      </x:c>
      <x:c r="O125" s="40" t="str">
        <x:v>VS-03, VS-04</x:v>
      </x:c>
      <x:c r="P125" s="40" t="str">
        <x:v>Not Started</x:v>
      </x:c>
      <x:c r="Q125" s="40"/>
    </x:row>
    <x:row r="126">
      <x:c r="A126" s="40" t="str">
        <x:v>VS-06</x:v>
      </x:c>
      <x:c r="B126" s="40" t="n">
        <x:v>6</x:v>
      </x:c>
      <x:c r="C126" s="40" t="str">
        <x:v>Wave 2 — Core Planning Loop</x:v>
      </x:c>
      <x:c r="D126" s="40" t="str">
        <x:v>G. Event and Task Outcome Reporting</x:v>
      </x:c>
      <x:c r="E126" s="40" t="str">
        <x:v>FR-G-001</x:v>
      </x:c>
      <x:c r="F126" s="40" t="str">
        <x:v>be able to report each Calendar Event occurrence independently.</x:v>
      </x:c>
      <x:c r="G126" s="40" t="str">
        <x:v>BR-G-001, BR-G-004, BR-G-009</x:v>
      </x:c>
      <x:c r="H126" s="40" t="str">
        <x:v>ADR-011 — Event and Task Outcome Reporting</x:v>
      </x:c>
      <x:c r="I126" s="40" t="str">
        <x:v>AC-G-001</x:v>
      </x:c>
      <x:c r="J126" s="40" t="str">
        <x:v>Yes</x:v>
      </x:c>
      <x:c r="K126" s="40" t="str">
        <x:v>V1</x:v>
      </x:c>
      <x:c r="L126" s="40" t="str">
        <x:v>Widget test / Integration test</x:v>
      </x:c>
      <x:c r="M126" s="40"/>
      <x:c r="N126" s="40"/>
      <x:c r="O126" s="40" t="str">
        <x:v>VS-03, VS-04, VS-05</x:v>
      </x:c>
      <x:c r="P126" s="40" t="str">
        <x:v>Not Started</x:v>
      </x:c>
      <x:c r="Q126" s="40"/>
    </x:row>
    <x:row r="127">
      <x:c r="A127" s="40" t="str">
        <x:v>VS-06</x:v>
      </x:c>
      <x:c r="B127" s="40" t="n">
        <x:v>6</x:v>
      </x:c>
      <x:c r="C127" s="40" t="str">
        <x:v>Wave 2 — Core Planning Loop</x:v>
      </x:c>
      <x:c r="D127" s="40" t="str">
        <x:v>G. Event and Task Outcome Reporting</x:v>
      </x:c>
      <x:c r="E127" s="40" t="str">
        <x:v>FR-G-002</x:v>
      </x:c>
      <x:c r="F127" s="40" t="str">
        <x:v>Event reports shall support Completed/Happened, Partially Completed, and Did Not Happen.</x:v>
      </x:c>
      <x:c r="G127" s="40" t="str">
        <x:v>BR-G-001, BR-G-002, BR-G-007</x:v>
      </x:c>
      <x:c r="H127" s="40" t="str">
        <x:v>ADR-011 — Event and Task Outcome Reporting</x:v>
      </x:c>
      <x:c r="I127" s="40" t="str">
        <x:v>AC-G-002</x:v>
      </x:c>
      <x:c r="J127" s="40" t="str">
        <x:v>Yes</x:v>
      </x:c>
      <x:c r="K127" s="40" t="str">
        <x:v>V1</x:v>
      </x:c>
      <x:c r="L127" s="40" t="str">
        <x:v>Domain test</x:v>
      </x:c>
      <x:c r="M127" s="40"/>
      <x:c r="N127" s="40"/>
      <x:c r="O127" s="40" t="str">
        <x:v>VS-03, VS-04, VS-05</x:v>
      </x:c>
      <x:c r="P127" s="40" t="str">
        <x:v>Not Started</x:v>
      </x:c>
      <x:c r="Q127" s="40"/>
    </x:row>
    <x:row r="128">
      <x:c r="A128" s="40" t="str">
        <x:v>VS-06</x:v>
      </x:c>
      <x:c r="B128" s="40" t="n">
        <x:v>6</x:v>
      </x:c>
      <x:c r="C128" s="40" t="str">
        <x:v>Wave 2 — Core Planning Loop</x:v>
      </x:c>
      <x:c r="D128" s="40" t="str">
        <x:v>G. Event and Task Outcome Reporting</x:v>
      </x:c>
      <x:c r="E128" s="40" t="str">
        <x:v>FR-G-003</x:v>
      </x:c>
      <x:c r="F128" s="40" t="str">
        <x:v>derive Awaiting Report without assigning an event outcome.</x:v>
      </x:c>
      <x:c r="G128" s="40" t="str">
        <x:v>BR-G-001, BR-G-004, BR-G-009</x:v>
      </x:c>
      <x:c r="H128" s="40" t="str">
        <x:v>ADR-011 — Event and Task Outcome Reporting</x:v>
      </x:c>
      <x:c r="I128" s="40" t="str">
        <x:v>AC-G-003</x:v>
      </x:c>
      <x:c r="J128" s="40" t="str">
        <x:v>Yes</x:v>
      </x:c>
      <x:c r="K128" s="40" t="str">
        <x:v>V1</x:v>
      </x:c>
      <x:c r="L128" s="40" t="str">
        <x:v>Domain test</x:v>
      </x:c>
      <x:c r="M128" s="40"/>
      <x:c r="N128" s="40"/>
      <x:c r="O128" s="40" t="str">
        <x:v>VS-03, VS-04, VS-05</x:v>
      </x:c>
      <x:c r="P128" s="40" t="str">
        <x:v>Not Started</x:v>
      </x:c>
      <x:c r="Q128" s="40"/>
    </x:row>
    <x:row r="129">
      <x:c r="A129" s="40" t="str">
        <x:v>VS-06</x:v>
      </x:c>
      <x:c r="B129" s="40" t="n">
        <x:v>6</x:v>
      </x:c>
      <x:c r="C129" s="40" t="str">
        <x:v>Wave 2 — Core Planning Loop</x:v>
      </x:c>
      <x:c r="D129" s="40" t="str">
        <x:v>G. Event and Task Outcome Reporting</x:v>
      </x:c>
      <x:c r="E129" s="40" t="str">
        <x:v>FR-G-004</x:v>
      </x:c>
      <x:c r="F129" s="40" t="str">
        <x:v>be able to save report drafts.</x:v>
      </x:c>
      <x:c r="G129" s="40" t="str">
        <x:v>BR-G-004, BR-G-009</x:v>
      </x:c>
      <x:c r="H129" s="40" t="str">
        <x:v>ADR-011 — Event and Task Outcome Reporting</x:v>
      </x:c>
      <x:c r="I129" s="40" t="str">
        <x:v>AC-G-004</x:v>
      </x:c>
      <x:c r="J129" s="40" t="str">
        <x:v>Yes</x:v>
      </x:c>
      <x:c r="K129" s="40" t="str">
        <x:v>V1</x:v>
      </x:c>
      <x:c r="L129" s="40" t="str">
        <x:v>Widget test</x:v>
      </x:c>
      <x:c r="M129" s="40" t="str">
        <x:v>OPD-2-004</x:v>
      </x:c>
      <x:c r="N129" s="40" t="str">
        <x:v>OPD-2-004: Autosave locally and label clearly as Draft.</x:v>
      </x:c>
      <x:c r="O129" s="40" t="str">
        <x:v>VS-03, VS-04, VS-05</x:v>
      </x:c>
      <x:c r="P129" s="40" t="str">
        <x:v>Not Started</x:v>
      </x:c>
      <x:c r="Q129" s="40"/>
    </x:row>
    <x:row r="130">
      <x:c r="A130" s="40" t="str">
        <x:v>VS-06</x:v>
      </x:c>
      <x:c r="B130" s="40" t="n">
        <x:v>6</x:v>
      </x:c>
      <x:c r="C130" s="40" t="str">
        <x:v>Wave 2 — Core Planning Loop</x:v>
      </x:c>
      <x:c r="D130" s="40" t="str">
        <x:v>G. Event and Task Outcome Reporting</x:v>
      </x:c>
      <x:c r="E130" s="40" t="str">
        <x:v>FR-G-005</x:v>
      </x:c>
      <x:c r="F130" s="40" t="str">
        <x:v>Drafts shall not affect statuses or Actual.</x:v>
      </x:c>
      <x:c r="G130" s="40" t="str">
        <x:v>BR-G-003</x:v>
      </x:c>
      <x:c r="H130" s="40" t="str">
        <x:v>ADR-005 — Confirmed-Source Progress and Read-Only Actuals; ADR-011 — Event and Task Outcome Reporting</x:v>
      </x:c>
      <x:c r="I130" s="40" t="str">
        <x:v>AC-G-005</x:v>
      </x:c>
      <x:c r="J130" s="40" t="str">
        <x:v>Yes</x:v>
      </x:c>
      <x:c r="K130" s="40" t="str">
        <x:v>V1</x:v>
      </x:c>
      <x:c r="L130" s="40" t="str">
        <x:v>Domain test</x:v>
      </x:c>
      <x:c r="M130" s="40" t="str">
        <x:v>OPD-2-004</x:v>
      </x:c>
      <x:c r="N130" s="40" t="str">
        <x:v>OPD-2-004: Autosave locally and label clearly as Draft.</x:v>
      </x:c>
      <x:c r="O130" s="40" t="str">
        <x:v>VS-03, VS-04, VS-05</x:v>
      </x:c>
      <x:c r="P130" s="40" t="str">
        <x:v>Not Started</x:v>
      </x:c>
      <x:c r="Q130" s="40"/>
    </x:row>
    <x:row r="131">
      <x:c r="A131" s="40" t="str">
        <x:v>VS-06</x:v>
      </x:c>
      <x:c r="B131" s="40" t="n">
        <x:v>6</x:v>
      </x:c>
      <x:c r="C131" s="40" t="str">
        <x:v>Wave 2 — Core Planning Loop</x:v>
      </x:c>
      <x:c r="D131" s="40" t="str">
        <x:v>G. Event and Task Outcome Reporting</x:v>
      </x:c>
      <x:c r="E131" s="40" t="str">
        <x:v>FR-G-006</x:v>
      </x:c>
      <x:c r="F131" s="40" t="str">
        <x:v>Report-required Tasks shall require valid structured reporting.</x:v>
      </x:c>
      <x:c r="G131" s="40" t="str">
        <x:v>BR-G-004, BR-G-005, BR-G-010</x:v>
      </x:c>
      <x:c r="H131" s="40" t="str">
        <x:v>ADR-011 — Event and Task Outcome Reporting</x:v>
      </x:c>
      <x:c r="I131" s="40" t="str">
        <x:v>AC-G-006</x:v>
      </x:c>
      <x:c r="J131" s="40" t="str">
        <x:v>Yes</x:v>
      </x:c>
      <x:c r="K131" s="40" t="str">
        <x:v>V1</x:v>
      </x:c>
      <x:c r="L131" s="40" t="str">
        <x:v>Domain test</x:v>
      </x:c>
      <x:c r="M131" s="40" t="str">
        <x:v>OPD-2-005</x:v>
      </x:c>
      <x:c r="N131" s="40" t="str">
        <x:v>OPD-2-005: Require a reason when the corrected report affected Actual.</x:v>
      </x:c>
      <x:c r="O131" s="40" t="str">
        <x:v>VS-03, VS-04, VS-05</x:v>
      </x:c>
      <x:c r="P131" s="40" t="str">
        <x:v>Not Started</x:v>
      </x:c>
      <x:c r="Q131" s="40"/>
    </x:row>
    <x:row r="132">
      <x:c r="A132" s="40" t="str">
        <x:v>VS-06</x:v>
      </x:c>
      <x:c r="B132" s="40" t="n">
        <x:v>6</x:v>
      </x:c>
      <x:c r="C132" s="40" t="str">
        <x:v>Wave 2 — Core Planning Loop</x:v>
      </x:c>
      <x:c r="D132" s="40" t="str">
        <x:v>G. Event and Task Outcome Reporting</x:v>
      </x:c>
      <x:c r="E132" s="40" t="str">
        <x:v>FR-G-007</x:v>
      </x:c>
      <x:c r="F132" s="40" t="str">
        <x:v>commit Task completion and required reporting coherently.</x:v>
      </x:c>
      <x:c r="G132" s="40" t="str">
        <x:v>BR-G-005, BR-G-006, BR-G-010</x:v>
      </x:c>
      <x:c r="H132" s="40" t="str">
        <x:v>ADR-011 — Event and Task Outcome Reporting</x:v>
      </x:c>
      <x:c r="I132" s="40" t="str">
        <x:v>AC-G-007</x:v>
      </x:c>
      <x:c r="J132" s="40" t="str">
        <x:v>Yes</x:v>
      </x:c>
      <x:c r="K132" s="40" t="str">
        <x:v>V1</x:v>
      </x:c>
      <x:c r="L132" s="40" t="str">
        <x:v>Domain test</x:v>
      </x:c>
      <x:c r="M132" s="40" t="str">
        <x:v>OPD-1-012</x:v>
      </x:c>
      <x:c r="N132" s="40" t="str">
        <x:v>OPD-1-012: Keep the Task Incomplete until report and completion save coherently.</x:v>
      </x:c>
      <x:c r="O132" s="40" t="str">
        <x:v>VS-03, VS-04, VS-05</x:v>
      </x:c>
      <x:c r="P132" s="40" t="str">
        <x:v>Not Started</x:v>
      </x:c>
      <x:c r="Q132" s="40"/>
    </x:row>
    <x:row r="133">
      <x:c r="A133" s="40" t="str">
        <x:v>VS-06</x:v>
      </x:c>
      <x:c r="B133" s="40" t="n">
        <x:v>6</x:v>
      </x:c>
      <x:c r="C133" s="40" t="str">
        <x:v>Wave 2 — Core Planning Loop</x:v>
      </x:c>
      <x:c r="D133" s="40" t="str">
        <x:v>G. Event and Task Outcome Reporting</x:v>
      </x:c>
      <x:c r="E133" s="40" t="str">
        <x:v>FR-G-008</x:v>
      </x:c>
      <x:c r="F133" s="40" t="str">
        <x:v>validate reports offline.</x:v>
      </x:c>
      <x:c r="G133" s="40" t="str">
        <x:v>BR-G-003, BR-G-007, BR-G-010</x:v>
      </x:c>
      <x:c r="H133" s="40" t="str">
        <x:v>ADR-011 — Event and Task Outcome Reporting; ADR-006 — Local-First Operation with Background Synchronization</x:v>
      </x:c>
      <x:c r="I133" s="40" t="str">
        <x:v>AC-G-008</x:v>
      </x:c>
      <x:c r="J133" s="40" t="str">
        <x:v>Yes</x:v>
      </x:c>
      <x:c r="K133" s="40" t="str">
        <x:v>V1</x:v>
      </x:c>
      <x:c r="L133" s="40" t="str">
        <x:v>Domain test</x:v>
      </x:c>
      <x:c r="M133" s="40"/>
      <x:c r="N133" s="40"/>
      <x:c r="O133" s="40" t="str">
        <x:v>VS-03, VS-04, VS-05</x:v>
      </x:c>
      <x:c r="P133" s="40" t="str">
        <x:v>Not Started</x:v>
      </x:c>
      <x:c r="Q133" s="40"/>
    </x:row>
    <x:row r="134">
      <x:c r="A134" s="40" t="str">
        <x:v>VS-06</x:v>
      </x:c>
      <x:c r="B134" s="40" t="n">
        <x:v>6</x:v>
      </x:c>
      <x:c r="C134" s="40" t="str">
        <x:v>Wave 2 — Core Planning Loop</x:v>
      </x:c>
      <x:c r="D134" s="40" t="str">
        <x:v>G. Event and Task Outcome Reporting</x:v>
      </x:c>
      <x:c r="E134" s="40" t="str">
        <x:v>FR-G-009</x:v>
      </x:c>
      <x:c r="F134" s="40" t="str">
        <x:v>Submitted reports shall retain activity date and submission date.</x:v>
      </x:c>
      <x:c r="G134" s="40" t="str">
        <x:v>BR-G-002, BR-G-003, BR-G-007</x:v>
      </x:c>
      <x:c r="H134" s="40" t="str">
        <x:v>ADR-011 — Event and Task Outcome Reporting</x:v>
      </x:c>
      <x:c r="I134" s="40" t="str">
        <x:v>AC-G-009</x:v>
      </x:c>
      <x:c r="J134" s="40" t="str">
        <x:v>No</x:v>
      </x:c>
      <x:c r="K134" s="40" t="str">
        <x:v>V1</x:v>
      </x:c>
      <x:c r="L134" s="40" t="str">
        <x:v>Domain test</x:v>
      </x:c>
      <x:c r="M134" s="40"/>
      <x:c r="N134" s="40"/>
      <x:c r="O134" s="40" t="str">
        <x:v>VS-03, VS-04, VS-05</x:v>
      </x:c>
      <x:c r="P134" s="40" t="str">
        <x:v>Not Started</x:v>
      </x:c>
      <x:c r="Q134" s="40"/>
    </x:row>
    <x:row r="135">
      <x:c r="A135" s="40" t="str">
        <x:v>VS-06</x:v>
      </x:c>
      <x:c r="B135" s="40" t="n">
        <x:v>6</x:v>
      </x:c>
      <x:c r="C135" s="40" t="str">
        <x:v>Wave 2 — Core Planning Loop</x:v>
      </x:c>
      <x:c r="D135" s="40" t="str">
        <x:v>G. Event and Task Outcome Reporting</x:v>
      </x:c>
      <x:c r="E135" s="40" t="str">
        <x:v>FR-G-010</x:v>
      </x:c>
      <x:c r="F135" s="40" t="str">
        <x:v>be able to correct submitted reports.</x:v>
      </x:c>
      <x:c r="G135" s="40" t="str">
        <x:v>BR-G-002, BR-G-003, BR-G-007</x:v>
      </x:c>
      <x:c r="H135" s="40" t="str">
        <x:v>ADR-011 — Event and Task Outcome Reporting</x:v>
      </x:c>
      <x:c r="I135" s="40" t="str">
        <x:v>AC-G-010</x:v>
      </x:c>
      <x:c r="J135" s="40" t="str">
        <x:v>No</x:v>
      </x:c>
      <x:c r="K135" s="40" t="str">
        <x:v>V1</x:v>
      </x:c>
      <x:c r="L135" s="40" t="str">
        <x:v>Widget test</x:v>
      </x:c>
      <x:c r="M135" s="40" t="str">
        <x:v>OPD-1-013</x:v>
      </x:c>
      <x:c r="N135" s="40" t="str">
        <x:v>OPD-1-013: Direct reopen only when no report or ledger effect exists; otherwise use correction.</x:v>
      </x:c>
      <x:c r="O135" s="40" t="str">
        <x:v>VS-03, VS-04, VS-05</x:v>
      </x:c>
      <x:c r="P135" s="40" t="str">
        <x:v>Not Started</x:v>
      </x:c>
      <x:c r="Q135" s="40"/>
    </x:row>
    <x:row r="136">
      <x:c r="A136" s="40" t="str">
        <x:v>VS-06</x:v>
      </x:c>
      <x:c r="B136" s="40" t="n">
        <x:v>6</x:v>
      </x:c>
      <x:c r="C136" s="40" t="str">
        <x:v>Wave 2 — Core Planning Loop</x:v>
      </x:c>
      <x:c r="D136" s="40" t="str">
        <x:v>G. Event and Task Outcome Reporting</x:v>
      </x:c>
      <x:c r="E136" s="40" t="str">
        <x:v>FR-G-011</x:v>
      </x:c>
      <x:c r="F136" s="40" t="str">
        <x:v>Corrections shall retain original history.</x:v>
      </x:c>
      <x:c r="G136" s="40" t="str">
        <x:v>BR-G-007</x:v>
      </x:c>
      <x:c r="H136" s="40" t="str">
        <x:v>ADR-011 — Event and Task Outcome Reporting</x:v>
      </x:c>
      <x:c r="I136" s="40" t="str">
        <x:v>AC-G-011</x:v>
      </x:c>
      <x:c r="J136" s="40" t="str">
        <x:v>No</x:v>
      </x:c>
      <x:c r="K136" s="40" t="str">
        <x:v>V1</x:v>
      </x:c>
      <x:c r="L136" s="40" t="str">
        <x:v>Domain test</x:v>
      </x:c>
      <x:c r="M136" s="40" t="str">
        <x:v>OPD-1-013</x:v>
      </x:c>
      <x:c r="N136" s="40" t="str">
        <x:v>OPD-1-013: Direct reopen only when no report or ledger effect exists; otherwise use correction.</x:v>
      </x:c>
      <x:c r="O136" s="40" t="str">
        <x:v>VS-03, VS-04, VS-05</x:v>
      </x:c>
      <x:c r="P136" s="40" t="str">
        <x:v>Not Started</x:v>
      </x:c>
      <x:c r="Q136" s="40"/>
    </x:row>
    <x:row r="137">
      <x:c r="A137" s="40" t="str">
        <x:v>VS-06</x:v>
      </x:c>
      <x:c r="B137" s="40" t="n">
        <x:v>6</x:v>
      </x:c>
      <x:c r="C137" s="40" t="str">
        <x:v>Wave 2 — Core Planning Loop</x:v>
      </x:c>
      <x:c r="D137" s="40" t="str">
        <x:v>G. Event and Task Outcome Reporting</x:v>
      </x:c>
      <x:c r="E137" s="40" t="str">
        <x:v>FR-G-012</x:v>
      </x:c>
      <x:c r="F137" s="40" t="str">
        <x:v>Corrections shall trigger reversal and replacement ledger behavior.</x:v>
      </x:c>
      <x:c r="G137" s="40" t="str">
        <x:v>BR-G-007</x:v>
      </x:c>
      <x:c r="H137" s="40" t="str">
        <x:v>ADR-011 — Event and Task Outcome Reporting; ADR-012 — Activity Ledger and Contribution Engine</x:v>
      </x:c>
      <x:c r="I137" s="40" t="str">
        <x:v>AC-G-012</x:v>
      </x:c>
      <x:c r="J137" s="40" t="str">
        <x:v>No</x:v>
      </x:c>
      <x:c r="K137" s="40" t="str">
        <x:v>V1</x:v>
      </x:c>
      <x:c r="L137" s="40" t="str">
        <x:v>Database test</x:v>
      </x:c>
      <x:c r="M137" s="40" t="str">
        <x:v>OPD-1-013</x:v>
      </x:c>
      <x:c r="N137" s="40" t="str">
        <x:v>OPD-1-013: Direct reopen only when no report or ledger effect exists; otherwise use correction.</x:v>
      </x:c>
      <x:c r="O137" s="40" t="str">
        <x:v>VS-03, VS-04, VS-05</x:v>
      </x:c>
      <x:c r="P137" s="40" t="str">
        <x:v>Not Started</x:v>
      </x:c>
      <x:c r="Q137" s="40"/>
    </x:row>
    <x:row r="138">
      <x:c r="A138" s="40" t="str">
        <x:v>VS-06</x:v>
      </x:c>
      <x:c r="B138" s="40" t="n">
        <x:v>6</x:v>
      </x:c>
      <x:c r="C138" s="40" t="str">
        <x:v>Wave 2 — Core Planning Loop</x:v>
      </x:c>
      <x:c r="D138" s="40" t="str">
        <x:v>G. Event and Task Outcome Reporting</x:v>
      </x:c>
      <x:c r="E138" s="40" t="str">
        <x:v>FR-G-013</x:v>
      </x:c>
      <x:c r="F138" s="40" t="str">
        <x:v>Submission retries shall be idempotent.</x:v>
      </x:c>
      <x:c r="G138" s="40" t="str">
        <x:v>BR-G-008</x:v>
      </x:c>
      <x:c r="H138" s="40" t="str">
        <x:v>ADR-011 — Event and Task Outcome Reporting; ADR-023 — Testing, Observability, Diagnostics, and Quality Strategy</x:v>
      </x:c>
      <x:c r="I138" s="40" t="str">
        <x:v>AC-G-013</x:v>
      </x:c>
      <x:c r="J138" s="40" t="str">
        <x:v>Yes</x:v>
      </x:c>
      <x:c r="K138" s="40" t="str">
        <x:v>V1</x:v>
      </x:c>
      <x:c r="L138" s="40" t="str">
        <x:v>Domain test</x:v>
      </x:c>
      <x:c r="M138" s="40"/>
      <x:c r="N138" s="40"/>
      <x:c r="O138" s="40" t="str">
        <x:v>VS-03, VS-04, VS-05</x:v>
      </x:c>
      <x:c r="P138" s="40" t="str">
        <x:v>Not Started</x:v>
      </x:c>
      <x:c r="Q138" s="40"/>
    </x:row>
    <x:row r="139">
      <x:c r="A139" s="40" t="str">
        <x:v>VS-06</x:v>
      </x:c>
      <x:c r="B139" s="40" t="n">
        <x:v>6</x:v>
      </x:c>
      <x:c r="C139" s="40" t="str">
        <x:v>Wave 2 — Core Planning Loop</x:v>
      </x:c>
      <x:c r="D139" s="40" t="str">
        <x:v>G. Event and Task Outcome Reporting</x:v>
      </x:c>
      <x:c r="E139" s="40" t="str">
        <x:v>FR-G-014</x:v>
      </x:c>
      <x:c r="F139" s="40" t="str">
        <x:v>show whether a report produced contributions.</x:v>
      </x:c>
      <x:c r="G139" s="40" t="str">
        <x:v>BR-G-004, BR-G-009</x:v>
      </x:c>
      <x:c r="H139" s="40" t="str">
        <x:v>ADR-011 — Event and Task Outcome Reporting; ADR-012 — Activity Ledger and Contribution Engine; ADR-008 — Explicit Multi-Indicator Contributions</x:v>
      </x:c>
      <x:c r="I139" s="40" t="str">
        <x:v>AC-G-014</x:v>
      </x:c>
      <x:c r="J139" s="40" t="str">
        <x:v>No</x:v>
      </x:c>
      <x:c r="K139" s="40" t="str">
        <x:v>V1</x:v>
      </x:c>
      <x:c r="L139" s="40" t="str">
        <x:v>Domain test</x:v>
      </x:c>
      <x:c r="M139" s="40"/>
      <x:c r="N139" s="40"/>
      <x:c r="O139" s="40" t="str">
        <x:v>VS-03, VS-04, VS-05</x:v>
      </x:c>
      <x:c r="P139" s="40" t="str">
        <x:v>Not Started</x:v>
      </x:c>
      <x:c r="Q139" s="40"/>
    </x:row>
    <x:row r="140">
      <x:c r="A140" s="40" t="str">
        <x:v>VS-06</x:v>
      </x:c>
      <x:c r="B140" s="40" t="n">
        <x:v>6</x:v>
      </x:c>
      <x:c r="C140" s="40" t="str">
        <x:v>Wave 2 — Core Planning Loop</x:v>
      </x:c>
      <x:c r="D140" s="40" t="str">
        <x:v>G. Event and Task Outcome Reporting</x:v>
      </x:c>
      <x:c r="E140" s="40" t="str">
        <x:v>FR-G-015</x:v>
      </x:c>
      <x:c r="F140" s="40" t="str">
        <x:v>prevent title-only report classification.</x:v>
      </x:c>
      <x:c r="G140" s="40" t="str">
        <x:v>BR-G-001, BR-G-004, BR-G-009</x:v>
      </x:c>
      <x:c r="H140" s="40" t="str">
        <x:v>ADR-011 — Event and Task Outcome Reporting</x:v>
      </x:c>
      <x:c r="I140" s="40" t="str">
        <x:v>AC-G-015</x:v>
      </x:c>
      <x:c r="J140" s="40" t="str">
        <x:v>Yes</x:v>
      </x:c>
      <x:c r="K140" s="40" t="str">
        <x:v>V1</x:v>
      </x:c>
      <x:c r="L140" s="40" t="str">
        <x:v>Domain test</x:v>
      </x:c>
      <x:c r="M140" s="40"/>
      <x:c r="N140" s="40"/>
      <x:c r="O140" s="40" t="str">
        <x:v>VS-03, VS-04, VS-05</x:v>
      </x:c>
      <x:c r="P140" s="40" t="str">
        <x:v>Not Started</x:v>
      </x:c>
      <x:c r="Q140" s="40"/>
    </x:row>
    <x:row r="141">
      <x:c r="A141" s="40" t="str">
        <x:v>VS-06</x:v>
      </x:c>
      <x:c r="B141" s="40" t="n">
        <x:v>6</x:v>
      </x:c>
      <x:c r="C141" s="40" t="str">
        <x:v>Wave 2 — Core Planning Loop</x:v>
      </x:c>
      <x:c r="D141" s="40" t="str">
        <x:v>G. Event and Task Outcome Reporting</x:v>
      </x:c>
      <x:c r="E141" s="40" t="str">
        <x:v>FR-G-016</x:v>
      </x:c>
      <x:c r="F141" s="40" t="str">
        <x:v>support offline report submission and correction.</x:v>
      </x:c>
      <x:c r="G141" s="40" t="str">
        <x:v>BR-G-004, BR-G-009, BR-G-010</x:v>
      </x:c>
      <x:c r="H141" s="40" t="str">
        <x:v>ADR-011 — Event and Task Outcome Reporting; ADR-006 — Local-First Operation with Background Synchronization</x:v>
      </x:c>
      <x:c r="I141" s="40" t="str">
        <x:v>AC-G-016</x:v>
      </x:c>
      <x:c r="J141" s="40" t="str">
        <x:v>Yes</x:v>
      </x:c>
      <x:c r="K141" s="40" t="str">
        <x:v>V1</x:v>
      </x:c>
      <x:c r="L141" s="40" t="str">
        <x:v>Domain test</x:v>
      </x:c>
      <x:c r="M141" s="40" t="str">
        <x:v>OPD-2-005</x:v>
      </x:c>
      <x:c r="N141" s="40" t="str">
        <x:v>OPD-2-005: Require a reason when the corrected report affected Actual.</x:v>
      </x:c>
      <x:c r="O141" s="40" t="str">
        <x:v>VS-03, VS-04, VS-05</x:v>
      </x:c>
      <x:c r="P141" s="40" t="str">
        <x:v>Not Started</x:v>
      </x:c>
      <x:c r="Q141" s="40"/>
    </x:row>
    <x:row r="142">
      <x:c r="A142" s="40" t="str">
        <x:v>VS-06</x:v>
      </x:c>
      <x:c r="B142" s="40" t="n">
        <x:v>6</x:v>
      </x:c>
      <x:c r="C142" s="40" t="str">
        <x:v>Wave 2 — Core Planning Loop</x:v>
      </x:c>
      <x:c r="D142" s="40" t="str">
        <x:v>G. Event and Task Outcome Reporting</x:v>
      </x:c>
      <x:c r="E142" s="40" t="str">
        <x:v>FR-G-017</x:v>
      </x:c>
      <x:c r="F142" s="40" t="str">
        <x:v>preserve drafts across recoverable interruptions.</x:v>
      </x:c>
      <x:c r="G142" s="40" t="str">
        <x:v>BR-G-007</x:v>
      </x:c>
      <x:c r="H142" s="40" t="str">
        <x:v>ADR-011 — Event and Task Outcome Reporting</x:v>
      </x:c>
      <x:c r="I142" s="40" t="str">
        <x:v>AC-G-017</x:v>
      </x:c>
      <x:c r="J142" s="40" t="str">
        <x:v>Yes</x:v>
      </x:c>
      <x:c r="K142" s="40" t="str">
        <x:v>V1</x:v>
      </x:c>
      <x:c r="L142" s="40" t="str">
        <x:v>Domain test</x:v>
      </x:c>
      <x:c r="M142" s="40" t="str">
        <x:v>OPD-2-004</x:v>
      </x:c>
      <x:c r="N142" s="40" t="str">
        <x:v>OPD-2-004: Autosave locally and label clearly as Draft.</x:v>
      </x:c>
      <x:c r="O142" s="40" t="str">
        <x:v>VS-03, VS-04, VS-05</x:v>
      </x:c>
      <x:c r="P142" s="40" t="str">
        <x:v>Not Started</x:v>
      </x:c>
      <x:c r="Q142" s="40"/>
    </x:row>
    <x:row r="143">
      <x:c r="A143" s="40" t="str">
        <x:v>VS-06</x:v>
      </x:c>
      <x:c r="B143" s="40" t="n">
        <x:v>6</x:v>
      </x:c>
      <x:c r="C143" s="40" t="str">
        <x:v>Wave 2 — Core Planning Loop</x:v>
      </x:c>
      <x:c r="D143" s="40" t="str">
        <x:v>G. Event and Task Outcome Reporting</x:v>
      </x:c>
      <x:c r="E143" s="40" t="str">
        <x:v>FR-G-018</x:v>
      </x:c>
      <x:c r="F143" s="40" t="str">
        <x:v>prevent multiple simultaneous effective reports for one source reporting slot.</x:v>
      </x:c>
      <x:c r="G143" s="40" t="str">
        <x:v>BR-G-004, BR-G-007, BR-G-010</x:v>
      </x:c>
      <x:c r="H143" s="40" t="str">
        <x:v>ADR-011 — Event and Task Outcome Reporting</x:v>
      </x:c>
      <x:c r="I143" s="40" t="str">
        <x:v>AC-G-018</x:v>
      </x:c>
      <x:c r="J143" s="40" t="str">
        <x:v>Yes</x:v>
      </x:c>
      <x:c r="K143" s="40" t="str">
        <x:v>V1</x:v>
      </x:c>
      <x:c r="L143" s="40" t="str">
        <x:v>Domain test</x:v>
      </x:c>
      <x:c r="M143" s="40"/>
      <x:c r="N143" s="40"/>
      <x:c r="O143" s="40" t="str">
        <x:v>VS-03, VS-04, VS-05</x:v>
      </x:c>
      <x:c r="P143" s="40" t="str">
        <x:v>Not Started</x:v>
      </x:c>
      <x:c r="Q143" s="40"/>
    </x:row>
    <x:row r="144">
      <x:c r="A144" s="40" t="str">
        <x:v>VS-06</x:v>
      </x:c>
      <x:c r="B144" s="40" t="n">
        <x:v>6</x:v>
      </x:c>
      <x:c r="C144" s="40" t="str">
        <x:v>Wave 2 — Core Planning Loop</x:v>
      </x:c>
      <x:c r="D144" s="40" t="str">
        <x:v>G. Event and Task Outcome Reporting</x:v>
      </x:c>
      <x:c r="E144" s="40" t="str">
        <x:v>FR-G-019</x:v>
      </x:c>
      <x:c r="F144" s="40" t="str">
        <x:v>Cancellation and rescheduling shall remain separate from happened reporting.</x:v>
      </x:c>
      <x:c r="G144" s="40" t="str">
        <x:v>BR-G-001, BR-G-005, BR-G-010</x:v>
      </x:c>
      <x:c r="H144" s="40" t="str">
        <x:v>ADR-011 — Event and Task Outcome Reporting</x:v>
      </x:c>
      <x:c r="I144" s="40" t="str">
        <x:v>AC-G-019</x:v>
      </x:c>
      <x:c r="J144" s="40" t="str">
        <x:v>Yes</x:v>
      </x:c>
      <x:c r="K144" s="40" t="str">
        <x:v>V1</x:v>
      </x:c>
      <x:c r="L144" s="40" t="str">
        <x:v>Domain test</x:v>
      </x:c>
      <x:c r="M144" s="40"/>
      <x:c r="N144" s="40"/>
      <x:c r="O144" s="40" t="str">
        <x:v>VS-03, VS-04, VS-05</x:v>
      </x:c>
      <x:c r="P144" s="40" t="str">
        <x:v>Not Started</x:v>
      </x:c>
      <x:c r="Q144" s="40"/>
    </x:row>
    <x:row r="145">
      <x:c r="A145" s="40" t="str">
        <x:v>VS-06</x:v>
      </x:c>
      <x:c r="B145" s="40" t="n">
        <x:v>6</x:v>
      </x:c>
      <x:c r="C145" s="40" t="str">
        <x:v>Wave 2 — Core Planning Loop</x:v>
      </x:c>
      <x:c r="D145" s="40" t="str">
        <x:v>G. Event and Task Outcome Reporting</x:v>
      </x:c>
      <x:c r="E145" s="40" t="str">
        <x:v>FR-G-020</x:v>
      </x:c>
      <x:c r="F145" s="40" t="str">
        <x:v>Historical reports shall remain accessible through contribution history where needed.</x:v>
      </x:c>
      <x:c r="G145" s="40" t="str">
        <x:v>BR-G-002, BR-G-003, BR-G-007</x:v>
      </x:c>
      <x:c r="H145" s="40" t="str">
        <x:v>ADR-011 — Event and Task Outcome Reporting; ADR-012 — Activity Ledger and Contribution Engine</x:v>
      </x:c>
      <x:c r="I145" s="40" t="str">
        <x:v>AC-G-020</x:v>
      </x:c>
      <x:c r="J145" s="40" t="str">
        <x:v>No</x:v>
      </x:c>
      <x:c r="K145" s="40" t="str">
        <x:v>V1</x:v>
      </x:c>
      <x:c r="L145" s="40" t="str">
        <x:v>Domain test</x:v>
      </x:c>
      <x:c r="M145" s="40"/>
      <x:c r="N145" s="40"/>
      <x:c r="O145" s="40" t="str">
        <x:v>VS-03, VS-04, VS-05</x:v>
      </x:c>
      <x:c r="P145" s="40" t="str">
        <x:v>Not Started</x:v>
      </x:c>
      <x:c r="Q145" s="40"/>
    </x:row>
    <x:row r="146">
      <x:c r="A146" s="40" t="str">
        <x:v>VS-06</x:v>
      </x:c>
      <x:c r="B146" s="40" t="n">
        <x:v>6</x:v>
      </x:c>
      <x:c r="C146" s="40" t="str">
        <x:v>Wave 2 — Core Planning Loop</x:v>
      </x:c>
      <x:c r="D146" s="40" t="str">
        <x:v>H. Activity Ledger and Contribution History</x:v>
      </x:c>
      <x:c r="E146" s="40" t="str">
        <x:v>FR-H-001</x:v>
      </x:c>
      <x:c r="F146" s="40" t="str">
        <x:v>derive Actual from Activity Ledger entries.</x:v>
      </x:c>
      <x:c r="G146" s="40" t="str">
        <x:v>BR-H-001, BR-H-002, BR-H-010</x:v>
      </x:c>
      <x:c r="H146" s="40" t="str">
        <x:v>ADR-005 — Confirmed-Source Progress and Read-Only Actuals; ADR-012 — Activity Ledger and Contribution Engine</x:v>
      </x:c>
      <x:c r="I146" s="40" t="str">
        <x:v>AC-H-001</x:v>
      </x:c>
      <x:c r="J146" s="40" t="str">
        <x:v>Yes</x:v>
      </x:c>
      <x:c r="K146" s="40" t="str">
        <x:v>V1</x:v>
      </x:c>
      <x:c r="L146" s="40" t="str">
        <x:v>Domain test / Database test</x:v>
      </x:c>
      <x:c r="M146" s="40" t="str">
        <x:v>OPD-2-007</x:v>
      </x:c>
      <x:c r="N146" s="40" t="str">
        <x:v>OPD-2-007: Include a structured Activity Report and never raw ledger editing.</x:v>
      </x:c>
      <x:c r="O146" s="40" t="str">
        <x:v>VS-03, VS-04, VS-05</x:v>
      </x:c>
      <x:c r="P146" s="40" t="str">
        <x:v>Not Started</x:v>
      </x:c>
      <x:c r="Q146" s="40"/>
    </x:row>
    <x:row r="147">
      <x:c r="A147" s="40" t="str">
        <x:v>VS-06</x:v>
      </x:c>
      <x:c r="B147" s="40" t="n">
        <x:v>6</x:v>
      </x:c>
      <x:c r="C147" s="40" t="str">
        <x:v>Wave 2 — Core Planning Loop</x:v>
      </x:c>
      <x:c r="D147" s="40" t="str">
        <x:v>H. Activity Ledger and Contribution History</x:v>
      </x:c>
      <x:c r="E147" s="40" t="str">
        <x:v>FR-H-002</x:v>
      </x:c>
      <x:c r="F147" s="40" t="str">
        <x:v>prevent direct Actual editing.</x:v>
      </x:c>
      <x:c r="G147" s="40" t="str">
        <x:v>BR-H-001, BR-H-002</x:v>
      </x:c>
      <x:c r="H147" s="40" t="str">
        <x:v>ADR-005 — Confirmed-Source Progress and Read-Only Actuals; ADR-012 — Activity Ledger and Contribution Engine</x:v>
      </x:c>
      <x:c r="I147" s="40" t="str">
        <x:v>AC-H-002</x:v>
      </x:c>
      <x:c r="J147" s="40" t="str">
        <x:v>Yes</x:v>
      </x:c>
      <x:c r="K147" s="40" t="str">
        <x:v>V1</x:v>
      </x:c>
      <x:c r="L147" s="40" t="str">
        <x:v>Domain test</x:v>
      </x:c>
      <x:c r="M147" s="40"/>
      <x:c r="N147" s="40"/>
      <x:c r="O147" s="40" t="str">
        <x:v>VS-03, VS-04, VS-05</x:v>
      </x:c>
      <x:c r="P147" s="40" t="str">
        <x:v>Not Started</x:v>
      </x:c>
      <x:c r="Q147" s="40"/>
    </x:row>
    <x:row r="148">
      <x:c r="A148" s="40" t="str">
        <x:v>VS-06</x:v>
      </x:c>
      <x:c r="B148" s="40" t="n">
        <x:v>6</x:v>
      </x:c>
      <x:c r="C148" s="40" t="str">
        <x:v>Wave 2 — Core Planning Loop</x:v>
      </x:c>
      <x:c r="D148" s="40" t="str">
        <x:v>H. Activity Ledger and Contribution History</x:v>
      </x:c>
      <x:c r="E148" s="40" t="str">
        <x:v>FR-H-003</x:v>
      </x:c>
      <x:c r="F148" s="40" t="str">
        <x:v>create contributions only from approved canonical sources.</x:v>
      </x:c>
      <x:c r="G148" s="40" t="str">
        <x:v>BR-H-001, BR-H-009, BR-H-010</x:v>
      </x:c>
      <x:c r="H148" s="40" t="str">
        <x:v>ADR-012 — Activity Ledger and Contribution Engine; ADR-008 — Explicit Multi-Indicator Contributions</x:v>
      </x:c>
      <x:c r="I148" s="40" t="str">
        <x:v>AC-H-003</x:v>
      </x:c>
      <x:c r="J148" s="40" t="str">
        <x:v>Yes</x:v>
      </x:c>
      <x:c r="K148" s="40" t="str">
        <x:v>V1</x:v>
      </x:c>
      <x:c r="L148" s="40" t="str">
        <x:v>Domain test</x:v>
      </x:c>
      <x:c r="M148" s="40"/>
      <x:c r="N148" s="40"/>
      <x:c r="O148" s="40" t="str">
        <x:v>VS-03, VS-04, VS-05</x:v>
      </x:c>
      <x:c r="P148" s="40" t="str">
        <x:v>Not Started</x:v>
      </x:c>
      <x:c r="Q148" s="40"/>
    </x:row>
    <x:row r="149">
      <x:c r="A149" s="40" t="str">
        <x:v>VS-06</x:v>
      </x:c>
      <x:c r="B149" s="40" t="n">
        <x:v>6</x:v>
      </x:c>
      <x:c r="C149" s="40" t="str">
        <x:v>Wave 2 — Core Planning Loop</x:v>
      </x:c>
      <x:c r="D149" s="40" t="str">
        <x:v>H. Activity Ledger and Contribution History</x:v>
      </x:c>
      <x:c r="E149" s="40" t="str">
        <x:v>FR-H-004</x:v>
      </x:c>
      <x:c r="F149" s="40" t="str">
        <x:v>Contributions shall include an explicit Life Indicator.</x:v>
      </x:c>
      <x:c r="G149" s="40" t="str">
        <x:v>BR-H-003</x:v>
      </x:c>
      <x:c r="H149" s="40" t="str">
        <x:v>ADR-012 — Activity Ledger and Contribution Engine; ADR-008 — Explicit Multi-Indicator Contributions</x:v>
      </x:c>
      <x:c r="I149" s="40" t="str">
        <x:v>AC-H-004</x:v>
      </x:c>
      <x:c r="J149" s="40" t="str">
        <x:v>Yes</x:v>
      </x:c>
      <x:c r="K149" s="40" t="str">
        <x:v>V1</x:v>
      </x:c>
      <x:c r="L149" s="40" t="str">
        <x:v>Domain test</x:v>
      </x:c>
      <x:c r="M149" s="40"/>
      <x:c r="N149" s="40"/>
      <x:c r="O149" s="40" t="str">
        <x:v>VS-03, VS-04, VS-05</x:v>
      </x:c>
      <x:c r="P149" s="40" t="str">
        <x:v>Not Started</x:v>
      </x:c>
      <x:c r="Q149" s="40"/>
    </x:row>
    <x:row r="150">
      <x:c r="A150" s="40" t="str">
        <x:v>VS-06</x:v>
      </x:c>
      <x:c r="B150" s="40" t="n">
        <x:v>6</x:v>
      </x:c>
      <x:c r="C150" s="40" t="str">
        <x:v>Wave 2 — Core Planning Loop</x:v>
      </x:c>
      <x:c r="D150" s="40" t="str">
        <x:v>H. Activity Ledger and Contribution History</x:v>
      </x:c>
      <x:c r="E150" s="40" t="str">
        <x:v>FR-H-005</x:v>
      </x:c>
      <x:c r="F150" s="40" t="str">
        <x:v>Contributions shall include value and unit.</x:v>
      </x:c>
      <x:c r="G150" s="40" t="str">
        <x:v>BR-H-003</x:v>
      </x:c>
      <x:c r="H150" s="40" t="str">
        <x:v>ADR-012 — Activity Ledger and Contribution Engine; ADR-008 — Explicit Multi-Indicator Contributions</x:v>
      </x:c>
      <x:c r="I150" s="40" t="str">
        <x:v>AC-H-005</x:v>
      </x:c>
      <x:c r="J150" s="40" t="str">
        <x:v>Yes</x:v>
      </x:c>
      <x:c r="K150" s="40" t="str">
        <x:v>V1</x:v>
      </x:c>
      <x:c r="L150" s="40" t="str">
        <x:v>Domain test</x:v>
      </x:c>
      <x:c r="M150" s="40" t="str">
        <x:v>OPD-2-008</x:v>
      </x:c>
      <x:c r="N150" s="40" t="str">
        <x:v>OPD-2-008: Support fixed-decimal values only when the indicator unit permits them. Each unit defines allowed precision and rounding; canonical values must not use binary floating-point storage.</x:v>
      </x:c>
      <x:c r="O150" s="40" t="str">
        <x:v>VS-03, VS-04, VS-05</x:v>
      </x:c>
      <x:c r="P150" s="40" t="str">
        <x:v>Not Started</x:v>
      </x:c>
      <x:c r="Q150" s="40"/>
    </x:row>
    <x:row r="151">
      <x:c r="A151" s="40" t="str">
        <x:v>VS-06</x:v>
      </x:c>
      <x:c r="B151" s="40" t="n">
        <x:v>6</x:v>
      </x:c>
      <x:c r="C151" s="40" t="str">
        <x:v>Wave 2 — Core Planning Loop</x:v>
      </x:c>
      <x:c r="D151" s="40" t="str">
        <x:v>H. Activity Ledger and Contribution History</x:v>
      </x:c>
      <x:c r="E151" s="40" t="str">
        <x:v>FR-H-006</x:v>
      </x:c>
      <x:c r="F151" s="40" t="str">
        <x:v>Contributions shall retain activity date and recorded timestamp.</x:v>
      </x:c>
      <x:c r="G151" s="40" t="str">
        <x:v>BR-H-001, BR-H-003, BR-H-008</x:v>
      </x:c>
      <x:c r="H151" s="40" t="str">
        <x:v>ADR-012 — Activity Ledger and Contribution Engine</x:v>
      </x:c>
      <x:c r="I151" s="40" t="str">
        <x:v>AC-H-006</x:v>
      </x:c>
      <x:c r="J151" s="40" t="str">
        <x:v>Yes</x:v>
      </x:c>
      <x:c r="K151" s="40" t="str">
        <x:v>V1</x:v>
      </x:c>
      <x:c r="L151" s="40" t="str">
        <x:v>Domain test</x:v>
      </x:c>
      <x:c r="M151" s="40"/>
      <x:c r="N151" s="40"/>
      <x:c r="O151" s="40" t="str">
        <x:v>VS-03, VS-04, VS-05</x:v>
      </x:c>
      <x:c r="P151" s="40" t="str">
        <x:v>Not Started</x:v>
      </x:c>
      <x:c r="Q151" s="40"/>
    </x:row>
    <x:row r="152">
      <x:c r="A152" s="40" t="str">
        <x:v>VS-06</x:v>
      </x:c>
      <x:c r="B152" s="40" t="n">
        <x:v>6</x:v>
      </x:c>
      <x:c r="C152" s="40" t="str">
        <x:v>Wave 2 — Core Planning Loop</x:v>
      </x:c>
      <x:c r="D152" s="40" t="str">
        <x:v>H. Activity Ledger and Contribution History</x:v>
      </x:c>
      <x:c r="E152" s="40" t="str">
        <x:v>FR-H-007</x:v>
      </x:c>
      <x:c r="F152" s="40" t="str">
        <x:v>Contributions shall reference their source report.</x:v>
      </x:c>
      <x:c r="G152" s="40" t="str">
        <x:v>BR-H-001, BR-H-003, BR-H-005</x:v>
      </x:c>
      <x:c r="H152" s="40" t="str">
        <x:v>ADR-011 — Event and Task Outcome Reporting; ADR-012 — Activity Ledger and Contribution Engine; ADR-008 — Explicit Multi-Indicator Contributions</x:v>
      </x:c>
      <x:c r="I152" s="40" t="str">
        <x:v>AC-H-007</x:v>
      </x:c>
      <x:c r="J152" s="40" t="str">
        <x:v>Yes</x:v>
      </x:c>
      <x:c r="K152" s="40" t="str">
        <x:v>V1</x:v>
      </x:c>
      <x:c r="L152" s="40" t="str">
        <x:v>Domain test</x:v>
      </x:c>
      <x:c r="M152" s="40"/>
      <x:c r="N152" s="40"/>
      <x:c r="O152" s="40" t="str">
        <x:v>VS-03, VS-04, VS-05</x:v>
      </x:c>
      <x:c r="P152" s="40" t="str">
        <x:v>Not Started</x:v>
      </x:c>
      <x:c r="Q152" s="40"/>
    </x:row>
    <x:row r="153">
      <x:c r="A153" s="40" t="str">
        <x:v>VS-06</x:v>
      </x:c>
      <x:c r="B153" s="40" t="n">
        <x:v>6</x:v>
      </x:c>
      <x:c r="C153" s="40" t="str">
        <x:v>Wave 2 — Core Planning Loop</x:v>
      </x:c>
      <x:c r="D153" s="40" t="str">
        <x:v>H. Activity Ledger and Contribution History</x:v>
      </x:c>
      <x:c r="E153" s="40" t="str">
        <x:v>FR-H-008</x:v>
      </x:c>
      <x:c r="F153" s="40" t="str">
        <x:v>Contributions shall reference their qualifying rule.</x:v>
      </x:c>
      <x:c r="G153" s="40" t="str">
        <x:v>BR-H-003, BR-H-005</x:v>
      </x:c>
      <x:c r="H153" s="40" t="str">
        <x:v>ADR-012 — Activity Ledger and Contribution Engine; ADR-008 — Explicit Multi-Indicator Contributions</x:v>
      </x:c>
      <x:c r="I153" s="40" t="str">
        <x:v>AC-H-008</x:v>
      </x:c>
      <x:c r="J153" s="40" t="str">
        <x:v>Yes</x:v>
      </x:c>
      <x:c r="K153" s="40" t="str">
        <x:v>V1</x:v>
      </x:c>
      <x:c r="L153" s="40" t="str">
        <x:v>Domain test</x:v>
      </x:c>
      <x:c r="M153" s="40"/>
      <x:c r="N153" s="40"/>
      <x:c r="O153" s="40" t="str">
        <x:v>VS-03, VS-04, VS-05</x:v>
      </x:c>
      <x:c r="P153" s="40" t="str">
        <x:v>Not Started</x:v>
      </x:c>
      <x:c r="Q153" s="40"/>
    </x:row>
    <x:row r="154">
      <x:c r="A154" s="40" t="str">
        <x:v>VS-06</x:v>
      </x:c>
      <x:c r="B154" s="40" t="n">
        <x:v>6</x:v>
      </x:c>
      <x:c r="C154" s="40" t="str">
        <x:v>Wave 2 — Core Planning Loop</x:v>
      </x:c>
      <x:c r="D154" s="40" t="str">
        <x:v>H. Activity Ledger and Contribution History</x:v>
      </x:c>
      <x:c r="E154" s="40" t="str">
        <x:v>FR-H-009</x:v>
      </x:c>
      <x:c r="F154" s="40" t="str">
        <x:v>prevent duplicate source-rule application.</x:v>
      </x:c>
      <x:c r="G154" s="40" t="str">
        <x:v>BR-H-001, BR-H-003, BR-H-005</x:v>
      </x:c>
      <x:c r="H154" s="40" t="str">
        <x:v>ADR-012 — Activity Ledger and Contribution Engine; ADR-008 — Explicit Multi-Indicator Contributions</x:v>
      </x:c>
      <x:c r="I154" s="40" t="str">
        <x:v>AC-H-009</x:v>
      </x:c>
      <x:c r="J154" s="40" t="str">
        <x:v>Yes</x:v>
      </x:c>
      <x:c r="K154" s="40" t="str">
        <x:v>V1</x:v>
      </x:c>
      <x:c r="L154" s="40" t="str">
        <x:v>Domain test</x:v>
      </x:c>
      <x:c r="M154" s="40"/>
      <x:c r="N154" s="40"/>
      <x:c r="O154" s="40" t="str">
        <x:v>VS-03, VS-04, VS-05</x:v>
      </x:c>
      <x:c r="P154" s="40" t="str">
        <x:v>Not Started</x:v>
      </x:c>
      <x:c r="Q154" s="40"/>
    </x:row>
    <x:row r="155">
      <x:c r="A155" s="40" t="str">
        <x:v>VS-06</x:v>
      </x:c>
      <x:c r="B155" s="40" t="n">
        <x:v>6</x:v>
      </x:c>
      <x:c r="C155" s="40" t="str">
        <x:v>Wave 2 — Core Planning Loop</x:v>
      </x:c>
      <x:c r="D155" s="40" t="str">
        <x:v>H. Activity Ledger and Contribution History</x:v>
      </x:c>
      <x:c r="E155" s="40" t="str">
        <x:v>FR-H-010</x:v>
      </x:c>
      <x:c r="F155" s="40" t="str">
        <x:v>support reversals.</x:v>
      </x:c>
      <x:c r="G155" s="40" t="str">
        <x:v>BR-H-006</x:v>
      </x:c>
      <x:c r="H155" s="40" t="str">
        <x:v>ADR-012 — Activity Ledger and Contribution Engine</x:v>
      </x:c>
      <x:c r="I155" s="40" t="str">
        <x:v>AC-H-010</x:v>
      </x:c>
      <x:c r="J155" s="40" t="str">
        <x:v>No</x:v>
      </x:c>
      <x:c r="K155" s="40" t="str">
        <x:v>V1</x:v>
      </x:c>
      <x:c r="L155" s="40" t="str">
        <x:v>Domain test</x:v>
      </x:c>
      <x:c r="M155" s="40"/>
      <x:c r="N155" s="40"/>
      <x:c r="O155" s="40" t="str">
        <x:v>VS-03, VS-04, VS-05</x:v>
      </x:c>
      <x:c r="P155" s="40" t="str">
        <x:v>Not Started</x:v>
      </x:c>
      <x:c r="Q155" s="40"/>
    </x:row>
    <x:row r="156">
      <x:c r="A156" s="40" t="str">
        <x:v>VS-06</x:v>
      </x:c>
      <x:c r="B156" s="40" t="n">
        <x:v>6</x:v>
      </x:c>
      <x:c r="C156" s="40" t="str">
        <x:v>Wave 2 — Core Planning Loop</x:v>
      </x:c>
      <x:c r="D156" s="40" t="str">
        <x:v>H. Activity Ledger and Contribution History</x:v>
      </x:c>
      <x:c r="E156" s="40" t="str">
        <x:v>FR-H-011</x:v>
      </x:c>
      <x:c r="F156" s="40" t="str">
        <x:v>support replacement lineage.</x:v>
      </x:c>
      <x:c r="G156" s="40" t="str">
        <x:v>BR-H-001</x:v>
      </x:c>
      <x:c r="H156" s="40" t="str">
        <x:v>ADR-012 — Activity Ledger and Contribution Engine</x:v>
      </x:c>
      <x:c r="I156" s="40" t="str">
        <x:v>AC-H-011</x:v>
      </x:c>
      <x:c r="J156" s="40" t="str">
        <x:v>No</x:v>
      </x:c>
      <x:c r="K156" s="40" t="str">
        <x:v>V1</x:v>
      </x:c>
      <x:c r="L156" s="40" t="str">
        <x:v>Domain test</x:v>
      </x:c>
      <x:c r="M156" s="40"/>
      <x:c r="N156" s="40"/>
      <x:c r="O156" s="40" t="str">
        <x:v>VS-03, VS-04, VS-05</x:v>
      </x:c>
      <x:c r="P156" s="40" t="str">
        <x:v>Not Started</x:v>
      </x:c>
      <x:c r="Q156" s="40"/>
    </x:row>
    <x:row r="157">
      <x:c r="A157" s="40" t="str">
        <x:v>VS-06</x:v>
      </x:c>
      <x:c r="B157" s="40" t="n">
        <x:v>6</x:v>
      </x:c>
      <x:c r="C157" s="40" t="str">
        <x:v>Wave 2 — Core Planning Loop</x:v>
      </x:c>
      <x:c r="D157" s="40" t="str">
        <x:v>H. Activity Ledger and Contribution History</x:v>
      </x:c>
      <x:c r="E157" s="40" t="str">
        <x:v>FR-H-012</x:v>
      </x:c>
      <x:c r="F157" s="40" t="str">
        <x:v>preserve reversed history.</x:v>
      </x:c>
      <x:c r="G157" s="40" t="str">
        <x:v>BR-H-007, BR-H-009, BR-H-010</x:v>
      </x:c>
      <x:c r="H157" s="40" t="str">
        <x:v>ADR-012 — Activity Ledger and Contribution Engine</x:v>
      </x:c>
      <x:c r="I157" s="40" t="str">
        <x:v>AC-H-012</x:v>
      </x:c>
      <x:c r="J157" s="40" t="str">
        <x:v>Yes</x:v>
      </x:c>
      <x:c r="K157" s="40" t="str">
        <x:v>V1</x:v>
      </x:c>
      <x:c r="L157" s="40" t="str">
        <x:v>Domain test</x:v>
      </x:c>
      <x:c r="M157" s="40" t="str">
        <x:v>OPD-2-009</x:v>
      </x:c>
      <x:c r="N157" s="40" t="str">
        <x:v>OPD-2-009: Show effective entries first and reversed history inside correction detail.</x:v>
      </x:c>
      <x:c r="O157" s="40" t="str">
        <x:v>VS-03, VS-04, VS-05</x:v>
      </x:c>
      <x:c r="P157" s="40" t="str">
        <x:v>Not Started</x:v>
      </x:c>
      <x:c r="Q157" s="40"/>
    </x:row>
    <x:row r="158">
      <x:c r="A158" s="40" t="str">
        <x:v>VS-06</x:v>
      </x:c>
      <x:c r="B158" s="40" t="n">
        <x:v>6</x:v>
      </x:c>
      <x:c r="C158" s="40" t="str">
        <x:v>Wave 2 — Core Planning Loop</x:v>
      </x:c>
      <x:c r="D158" s="40" t="str">
        <x:v>H. Activity Ledger and Contribution History</x:v>
      </x:c>
      <x:c r="E158" s="40" t="str">
        <x:v>FR-H-013</x:v>
      </x:c>
      <x:c r="F158" s="40" t="str">
        <x:v>provide contribution history by indicator and period.</x:v>
      </x:c>
      <x:c r="G158" s="40" t="str">
        <x:v>BR-H-003, BR-H-008, BR-H-010</x:v>
      </x:c>
      <x:c r="H158" s="40" t="str">
        <x:v>ADR-012 — Activity Ledger and Contribution Engine; ADR-010 — Weekly Planning Lifecycle</x:v>
      </x:c>
      <x:c r="I158" s="40" t="str">
        <x:v>AC-H-013</x:v>
      </x:c>
      <x:c r="J158" s="40" t="str">
        <x:v>No</x:v>
      </x:c>
      <x:c r="K158" s="40" t="str">
        <x:v>V1</x:v>
      </x:c>
      <x:c r="L158" s="40" t="str">
        <x:v>Domain test</x:v>
      </x:c>
      <x:c r="M158" s="40" t="str">
        <x:v>OPD-2-009</x:v>
      </x:c>
      <x:c r="N158" s="40" t="str">
        <x:v>OPD-2-009: Show effective entries first and reversed history inside correction detail.</x:v>
      </x:c>
      <x:c r="O158" s="40" t="str">
        <x:v>VS-03, VS-04, VS-05</x:v>
      </x:c>
      <x:c r="P158" s="40" t="str">
        <x:v>Not Started</x:v>
      </x:c>
      <x:c r="Q158" s="40"/>
    </x:row>
    <x:row r="159">
      <x:c r="A159" s="40" t="str">
        <x:v>VS-06</x:v>
      </x:c>
      <x:c r="B159" s="40" t="n">
        <x:v>6</x:v>
      </x:c>
      <x:c r="C159" s="40" t="str">
        <x:v>Wave 2 — Core Planning Loop</x:v>
      </x:c>
      <x:c r="D159" s="40" t="str">
        <x:v>H. Activity Ledger and Contribution History</x:v>
      </x:c>
      <x:c r="E159" s="40" t="str">
        <x:v>FR-H-014</x:v>
      </x:c>
      <x:c r="F159" s="40" t="str">
        <x:v>provide source-report access.</x:v>
      </x:c>
      <x:c r="G159" s="40" t="str">
        <x:v>BR-H-001, BR-H-003, BR-H-005</x:v>
      </x:c>
      <x:c r="H159" s="40" t="str">
        <x:v>ADR-011 — Event and Task Outcome Reporting; ADR-012 — Activity Ledger and Contribution Engine</x:v>
      </x:c>
      <x:c r="I159" s="40" t="str">
        <x:v>AC-H-014</x:v>
      </x:c>
      <x:c r="J159" s="40" t="str">
        <x:v>No</x:v>
      </x:c>
      <x:c r="K159" s="40" t="str">
        <x:v>V1</x:v>
      </x:c>
      <x:c r="L159" s="40" t="str">
        <x:v>Domain test</x:v>
      </x:c>
      <x:c r="M159" s="40"/>
      <x:c r="N159" s="40"/>
      <x:c r="O159" s="40" t="str">
        <x:v>VS-03, VS-04, VS-05</x:v>
      </x:c>
      <x:c r="P159" s="40" t="str">
        <x:v>Not Started</x:v>
      </x:c>
      <x:c r="Q159" s="40"/>
    </x:row>
    <x:row r="160">
      <x:c r="A160" s="40" t="str">
        <x:v>VS-06</x:v>
      </x:c>
      <x:c r="B160" s="40" t="n">
        <x:v>6</x:v>
      </x:c>
      <x:c r="C160" s="40" t="str">
        <x:v>Wave 2 — Core Planning Loop</x:v>
      </x:c>
      <x:c r="D160" s="40" t="str">
        <x:v>H. Activity Ledger and Contribution History</x:v>
      </x:c>
      <x:c r="E160" s="40" t="str">
        <x:v>FR-H-015</x:v>
      </x:c>
      <x:c r="F160" s="40" t="str">
        <x:v>rebuild projections from local history.</x:v>
      </x:c>
      <x:c r="G160" s="40" t="str">
        <x:v>BR-H-007, BR-H-009, BR-H-010</x:v>
      </x:c>
      <x:c r="H160" s="40" t="str">
        <x:v>ADR-012 — Activity Ledger and Contribution Engine</x:v>
      </x:c>
      <x:c r="I160" s="40" t="str">
        <x:v>AC-H-015</x:v>
      </x:c>
      <x:c r="J160" s="40" t="str">
        <x:v>No</x:v>
      </x:c>
      <x:c r="K160" s="40" t="str">
        <x:v>V1</x:v>
      </x:c>
      <x:c r="L160" s="40" t="str">
        <x:v>Domain test</x:v>
      </x:c>
      <x:c r="M160" s="40"/>
      <x:c r="N160" s="40"/>
      <x:c r="O160" s="40" t="str">
        <x:v>VS-03, VS-04, VS-05</x:v>
      </x:c>
      <x:c r="P160" s="40" t="str">
        <x:v>Not Started</x:v>
      </x:c>
      <x:c r="Q160" s="40"/>
    </x:row>
    <x:row r="161">
      <x:c r="A161" s="40" t="str">
        <x:v>VS-06</x:v>
      </x:c>
      <x:c r="B161" s="40" t="n">
        <x:v>6</x:v>
      </x:c>
      <x:c r="C161" s="40" t="str">
        <x:v>Wave 2 — Core Planning Loop</x:v>
      </x:c>
      <x:c r="D161" s="40" t="str">
        <x:v>H. Activity Ledger and Contribution History</x:v>
      </x:c>
      <x:c r="E161" s="40" t="str">
        <x:v>FR-H-016</x:v>
      </x:c>
      <x:c r="F161" s="40" t="str">
        <x:v>identify stale or inconsistent projections.</x:v>
      </x:c>
      <x:c r="G161" s="40" t="str">
        <x:v>BR-H-010</x:v>
      </x:c>
      <x:c r="H161" s="40" t="str">
        <x:v>ADR-012 — Activity Ledger and Contribution Engine</x:v>
      </x:c>
      <x:c r="I161" s="40" t="str">
        <x:v>AC-H-016</x:v>
      </x:c>
      <x:c r="J161" s="40" t="str">
        <x:v>No</x:v>
      </x:c>
      <x:c r="K161" s="40" t="str">
        <x:v>V1</x:v>
      </x:c>
      <x:c r="L161" s="40" t="str">
        <x:v>Domain test</x:v>
      </x:c>
      <x:c r="M161" s="40"/>
      <x:c r="N161" s="40"/>
      <x:c r="O161" s="40" t="str">
        <x:v>VS-03, VS-04, VS-05</x:v>
      </x:c>
      <x:c r="P161" s="40" t="str">
        <x:v>Not Started</x:v>
      </x:c>
      <x:c r="Q161" s="40"/>
    </x:row>
    <x:row r="162">
      <x:c r="A162" s="40" t="str">
        <x:v>VS-06</x:v>
      </x:c>
      <x:c r="B162" s="40" t="n">
        <x:v>6</x:v>
      </x:c>
      <x:c r="C162" s="40" t="str">
        <x:v>Wave 2 — Core Planning Loop</x:v>
      </x:c>
      <x:c r="D162" s="40" t="str">
        <x:v>H. Activity Ledger and Contribution History</x:v>
      </x:c>
      <x:c r="E162" s="40" t="str">
        <x:v>FR-H-017</x:v>
      </x:c>
      <x:c r="F162" s="40" t="str">
        <x:v>not post Scheduled Potential to the ledger.</x:v>
      </x:c>
      <x:c r="G162" s="40" t="str">
        <x:v>BR-H-004, BR-H-009, BR-H-010</x:v>
      </x:c>
      <x:c r="H162" s="40" t="str">
        <x:v>ADR-005 — Confirmed-Source Progress and Read-Only Actuals; ADR-012 — Activity Ledger and Contribution Engine</x:v>
      </x:c>
      <x:c r="I162" s="40" t="str">
        <x:v>AC-H-017</x:v>
      </x:c>
      <x:c r="J162" s="40" t="str">
        <x:v>Yes</x:v>
      </x:c>
      <x:c r="K162" s="40" t="str">
        <x:v>V1</x:v>
      </x:c>
      <x:c r="L162" s="40" t="str">
        <x:v>Database test</x:v>
      </x:c>
      <x:c r="M162" s="40"/>
      <x:c r="N162" s="40"/>
      <x:c r="O162" s="40" t="str">
        <x:v>VS-03, VS-04, VS-05</x:v>
      </x:c>
      <x:c r="P162" s="40" t="str">
        <x:v>Not Started</x:v>
      </x:c>
      <x:c r="Q162" s="40"/>
    </x:row>
    <x:row r="163">
      <x:c r="A163" s="40" t="str">
        <x:v>VS-06</x:v>
      </x:c>
      <x:c r="B163" s="40" t="n">
        <x:v>6</x:v>
      </x:c>
      <x:c r="C163" s="40" t="str">
        <x:v>Wave 2 — Core Planning Loop</x:v>
      </x:c>
      <x:c r="D163" s="40" t="str">
        <x:v>H. Activity Ledger and Contribution History</x:v>
      </x:c>
      <x:c r="E163" s="40" t="str">
        <x:v>FR-H-018</x:v>
      </x:c>
      <x:c r="F163" s="40" t="str">
        <x:v>not classify contributions from titles.</x:v>
      </x:c>
      <x:c r="G163" s="40" t="str">
        <x:v>BR-H-010</x:v>
      </x:c>
      <x:c r="H163" s="40" t="str">
        <x:v>ADR-012 — Activity Ledger and Contribution Engine</x:v>
      </x:c>
      <x:c r="I163" s="40" t="str">
        <x:v>AC-H-018</x:v>
      </x:c>
      <x:c r="J163" s="40" t="str">
        <x:v>Yes</x:v>
      </x:c>
      <x:c r="K163" s="40" t="str">
        <x:v>V1</x:v>
      </x:c>
      <x:c r="L163" s="40" t="str">
        <x:v>Domain test</x:v>
      </x:c>
      <x:c r="M163" s="40"/>
      <x:c r="N163" s="40"/>
      <x:c r="O163" s="40" t="str">
        <x:v>VS-03, VS-04, VS-05</x:v>
      </x:c>
      <x:c r="P163" s="40" t="str">
        <x:v>Not Started</x:v>
      </x:c>
      <x:c r="Q163" s="40"/>
    </x:row>
    <x:row r="164">
      <x:c r="A164" s="40" t="str">
        <x:v>VS-06</x:v>
      </x:c>
      <x:c r="B164" s="40" t="n">
        <x:v>6</x:v>
      </x:c>
      <x:c r="C164" s="40" t="str">
        <x:v>Wave 2 — Core Planning Loop</x:v>
      </x:c>
      <x:c r="D164" s="40" t="str">
        <x:v>H. Activity Ledger and Contribution History</x:v>
      </x:c>
      <x:c r="E164" s="40" t="str">
        <x:v>FR-H-019</x:v>
      </x:c>
      <x:c r="F164" s="40" t="str">
        <x:v>preserve ledger history when source planning records are archived.</x:v>
      </x:c>
      <x:c r="G164" s="40" t="str">
        <x:v>BR-H-001, BR-H-009, BR-H-010</x:v>
      </x:c>
      <x:c r="H164" s="40" t="str">
        <x:v>ADR-012 — Activity Ledger and Contribution Engine</x:v>
      </x:c>
      <x:c r="I164" s="40" t="str">
        <x:v>AC-H-019</x:v>
      </x:c>
      <x:c r="J164" s="40" t="str">
        <x:v>Yes</x:v>
      </x:c>
      <x:c r="K164" s="40" t="str">
        <x:v>V1</x:v>
      </x:c>
      <x:c r="L164" s="40" t="str">
        <x:v>Database test</x:v>
      </x:c>
      <x:c r="M164" s="40"/>
      <x:c r="N164" s="40"/>
      <x:c r="O164" s="40" t="str">
        <x:v>VS-03, VS-04, VS-05</x:v>
      </x:c>
      <x:c r="P164" s="40" t="str">
        <x:v>Not Started</x:v>
      </x:c>
      <x:c r="Q164" s="40"/>
    </x:row>
    <x:row r="165">
      <x:c r="A165" s="40" t="str">
        <x:v>VS-06</x:v>
      </x:c>
      <x:c r="B165" s="40" t="n">
        <x:v>6</x:v>
      </x:c>
      <x:c r="C165" s="40" t="str">
        <x:v>Wave 2 — Core Planning Loop</x:v>
      </x:c>
      <x:c r="D165" s="40" t="str">
        <x:v>H. Activity Ledger and Contribution History</x:v>
      </x:c>
      <x:c r="E165" s="40" t="str">
        <x:v>FR-H-020</x:v>
      </x:c>
      <x:c r="F165" s="40" t="str">
        <x:v>Ledger operations shall function offline.</x:v>
      </x:c>
      <x:c r="G165" s="40" t="str">
        <x:v>BR-H-004, BR-H-009, BR-H-010</x:v>
      </x:c>
      <x:c r="H165" s="40" t="str">
        <x:v>ADR-012 — Activity Ledger and Contribution Engine; ADR-006 — Local-First Operation with Background Synchronization</x:v>
      </x:c>
      <x:c r="I165" s="40" t="str">
        <x:v>AC-H-020</x:v>
      </x:c>
      <x:c r="J165" s="40" t="str">
        <x:v>Yes</x:v>
      </x:c>
      <x:c r="K165" s="40" t="str">
        <x:v>V1</x:v>
      </x:c>
      <x:c r="L165" s="40" t="str">
        <x:v>Database test</x:v>
      </x:c>
      <x:c r="M165" s="40"/>
      <x:c r="N165" s="40"/>
      <x:c r="O165" s="40" t="str">
        <x:v>VS-03, VS-04, VS-05</x:v>
      </x:c>
      <x:c r="P165" s="40" t="str">
        <x:v>Not Started</x:v>
      </x:c>
      <x:c r="Q165" s="40"/>
    </x:row>
    <x:row r="166">
      <x:c r="A166" s="40" t="str">
        <x:v>VS-08</x:v>
      </x:c>
      <x:c r="B166" s="40" t="n">
        <x:v>8</x:v>
      </x:c>
      <x:c r="C166" s="40" t="str">
        <x:v>Wave 2 — Core Planning Loop</x:v>
      </x:c>
      <x:c r="D166" s="40" t="str">
        <x:v>I. Weekly Planning</x:v>
      </x:c>
      <x:c r="E166" s="40" t="str">
        <x:v>FR-I-001</x:v>
      </x:c>
      <x:c r="F166" s="40" t="str">
        <x:v>support one effective Weekly Plan per profile and period.</x:v>
      </x:c>
      <x:c r="G166" s="40" t="str">
        <x:v>BR-I-001, BR-I-002, BR-I-010</x:v>
      </x:c>
      <x:c r="H166" s="40" t="str">
        <x:v>ADR-010 — Weekly Planning Lifecycle</x:v>
      </x:c>
      <x:c r="I166" s="40" t="str">
        <x:v>AC-I-001</x:v>
      </x:c>
      <x:c r="J166" s="40" t="str">
        <x:v>Yes</x:v>
      </x:c>
      <x:c r="K166" s="40" t="str">
        <x:v>V1</x:v>
      </x:c>
      <x:c r="L166" s="40" t="str">
        <x:v>Domain test</x:v>
      </x:c>
      <x:c r="M166" s="40" t="str">
        <x:v>OPD-2-010</x:v>
      </x:c>
      <x:c r="N166" s="40" t="str">
        <x:v>OPD-2-010: Use Monday through Sunday in the Local Profile timezone.</x:v>
      </x:c>
      <x:c r="O166" s="40" t="str">
        <x:v>VS-03, VS-04, VS-06, VS-07</x:v>
      </x:c>
      <x:c r="P166" s="40" t="str">
        <x:v>Not Started</x:v>
      </x:c>
      <x:c r="Q166" s="40"/>
    </x:row>
    <x:row r="167">
      <x:c r="A167" s="40" t="str">
        <x:v>VS-08</x:v>
      </x:c>
      <x:c r="B167" s="40" t="n">
        <x:v>8</x:v>
      </x:c>
      <x:c r="C167" s="40" t="str">
        <x:v>Wave 2 — Core Planning Loop</x:v>
      </x:c>
      <x:c r="D167" s="40" t="str">
        <x:v>I. Weekly Planning</x:v>
      </x:c>
      <x:c r="E167" s="40" t="str">
        <x:v>FR-I-002</x:v>
      </x:c>
      <x:c r="F167" s="40" t="str">
        <x:v>Weekly Plans shall display exact start and end dates.</x:v>
      </x:c>
      <x:c r="G167" s="40" t="str">
        <x:v>BR-I-001, BR-I-002, BR-I-010</x:v>
      </x:c>
      <x:c r="H167" s="40" t="str">
        <x:v>ADR-010 — Weekly Planning Lifecycle</x:v>
      </x:c>
      <x:c r="I167" s="40" t="str">
        <x:v>AC-I-002</x:v>
      </x:c>
      <x:c r="J167" s="40" t="str">
        <x:v>Yes</x:v>
      </x:c>
      <x:c r="K167" s="40" t="str">
        <x:v>V1</x:v>
      </x:c>
      <x:c r="L167" s="40" t="str">
        <x:v>Widget test</x:v>
      </x:c>
      <x:c r="M167" s="40" t="str">
        <x:v>OPD-2-010</x:v>
      </x:c>
      <x:c r="N167" s="40" t="str">
        <x:v>OPD-2-010: Use Monday through Sunday in the Local Profile timezone.</x:v>
      </x:c>
      <x:c r="O167" s="40" t="str">
        <x:v>VS-03, VS-04, VS-06, VS-07</x:v>
      </x:c>
      <x:c r="P167" s="40" t="str">
        <x:v>Not Started</x:v>
      </x:c>
      <x:c r="Q167" s="40"/>
    </x:row>
    <x:row r="168">
      <x:c r="A168" s="40" t="str">
        <x:v>VS-08</x:v>
      </x:c>
      <x:c r="B168" s="40" t="n">
        <x:v>8</x:v>
      </x:c>
      <x:c r="C168" s="40" t="str">
        <x:v>Wave 2 — Core Planning Loop</x:v>
      </x:c>
      <x:c r="D168" s="40" t="str">
        <x:v>I. Weekly Planning</x:v>
      </x:c>
      <x:c r="E168" s="40" t="str">
        <x:v>FR-I-003</x:v>
      </x:c>
      <x:c r="F168" s="40" t="str">
        <x:v>be able to create a Weekly Plan offline.</x:v>
      </x:c>
      <x:c r="G168" s="40" t="str">
        <x:v>BR-I-001, BR-I-002, BR-I-010</x:v>
      </x:c>
      <x:c r="H168" s="40" t="str">
        <x:v>ADR-010 — Weekly Planning Lifecycle; ADR-006 — Local-First Operation with Background Synchronization</x:v>
      </x:c>
      <x:c r="I168" s="40" t="str">
        <x:v>AC-I-003</x:v>
      </x:c>
      <x:c r="J168" s="40" t="str">
        <x:v>Yes</x:v>
      </x:c>
      <x:c r="K168" s="40" t="str">
        <x:v>V1</x:v>
      </x:c>
      <x:c r="L168" s="40" t="str">
        <x:v>Widget test</x:v>
      </x:c>
      <x:c r="M168" s="40"/>
      <x:c r="N168" s="40"/>
      <x:c r="O168" s="40" t="str">
        <x:v>VS-03, VS-04, VS-06, VS-07</x:v>
      </x:c>
      <x:c r="P168" s="40" t="str">
        <x:v>Not Started</x:v>
      </x:c>
      <x:c r="Q168" s="40"/>
    </x:row>
    <x:row r="169">
      <x:c r="A169" s="40" t="str">
        <x:v>VS-08</x:v>
      </x:c>
      <x:c r="B169" s="40" t="n">
        <x:v>8</x:v>
      </x:c>
      <x:c r="C169" s="40" t="str">
        <x:v>Wave 2 — Core Planning Loop</x:v>
      </x:c>
      <x:c r="D169" s="40" t="str">
        <x:v>I. Weekly Planning</x:v>
      </x:c>
      <x:c r="E169" s="40" t="str">
        <x:v>FR-I-004</x:v>
      </x:c>
      <x:c r="F169" s="40" t="str">
        <x:v>be able to set Weekly Targets.</x:v>
      </x:c>
      <x:c r="G169" s="40" t="str">
        <x:v>BR-I-001, BR-I-002, BR-I-010</x:v>
      </x:c>
      <x:c r="H169" s="40" t="str">
        <x:v>ADR-010 — Weekly Planning Lifecycle</x:v>
      </x:c>
      <x:c r="I169" s="40" t="str">
        <x:v>AC-I-004</x:v>
      </x:c>
      <x:c r="J169" s="40" t="str">
        <x:v>Yes</x:v>
      </x:c>
      <x:c r="K169" s="40" t="str">
        <x:v>V1</x:v>
      </x:c>
      <x:c r="L169" s="40" t="str">
        <x:v>Domain test / Widget test</x:v>
      </x:c>
      <x:c r="M169" s="40" t="str">
        <x:v>OPD-1-005</x:v>
      </x:c>
      <x:c r="N169" s="40" t="str">
        <x:v>OPD-1-005: Begin as Not set and present optional suggested values without silently applying them.</x:v>
      </x:c>
      <x:c r="O169" s="40" t="str">
        <x:v>VS-03, VS-04, VS-06, VS-07</x:v>
      </x:c>
      <x:c r="P169" s="40" t="str">
        <x:v>Not Started</x:v>
      </x:c>
      <x:c r="Q169" s="40"/>
    </x:row>
    <x:row r="170">
      <x:c r="A170" s="40" t="str">
        <x:v>VS-08</x:v>
      </x:c>
      <x:c r="B170" s="40" t="n">
        <x:v>8</x:v>
      </x:c>
      <x:c r="C170" s="40" t="str">
        <x:v>Wave 2 — Core Planning Loop</x:v>
      </x:c>
      <x:c r="D170" s="40" t="str">
        <x:v>I. Weekly Planning</x:v>
      </x:c>
      <x:c r="E170" s="40" t="str">
        <x:v>FR-I-005</x:v>
      </x:c>
      <x:c r="F170" s="40" t="str">
        <x:v>distinguish zero from Not set.</x:v>
      </x:c>
      <x:c r="G170" s="40" t="str">
        <x:v>BR-I-002, BR-I-003</x:v>
      </x:c>
      <x:c r="H170" s="40" t="str">
        <x:v>ADR-010 — Weekly Planning Lifecycle</x:v>
      </x:c>
      <x:c r="I170" s="40" t="str">
        <x:v>AC-I-005</x:v>
      </x:c>
      <x:c r="J170" s="40" t="str">
        <x:v>Yes</x:v>
      </x:c>
      <x:c r="K170" s="40" t="str">
        <x:v>V1</x:v>
      </x:c>
      <x:c r="L170" s="40" t="str">
        <x:v>Domain test</x:v>
      </x:c>
      <x:c r="M170" s="40"/>
      <x:c r="N170" s="40"/>
      <x:c r="O170" s="40" t="str">
        <x:v>VS-03, VS-04, VS-06, VS-07</x:v>
      </x:c>
      <x:c r="P170" s="40" t="str">
        <x:v>Not Started</x:v>
      </x:c>
      <x:c r="Q170" s="40"/>
    </x:row>
    <x:row r="171">
      <x:c r="A171" s="40" t="str">
        <x:v>VS-08</x:v>
      </x:c>
      <x:c r="B171" s="40" t="n">
        <x:v>8</x:v>
      </x:c>
      <x:c r="C171" s="40" t="str">
        <x:v>Wave 2 — Core Planning Loop</x:v>
      </x:c>
      <x:c r="D171" s="40" t="str">
        <x:v>I. Weekly Planning</x:v>
      </x:c>
      <x:c r="E171" s="40" t="str">
        <x:v>FR-I-006</x:v>
      </x:c>
      <x:c r="F171" s="40" t="str">
        <x:v>preserve target revisions.</x:v>
      </x:c>
      <x:c r="G171" s="40" t="str">
        <x:v>BR-I-004</x:v>
      </x:c>
      <x:c r="H171" s="40" t="str">
        <x:v>ADR-010 — Weekly Planning Lifecycle</x:v>
      </x:c>
      <x:c r="I171" s="40" t="str">
        <x:v>AC-I-006</x:v>
      </x:c>
      <x:c r="J171" s="40" t="str">
        <x:v>Yes</x:v>
      </x:c>
      <x:c r="K171" s="40" t="str">
        <x:v>V1</x:v>
      </x:c>
      <x:c r="L171" s="40" t="str">
        <x:v>Domain test</x:v>
      </x:c>
      <x:c r="M171" s="40"/>
      <x:c r="N171" s="40"/>
      <x:c r="O171" s="40" t="str">
        <x:v>VS-03, VS-04, VS-06, VS-07</x:v>
      </x:c>
      <x:c r="P171" s="40" t="str">
        <x:v>Not Started</x:v>
      </x:c>
      <x:c r="Q171" s="40"/>
    </x:row>
    <x:row r="172">
      <x:c r="A172" s="40" t="str">
        <x:v>VS-08</x:v>
      </x:c>
      <x:c r="B172" s="40" t="n">
        <x:v>8</x:v>
      </x:c>
      <x:c r="C172" s="40" t="str">
        <x:v>Wave 2 — Core Planning Loop</x:v>
      </x:c>
      <x:c r="D172" s="40" t="str">
        <x:v>I. Weekly Planning</x:v>
      </x:c>
      <x:c r="E172" s="40" t="str">
        <x:v>FR-I-007</x:v>
      </x:c>
      <x:c r="F172" s="40" t="str">
        <x:v>display Actual separately from Target and Scheduled Potential.</x:v>
      </x:c>
      <x:c r="G172" s="40" t="str">
        <x:v>BR-I-002, BR-I-005, BR-I-007</x:v>
      </x:c>
      <x:c r="H172" s="40" t="str">
        <x:v>ADR-005 — Confirmed-Source Progress and Read-Only Actuals; ADR-010 — Weekly Planning Lifecycle</x:v>
      </x:c>
      <x:c r="I172" s="40" t="str">
        <x:v>AC-I-007</x:v>
      </x:c>
      <x:c r="J172" s="40" t="str">
        <x:v>Yes</x:v>
      </x:c>
      <x:c r="K172" s="40" t="str">
        <x:v>V1</x:v>
      </x:c>
      <x:c r="L172" s="40" t="str">
        <x:v>Domain test / Widget test</x:v>
      </x:c>
      <x:c r="M172" s="40" t="str">
        <x:v>OPD-2-012</x:v>
      </x:c>
      <x:c r="N172" s="40" t="str">
        <x:v>OPD-2-012: Show final target by default with revision history available.</x:v>
      </x:c>
      <x:c r="O172" s="40" t="str">
        <x:v>VS-03, VS-04, VS-06, VS-07</x:v>
      </x:c>
      <x:c r="P172" s="40" t="str">
        <x:v>Not Started</x:v>
      </x:c>
      <x:c r="Q172" s="40"/>
    </x:row>
    <x:row r="173">
      <x:c r="A173" s="40" t="str">
        <x:v>VS-08</x:v>
      </x:c>
      <x:c r="B173" s="40" t="n">
        <x:v>8</x:v>
      </x:c>
      <x:c r="C173" s="40" t="str">
        <x:v>Wave 2 — Core Planning Loop</x:v>
      </x:c>
      <x:c r="D173" s="40" t="str">
        <x:v>I. Weekly Planning</x:v>
      </x:c>
      <x:c r="E173" s="40" t="str">
        <x:v>FR-I-008</x:v>
      </x:c>
      <x:c r="F173" s="40" t="str">
        <x:v>be able to add or select Tasks.</x:v>
      </x:c>
      <x:c r="G173" s="40" t="str">
        <x:v>BR-I-001</x:v>
      </x:c>
      <x:c r="H173" s="40" t="str">
        <x:v>ADR-010 — Weekly Planning Lifecycle</x:v>
      </x:c>
      <x:c r="I173" s="40" t="str">
        <x:v>AC-I-008</x:v>
      </x:c>
      <x:c r="J173" s="40" t="str">
        <x:v>Yes</x:v>
      </x:c>
      <x:c r="K173" s="40" t="str">
        <x:v>V1</x:v>
      </x:c>
      <x:c r="L173" s="40" t="str">
        <x:v>Widget test</x:v>
      </x:c>
      <x:c r="M173" s="40"/>
      <x:c r="N173" s="40"/>
      <x:c r="O173" s="40" t="str">
        <x:v>VS-03, VS-04, VS-06, VS-07</x:v>
      </x:c>
      <x:c r="P173" s="40" t="str">
        <x:v>Not Started</x:v>
      </x:c>
      <x:c r="Q173" s="40"/>
    </x:row>
    <x:row r="174">
      <x:c r="A174" s="40" t="str">
        <x:v>VS-08</x:v>
      </x:c>
      <x:c r="B174" s="40" t="n">
        <x:v>8</x:v>
      </x:c>
      <x:c r="C174" s="40" t="str">
        <x:v>Wave 2 — Core Planning Loop</x:v>
      </x:c>
      <x:c r="D174" s="40" t="str">
        <x:v>I. Weekly Planning</x:v>
      </x:c>
      <x:c r="E174" s="40" t="str">
        <x:v>FR-I-009</x:v>
      </x:c>
      <x:c r="F174" s="40" t="str">
        <x:v>be able to create or link Calendar Events.</x:v>
      </x:c>
      <x:c r="G174" s="40" t="str">
        <x:v>BR-I-009</x:v>
      </x:c>
      <x:c r="H174" s="40" t="str">
        <x:v>ADR-009 — Domain Ownership and Relationship Model; ADR-010 — Weekly Planning Lifecycle</x:v>
      </x:c>
      <x:c r="I174" s="40" t="str">
        <x:v>AC-I-009</x:v>
      </x:c>
      <x:c r="J174" s="40" t="str">
        <x:v>No</x:v>
      </x:c>
      <x:c r="K174" s="40" t="str">
        <x:v>V1</x:v>
      </x:c>
      <x:c r="L174" s="40" t="str">
        <x:v>Widget test / Integration test</x:v>
      </x:c>
      <x:c r="M174" s="40"/>
      <x:c r="N174" s="40"/>
      <x:c r="O174" s="40" t="str">
        <x:v>VS-03, VS-04, VS-06, VS-07</x:v>
      </x:c>
      <x:c r="P174" s="40" t="str">
        <x:v>Not Started</x:v>
      </x:c>
      <x:c r="Q174" s="40"/>
    </x:row>
    <x:row r="175">
      <x:c r="A175" s="40" t="str">
        <x:v>VS-08</x:v>
      </x:c>
      <x:c r="B175" s="40" t="n">
        <x:v>8</x:v>
      </x:c>
      <x:c r="C175" s="40" t="str">
        <x:v>Wave 2 — Core Planning Loop</x:v>
      </x:c>
      <x:c r="D175" s="40" t="str">
        <x:v>I. Weekly Planning</x:v>
      </x:c>
      <x:c r="E175" s="40" t="str">
        <x:v>FR-I-010</x:v>
      </x:c>
      <x:c r="F175" s="40" t="str">
        <x:v>provide Review Due attention after period end.</x:v>
      </x:c>
      <x:c r="G175" s="40" t="str">
        <x:v>BR-I-001, BR-I-006, BR-I-007</x:v>
      </x:c>
      <x:c r="H175" s="40" t="str">
        <x:v>ADR-010 — Weekly Planning Lifecycle</x:v>
      </x:c>
      <x:c r="I175" s="40" t="str">
        <x:v>AC-I-010</x:v>
      </x:c>
      <x:c r="J175" s="40" t="str">
        <x:v>No</x:v>
      </x:c>
      <x:c r="K175" s="40" t="str">
        <x:v>V1</x:v>
      </x:c>
      <x:c r="L175" s="40" t="str">
        <x:v>Domain test</x:v>
      </x:c>
      <x:c r="M175" s="40"/>
      <x:c r="N175" s="40"/>
      <x:c r="O175" s="40" t="str">
        <x:v>VS-03, VS-04, VS-06, VS-07</x:v>
      </x:c>
      <x:c r="P175" s="40" t="str">
        <x:v>Not Started</x:v>
      </x:c>
      <x:c r="Q175" s="40"/>
    </x:row>
    <x:row r="176">
      <x:c r="A176" s="40" t="str">
        <x:v>VS-08</x:v>
      </x:c>
      <x:c r="B176" s="40" t="n">
        <x:v>8</x:v>
      </x:c>
      <x:c r="C176" s="40" t="str">
        <x:v>Wave 2 — Core Planning Loop</x:v>
      </x:c>
      <x:c r="D176" s="40" t="str">
        <x:v>I. Weekly Planning</x:v>
      </x:c>
      <x:c r="E176" s="40" t="str">
        <x:v>FR-I-011</x:v>
      </x:c>
      <x:c r="F176" s="40" t="str">
        <x:v>Weekly Review shall display outcomes and outstanding reports.</x:v>
      </x:c>
      <x:c r="G176" s="40" t="str">
        <x:v>BR-I-006, BR-I-007, BR-I-010</x:v>
      </x:c>
      <x:c r="H176" s="40" t="str">
        <x:v>ADR-011 — Event and Task Outcome Reporting; ADR-010 — Weekly Planning Lifecycle</x:v>
      </x:c>
      <x:c r="I176" s="40" t="str">
        <x:v>AC-I-011</x:v>
      </x:c>
      <x:c r="J176" s="40" t="str">
        <x:v>No</x:v>
      </x:c>
      <x:c r="K176" s="40" t="str">
        <x:v>V1</x:v>
      </x:c>
      <x:c r="L176" s="40" t="str">
        <x:v>Domain test / Widget test</x:v>
      </x:c>
      <x:c r="M176" s="40" t="str">
        <x:v>OPD-2-011</x:v>
      </x:c>
      <x:c r="N176" s="40" t="str">
        <x:v>OPD-2-011: Require explicit acknowledgement before review completion.</x:v>
      </x:c>
      <x:c r="O176" s="40" t="str">
        <x:v>VS-03, VS-04, VS-06, VS-07</x:v>
      </x:c>
      <x:c r="P176" s="40" t="str">
        <x:v>Not Started</x:v>
      </x:c>
      <x:c r="Q176" s="40"/>
    </x:row>
    <x:row r="177">
      <x:c r="A177" s="40" t="str">
        <x:v>VS-08</x:v>
      </x:c>
      <x:c r="B177" s="40" t="n">
        <x:v>8</x:v>
      </x:c>
      <x:c r="C177" s="40" t="str">
        <x:v>Wave 2 — Core Planning Loop</x:v>
      </x:c>
      <x:c r="D177" s="40" t="str">
        <x:v>I. Weekly Planning</x:v>
      </x:c>
      <x:c r="E177" s="40" t="str">
        <x:v>FR-I-012</x:v>
      </x:c>
      <x:c r="F177" s="40" t="str">
        <x:v>Weekly Review shall provide contribution-history access.</x:v>
      </x:c>
      <x:c r="G177" s="40" t="str">
        <x:v>BR-I-006, BR-I-007, BR-I-010</x:v>
      </x:c>
      <x:c r="H177" s="40" t="str">
        <x:v>ADR-012 — Activity Ledger and Contribution Engine; ADR-010 — Weekly Planning Lifecycle</x:v>
      </x:c>
      <x:c r="I177" s="40" t="str">
        <x:v>AC-I-012</x:v>
      </x:c>
      <x:c r="J177" s="40" t="str">
        <x:v>No</x:v>
      </x:c>
      <x:c r="K177" s="40" t="str">
        <x:v>V1</x:v>
      </x:c>
      <x:c r="L177" s="40" t="str">
        <x:v>Domain test</x:v>
      </x:c>
      <x:c r="M177" s="40"/>
      <x:c r="N177" s="40"/>
      <x:c r="O177" s="40" t="str">
        <x:v>VS-03, VS-04, VS-06, VS-07</x:v>
      </x:c>
      <x:c r="P177" s="40" t="str">
        <x:v>Not Started</x:v>
      </x:c>
      <x:c r="Q177" s="40"/>
    </x:row>
    <x:row r="178">
      <x:c r="A178" s="40" t="str">
        <x:v>VS-08</x:v>
      </x:c>
      <x:c r="B178" s="40" t="n">
        <x:v>8</x:v>
      </x:c>
      <x:c r="C178" s="40" t="str">
        <x:v>Wave 2 — Core Planning Loop</x:v>
      </x:c>
      <x:c r="D178" s="40" t="str">
        <x:v>I. Weekly Planning</x:v>
      </x:c>
      <x:c r="E178" s="40" t="str">
        <x:v>FR-I-013</x:v>
      </x:c>
      <x:c r="F178" s="40" t="str">
        <x:v>be able to record an optional private reflection.</x:v>
      </x:c>
      <x:c r="G178" s="40" t="str">
        <x:v>BR-I-001</x:v>
      </x:c>
      <x:c r="H178" s="40" t="str">
        <x:v>ADR-010 — Weekly Planning Lifecycle</x:v>
      </x:c>
      <x:c r="I178" s="40" t="str">
        <x:v>AC-I-013</x:v>
      </x:c>
      <x:c r="J178" s="40" t="str">
        <x:v>Yes</x:v>
      </x:c>
      <x:c r="K178" s="40" t="str">
        <x:v>V1</x:v>
      </x:c>
      <x:c r="L178" s="40" t="str">
        <x:v>Widget test</x:v>
      </x:c>
      <x:c r="M178" s="40"/>
      <x:c r="N178" s="40"/>
      <x:c r="O178" s="40" t="str">
        <x:v>VS-03, VS-04, VS-06, VS-07</x:v>
      </x:c>
      <x:c r="P178" s="40" t="str">
        <x:v>Not Started</x:v>
      </x:c>
      <x:c r="Q178" s="40"/>
    </x:row>
    <x:row r="179">
      <x:c r="A179" s="40" t="str">
        <x:v>VS-08</x:v>
      </x:c>
      <x:c r="B179" s="40" t="n">
        <x:v>8</x:v>
      </x:c>
      <x:c r="C179" s="40" t="str">
        <x:v>Wave 2 — Core Planning Loop</x:v>
      </x:c>
      <x:c r="D179" s="40" t="str">
        <x:v>I. Weekly Planning</x:v>
      </x:c>
      <x:c r="E179" s="40" t="str">
        <x:v>FR-I-014</x:v>
      </x:c>
      <x:c r="F179" s="40" t="str">
        <x:v>be able to complete a Weekly Review.</x:v>
      </x:c>
      <x:c r="G179" s="40" t="str">
        <x:v>BR-I-006, BR-I-007, BR-I-010</x:v>
      </x:c>
      <x:c r="H179" s="40" t="str">
        <x:v>ADR-010 — Weekly Planning Lifecycle</x:v>
      </x:c>
      <x:c r="I179" s="40" t="str">
        <x:v>AC-I-014</x:v>
      </x:c>
      <x:c r="J179" s="40" t="str">
        <x:v>No</x:v>
      </x:c>
      <x:c r="K179" s="40" t="str">
        <x:v>V1</x:v>
      </x:c>
      <x:c r="L179" s="40" t="str">
        <x:v>Widget test</x:v>
      </x:c>
      <x:c r="M179" s="40"/>
      <x:c r="N179" s="40"/>
      <x:c r="O179" s="40" t="str">
        <x:v>VS-03, VS-04, VS-06, VS-07</x:v>
      </x:c>
      <x:c r="P179" s="40" t="str">
        <x:v>Not Started</x:v>
      </x:c>
      <x:c r="Q179" s="40"/>
    </x:row>
    <x:row r="180">
      <x:c r="A180" s="40" t="str">
        <x:v>VS-08</x:v>
      </x:c>
      <x:c r="B180" s="40" t="n">
        <x:v>8</x:v>
      </x:c>
      <x:c r="C180" s="40" t="str">
        <x:v>Wave 2 — Core Planning Loop</x:v>
      </x:c>
      <x:c r="D180" s="40" t="str">
        <x:v>I. Weekly Planning</x:v>
      </x:c>
      <x:c r="E180" s="40" t="str">
        <x:v>FR-I-015</x:v>
      </x:c>
      <x:c r="F180" s="40" t="str">
        <x:v>record post-review factual changes.</x:v>
      </x:c>
      <x:c r="G180" s="40" t="str">
        <x:v>BR-I-006, BR-I-007</x:v>
      </x:c>
      <x:c r="H180" s="40" t="str">
        <x:v>ADR-005 — Confirmed-Source Progress and Read-Only Actuals; ADR-010 — Weekly Planning Lifecycle</x:v>
      </x:c>
      <x:c r="I180" s="40" t="str">
        <x:v>AC-I-015</x:v>
      </x:c>
      <x:c r="J180" s="40" t="str">
        <x:v>Yes</x:v>
      </x:c>
      <x:c r="K180" s="40" t="str">
        <x:v>V1</x:v>
      </x:c>
      <x:c r="L180" s="40" t="str">
        <x:v>Domain test</x:v>
      </x:c>
      <x:c r="M180" s="40"/>
      <x:c r="N180" s="40"/>
      <x:c r="O180" s="40" t="str">
        <x:v>VS-03, VS-04, VS-06, VS-07</x:v>
      </x:c>
      <x:c r="P180" s="40" t="str">
        <x:v>Not Started</x:v>
      </x:c>
      <x:c r="Q180" s="40"/>
    </x:row>
    <x:row r="181">
      <x:c r="A181" s="40" t="str">
        <x:v>VS-08</x:v>
      </x:c>
      <x:c r="B181" s="40" t="n">
        <x:v>8</x:v>
      </x:c>
      <x:c r="C181" s="40" t="str">
        <x:v>Wave 2 — Core Planning Loop</x:v>
      </x:c>
      <x:c r="D181" s="40" t="str">
        <x:v>I. Weekly Planning</x:v>
      </x:c>
      <x:c r="E181" s="40" t="str">
        <x:v>FR-I-016</x:v>
      </x:c>
      <x:c r="F181" s="40" t="str">
        <x:v>be able to start the next Weekly Plan.</x:v>
      </x:c>
      <x:c r="G181" s="40" t="str">
        <x:v>BR-I-001, BR-I-002, BR-I-010</x:v>
      </x:c>
      <x:c r="H181" s="40" t="str">
        <x:v>ADR-010 — Weekly Planning Lifecycle</x:v>
      </x:c>
      <x:c r="I181" s="40" t="str">
        <x:v>AC-I-016</x:v>
      </x:c>
      <x:c r="J181" s="40" t="str">
        <x:v>No</x:v>
      </x:c>
      <x:c r="K181" s="40" t="str">
        <x:v>V1</x:v>
      </x:c>
      <x:c r="L181" s="40" t="str">
        <x:v>Widget test</x:v>
      </x:c>
      <x:c r="M181" s="40"/>
      <x:c r="N181" s="40"/>
      <x:c r="O181" s="40" t="str">
        <x:v>VS-03, VS-04, VS-06, VS-07</x:v>
      </x:c>
      <x:c r="P181" s="40" t="str">
        <x:v>Not Started</x:v>
      </x:c>
      <x:c r="Q181" s="40"/>
    </x:row>
    <x:row r="182">
      <x:c r="A182" s="40" t="str">
        <x:v>VS-08</x:v>
      </x:c>
      <x:c r="B182" s="40" t="n">
        <x:v>8</x:v>
      </x:c>
      <x:c r="C182" s="40" t="str">
        <x:v>Wave 2 — Core Planning Loop</x:v>
      </x:c>
      <x:c r="D182" s="40" t="str">
        <x:v>I. Weekly Planning</x:v>
      </x:c>
      <x:c r="E182" s="40" t="str">
        <x:v>FR-I-017</x:v>
      </x:c>
      <x:c r="F182" s="40" t="str">
        <x:v>explicitly decide Task carryover.</x:v>
      </x:c>
      <x:c r="G182" s="40" t="str">
        <x:v>BR-I-008</x:v>
      </x:c>
      <x:c r="H182" s="40" t="str">
        <x:v>ADR-010 — Weekly Planning Lifecycle</x:v>
      </x:c>
      <x:c r="I182" s="40" t="str">
        <x:v>AC-I-017</x:v>
      </x:c>
      <x:c r="J182" s="40" t="str">
        <x:v>No</x:v>
      </x:c>
      <x:c r="K182" s="40" t="str">
        <x:v>V1</x:v>
      </x:c>
      <x:c r="L182" s="40" t="str">
        <x:v>Domain test</x:v>
      </x:c>
      <x:c r="M182" s="40"/>
      <x:c r="N182" s="40"/>
      <x:c r="O182" s="40" t="str">
        <x:v>VS-03, VS-04, VS-06, VS-07</x:v>
      </x:c>
      <x:c r="P182" s="40" t="str">
        <x:v>Not Started</x:v>
      </x:c>
      <x:c r="Q182" s="40"/>
    </x:row>
    <x:row r="183">
      <x:c r="A183" s="40" t="str">
        <x:v>VS-08</x:v>
      </x:c>
      <x:c r="B183" s="40" t="n">
        <x:v>8</x:v>
      </x:c>
      <x:c r="C183" s="40" t="str">
        <x:v>Wave 2 — Core Planning Loop</x:v>
      </x:c>
      <x:c r="D183" s="40" t="str">
        <x:v>I. Weekly Planning</x:v>
      </x:c>
      <x:c r="E183" s="40" t="str">
        <x:v>FR-I-018</x:v>
      </x:c>
      <x:c r="F183" s="40" t="str">
        <x:v>Calendar Events shall not carry over automatically.</x:v>
      </x:c>
      <x:c r="G183" s="40" t="str">
        <x:v>BR-I-009</x:v>
      </x:c>
      <x:c r="H183" s="40" t="str">
        <x:v>ADR-010 — Weekly Planning Lifecycle</x:v>
      </x:c>
      <x:c r="I183" s="40" t="str">
        <x:v>AC-I-018</x:v>
      </x:c>
      <x:c r="J183" s="40" t="str">
        <x:v>Yes</x:v>
      </x:c>
      <x:c r="K183" s="40" t="str">
        <x:v>V1</x:v>
      </x:c>
      <x:c r="L183" s="40" t="str">
        <x:v>Integration test</x:v>
      </x:c>
      <x:c r="M183" s="40"/>
      <x:c r="N183" s="40"/>
      <x:c r="O183" s="40" t="str">
        <x:v>VS-03, VS-04, VS-06, VS-07</x:v>
      </x:c>
      <x:c r="P183" s="40" t="str">
        <x:v>Not Started</x:v>
      </x:c>
      <x:c r="Q183" s="40"/>
    </x:row>
    <x:row r="184">
      <x:c r="A184" s="40" t="str">
        <x:v>VS-08</x:v>
      </x:c>
      <x:c r="B184" s="40" t="n">
        <x:v>8</x:v>
      </x:c>
      <x:c r="C184" s="40" t="str">
        <x:v>Wave 2 — Core Planning Loop</x:v>
      </x:c>
      <x:c r="D184" s="40" t="str">
        <x:v>I. Weekly Planning</x:v>
      </x:c>
      <x:c r="E184" s="40" t="str">
        <x:v>FR-I-019</x:v>
      </x:c>
      <x:c r="F184" s="40" t="str">
        <x:v>Prior plans shall remain accessible.</x:v>
      </x:c>
      <x:c r="G184" s="40" t="str">
        <x:v>BR-I-004, BR-I-005, BR-I-010</x:v>
      </x:c>
      <x:c r="H184" s="40" t="str">
        <x:v>ADR-010 — Weekly Planning Lifecycle</x:v>
      </x:c>
      <x:c r="I184" s="40" t="str">
        <x:v>AC-I-019</x:v>
      </x:c>
      <x:c r="J184" s="40" t="str">
        <x:v>No</x:v>
      </x:c>
      <x:c r="K184" s="40" t="str">
        <x:v>V1</x:v>
      </x:c>
      <x:c r="L184" s="40" t="str">
        <x:v>Domain test</x:v>
      </x:c>
      <x:c r="M184" s="40"/>
      <x:c r="N184" s="40"/>
      <x:c r="O184" s="40" t="str">
        <x:v>VS-03, VS-04, VS-06, VS-07</x:v>
      </x:c>
      <x:c r="P184" s="40" t="str">
        <x:v>Not Started</x:v>
      </x:c>
      <x:c r="Q184" s="40"/>
    </x:row>
    <x:row r="185">
      <x:c r="A185" s="40" t="str">
        <x:v>VS-08</x:v>
      </x:c>
      <x:c r="B185" s="40" t="n">
        <x:v>8</x:v>
      </x:c>
      <x:c r="C185" s="40" t="str">
        <x:v>Wave 2 — Core Planning Loop</x:v>
      </x:c>
      <x:c r="D185" s="40" t="str">
        <x:v>I. Weekly Planning</x:v>
      </x:c>
      <x:c r="E185" s="40" t="str">
        <x:v>FR-I-020</x:v>
      </x:c>
      <x:c r="F185" s="40" t="str">
        <x:v>Weekly Plan workflows shall function offline.</x:v>
      </x:c>
      <x:c r="G185" s="40" t="str">
        <x:v>BR-I-001, BR-I-002, BR-I-010</x:v>
      </x:c>
      <x:c r="H185" s="40" t="str">
        <x:v>ADR-010 — Weekly Planning Lifecycle; ADR-006 — Local-First Operation with Background Synchronization</x:v>
      </x:c>
      <x:c r="I185" s="40" t="str">
        <x:v>AC-I-020</x:v>
      </x:c>
      <x:c r="J185" s="40" t="str">
        <x:v>Yes</x:v>
      </x:c>
      <x:c r="K185" s="40" t="str">
        <x:v>V1</x:v>
      </x:c>
      <x:c r="L185" s="40" t="str">
        <x:v>Domain test</x:v>
      </x:c>
      <x:c r="M185" s="40"/>
      <x:c r="N185" s="40"/>
      <x:c r="O185" s="40" t="str">
        <x:v>VS-03, VS-04, VS-06, VS-07</x:v>
      </x:c>
      <x:c r="P185" s="40" t="str">
        <x:v>Not Started</x:v>
      </x:c>
      <x:c r="Q185" s="40"/>
    </x:row>
    <x:row r="186">
      <x:c r="A186" s="40" t="str">
        <x:v>VS-09</x:v>
      </x:c>
      <x:c r="B186" s="40" t="n">
        <x:v>9</x:v>
      </x:c>
      <x:c r="C186" s="40" t="str">
        <x:v>Wave 3 — Pathways and Life Administration</x:v>
      </x:c>
      <x:c r="D186" s="40" t="str">
        <x:v>J. Pathways, Goals, and Milestones</x:v>
      </x:c>
      <x:c r="E186" s="40" t="str">
        <x:v>FR-J-001</x:v>
      </x:c>
      <x:c r="F186" s="40" t="str">
        <x:v>be able to activate a Pathway.</x:v>
      </x:c>
      <x:c r="G186" s="40" t="str">
        <x:v>BR-J-001</x:v>
      </x:c>
      <x:c r="H186" s="40" t="str">
        <x:v>ADR-009 — Domain Ownership and Relationship Model</x:v>
      </x:c>
      <x:c r="I186" s="40" t="str">
        <x:v>AC-J-001</x:v>
      </x:c>
      <x:c r="J186" s="40" t="str">
        <x:v>Yes</x:v>
      </x:c>
      <x:c r="K186" s="40" t="str">
        <x:v>V1</x:v>
      </x:c>
      <x:c r="L186" s="40" t="str">
        <x:v>Widget test</x:v>
      </x:c>
      <x:c r="M186" s="40"/>
      <x:c r="N186" s="40"/>
      <x:c r="O186" s="40" t="str">
        <x:v>VS-01, VS-03, VS-04</x:v>
      </x:c>
      <x:c r="P186" s="40" t="str">
        <x:v>Not Started</x:v>
      </x:c>
      <x:c r="Q186" s="40"/>
    </x:row>
    <x:row r="187">
      <x:c r="A187" s="40" t="str">
        <x:v>VS-09</x:v>
      </x:c>
      <x:c r="B187" s="40" t="n">
        <x:v>9</x:v>
      </x:c>
      <x:c r="C187" s="40" t="str">
        <x:v>Wave 3 — Pathways and Life Administration</x:v>
      </x:c>
      <x:c r="D187" s="40" t="str">
        <x:v>J. Pathways, Goals, and Milestones</x:v>
      </x:c>
      <x:c r="E187" s="40" t="str">
        <x:v>FR-J-002</x:v>
      </x:c>
      <x:c r="F187" s="40" t="str">
        <x:v>be able to view bundled Pathway content offline.</x:v>
      </x:c>
      <x:c r="G187" s="40" t="str">
        <x:v>BR-J-001, BR-J-008</x:v>
      </x:c>
      <x:c r="H187" s="40" t="str">
        <x:v>ADR-009 — Domain Ownership and Relationship Model; ADR-006 — Local-First Operation with Background Synchronization</x:v>
      </x:c>
      <x:c r="I187" s="40" t="str">
        <x:v>AC-J-002</x:v>
      </x:c>
      <x:c r="J187" s="40" t="str">
        <x:v>Yes</x:v>
      </x:c>
      <x:c r="K187" s="40" t="str">
        <x:v>V1</x:v>
      </x:c>
      <x:c r="L187" s="40" t="str">
        <x:v>Widget test</x:v>
      </x:c>
      <x:c r="M187" s="40"/>
      <x:c r="N187" s="40"/>
      <x:c r="O187" s="40" t="str">
        <x:v>VS-01, VS-03, VS-04</x:v>
      </x:c>
      <x:c r="P187" s="40" t="str">
        <x:v>Not Started</x:v>
      </x:c>
      <x:c r="Q187" s="40"/>
    </x:row>
    <x:row r="188">
      <x:c r="A188" s="40" t="str">
        <x:v>VS-09</x:v>
      </x:c>
      <x:c r="B188" s="40" t="n">
        <x:v>9</x:v>
      </x:c>
      <x:c r="C188" s="40" t="str">
        <x:v>Wave 3 — Pathways and Life Administration</x:v>
      </x:c>
      <x:c r="D188" s="40" t="str">
        <x:v>J. Pathways, Goals, and Milestones</x:v>
      </x:c>
      <x:c r="E188" s="40" t="str">
        <x:v>FR-J-003</x:v>
      </x:c>
      <x:c r="F188" s="40" t="str">
        <x:v>be able to create and edit Goals where permitted.</x:v>
      </x:c>
      <x:c r="G188" s="40" t="str">
        <x:v>BR-J-001</x:v>
      </x:c>
      <x:c r="H188" s="40" t="str">
        <x:v>ADR-009 — Domain Ownership and Relationship Model</x:v>
      </x:c>
      <x:c r="I188" s="40" t="str">
        <x:v>AC-J-003</x:v>
      </x:c>
      <x:c r="J188" s="40" t="str">
        <x:v>Yes</x:v>
      </x:c>
      <x:c r="K188" s="40" t="str">
        <x:v>V1</x:v>
      </x:c>
      <x:c r="L188" s="40" t="str">
        <x:v>Widget test</x:v>
      </x:c>
      <x:c r="M188" s="40"/>
      <x:c r="N188" s="40"/>
      <x:c r="O188" s="40" t="str">
        <x:v>VS-01, VS-03, VS-04</x:v>
      </x:c>
      <x:c r="P188" s="40" t="str">
        <x:v>Not Started</x:v>
      </x:c>
      <x:c r="Q188" s="40"/>
    </x:row>
    <x:row r="189">
      <x:c r="A189" s="40" t="str">
        <x:v>VS-09</x:v>
      </x:c>
      <x:c r="B189" s="40" t="n">
        <x:v>9</x:v>
      </x:c>
      <x:c r="C189" s="40" t="str">
        <x:v>Wave 3 — Pathways and Life Administration</x:v>
      </x:c>
      <x:c r="D189" s="40" t="str">
        <x:v>J. Pathways, Goals, and Milestones</x:v>
      </x:c>
      <x:c r="E189" s="40" t="str">
        <x:v>FR-J-004</x:v>
      </x:c>
      <x:c r="F189" s="40" t="str">
        <x:v>be able to create and edit Milestones where permitted.</x:v>
      </x:c>
      <x:c r="G189" s="40" t="str">
        <x:v>BR-J-001</x:v>
      </x:c>
      <x:c r="H189" s="40" t="str">
        <x:v>ADR-009 — Domain Ownership and Relationship Model</x:v>
      </x:c>
      <x:c r="I189" s="40" t="str">
        <x:v>AC-J-004</x:v>
      </x:c>
      <x:c r="J189" s="40" t="str">
        <x:v>Yes</x:v>
      </x:c>
      <x:c r="K189" s="40" t="str">
        <x:v>V1</x:v>
      </x:c>
      <x:c r="L189" s="40" t="str">
        <x:v>Widget test</x:v>
      </x:c>
      <x:c r="M189" s="40"/>
      <x:c r="N189" s="40"/>
      <x:c r="O189" s="40" t="str">
        <x:v>VS-01, VS-03, VS-04</x:v>
      </x:c>
      <x:c r="P189" s="40" t="str">
        <x:v>Not Started</x:v>
      </x:c>
      <x:c r="Q189" s="40"/>
    </x:row>
    <x:row r="190">
      <x:c r="A190" s="40" t="str">
        <x:v>VS-09</x:v>
      </x:c>
      <x:c r="B190" s="40" t="n">
        <x:v>9</x:v>
      </x:c>
      <x:c r="C190" s="40" t="str">
        <x:v>Wave 3 — Pathways and Life Administration</x:v>
      </x:c>
      <x:c r="D190" s="40" t="str">
        <x:v>J. Pathways, Goals, and Milestones</x:v>
      </x:c>
      <x:c r="E190" s="40" t="str">
        <x:v>FR-J-005</x:v>
      </x:c>
      <x:c r="F190" s="40" t="str">
        <x:v>Pathways, Goals, and Milestones shall retain separate identities.</x:v>
      </x:c>
      <x:c r="G190" s="40" t="str">
        <x:v>BR-J-001</x:v>
      </x:c>
      <x:c r="H190" s="40" t="str">
        <x:v>ADR-009 — Domain Ownership and Relationship Model</x:v>
      </x:c>
      <x:c r="I190" s="40" t="str">
        <x:v>AC-J-005</x:v>
      </x:c>
      <x:c r="J190" s="40" t="str">
        <x:v>Yes</x:v>
      </x:c>
      <x:c r="K190" s="40" t="str">
        <x:v>V1</x:v>
      </x:c>
      <x:c r="L190" s="40" t="str">
        <x:v>Domain test</x:v>
      </x:c>
      <x:c r="M190" s="40" t="str">
        <x:v>OPD-2-013</x:v>
      </x:c>
      <x:c r="N190" s="40" t="str">
        <x:v>OPD-2-013: Use bundled Pathways plus custom Goals and Milestones; defer custom Pathways.</x:v>
      </x:c>
      <x:c r="O190" s="40" t="str">
        <x:v>VS-01, VS-03, VS-04</x:v>
      </x:c>
      <x:c r="P190" s="40" t="str">
        <x:v>Not Started</x:v>
      </x:c>
      <x:c r="Q190" s="40"/>
    </x:row>
    <x:row r="191">
      <x:c r="A191" s="40" t="str">
        <x:v>VS-09</x:v>
      </x:c>
      <x:c r="B191" s="40" t="n">
        <x:v>9</x:v>
      </x:c>
      <x:c r="C191" s="40" t="str">
        <x:v>Wave 3 — Pathways and Life Administration</x:v>
      </x:c>
      <x:c r="D191" s="40" t="str">
        <x:v>J. Pathways, Goals, and Milestones</x:v>
      </x:c>
      <x:c r="E191" s="40" t="str">
        <x:v>FR-J-006</x:v>
      </x:c>
      <x:c r="F191" s="40" t="str">
        <x:v>be able to reorder Goals and Milestones.</x:v>
      </x:c>
      <x:c r="G191" s="40" t="str">
        <x:v>BR-J-001</x:v>
      </x:c>
      <x:c r="H191" s="40" t="str">
        <x:v>ADR-009 — Domain Ownership and Relationship Model</x:v>
      </x:c>
      <x:c r="I191" s="40" t="str">
        <x:v>AC-J-006</x:v>
      </x:c>
      <x:c r="J191" s="40" t="str">
        <x:v>Yes</x:v>
      </x:c>
      <x:c r="K191" s="40" t="str">
        <x:v>V1</x:v>
      </x:c>
      <x:c r="L191" s="40" t="str">
        <x:v>Widget test</x:v>
      </x:c>
      <x:c r="M191" s="40" t="str">
        <x:v>OPD-2-013</x:v>
      </x:c>
      <x:c r="N191" s="40" t="str">
        <x:v>OPD-2-013: Use bundled Pathways plus custom Goals and Milestones; defer custom Pathways.</x:v>
      </x:c>
      <x:c r="O191" s="40" t="str">
        <x:v>VS-01, VS-03, VS-04</x:v>
      </x:c>
      <x:c r="P191" s="40" t="str">
        <x:v>Not Started</x:v>
      </x:c>
      <x:c r="Q191" s="40"/>
    </x:row>
    <x:row r="192">
      <x:c r="A192" s="40" t="str">
        <x:v>VS-09</x:v>
      </x:c>
      <x:c r="B192" s="40" t="n">
        <x:v>9</x:v>
      </x:c>
      <x:c r="C192" s="40" t="str">
        <x:v>Wave 3 — Pathways and Life Administration</x:v>
      </x:c>
      <x:c r="D192" s="40" t="str">
        <x:v>J. Pathways, Goals, and Milestones</x:v>
      </x:c>
      <x:c r="E192" s="40" t="str">
        <x:v>FR-J-007</x:v>
      </x:c>
      <x:c r="F192" s="40" t="str">
        <x:v>be able to pause supported records.</x:v>
      </x:c>
      <x:c r="G192" s="40" t="str">
        <x:v>BR-J-001, BR-J-005</x:v>
      </x:c>
      <x:c r="H192" s="40" t="str">
        <x:v>ADR-009 — Domain Ownership and Relationship Model</x:v>
      </x:c>
      <x:c r="I192" s="40" t="str">
        <x:v>AC-J-007</x:v>
      </x:c>
      <x:c r="J192" s="40" t="str">
        <x:v>Yes</x:v>
      </x:c>
      <x:c r="K192" s="40" t="str">
        <x:v>V1</x:v>
      </x:c>
      <x:c r="L192" s="40" t="str">
        <x:v>Widget test</x:v>
      </x:c>
      <x:c r="M192" s="40" t="str">
        <x:v>OPD-2-014</x:v>
      </x:c>
      <x:c r="N192" s="40" t="str">
        <x:v>OPD-2-014: Use these V1 lifecycle values: Pathway = Available, Active, Paused, Completed, Archived; Goal = Active, Paused, Completed, Archived; Milestone = Planned, Completed, Archived. Reopen returns Completed records to Active or Planned; restore returns Archived records to their last known non-archived state when available.</x:v>
      </x:c>
      <x:c r="O192" s="40" t="str">
        <x:v>VS-01, VS-03, VS-04</x:v>
      </x:c>
      <x:c r="P192" s="40" t="str">
        <x:v>Not Started</x:v>
      </x:c>
      <x:c r="Q192" s="40"/>
    </x:row>
    <x:row r="193">
      <x:c r="A193" s="40" t="str">
        <x:v>VS-09</x:v>
      </x:c>
      <x:c r="B193" s="40" t="n">
        <x:v>9</x:v>
      </x:c>
      <x:c r="C193" s="40" t="str">
        <x:v>Wave 3 — Pathways and Life Administration</x:v>
      </x:c>
      <x:c r="D193" s="40" t="str">
        <x:v>J. Pathways, Goals, and Milestones</x:v>
      </x:c>
      <x:c r="E193" s="40" t="str">
        <x:v>FR-J-008</x:v>
      </x:c>
      <x:c r="F193" s="40" t="str">
        <x:v>be able to complete supported records.</x:v>
      </x:c>
      <x:c r="G193" s="40" t="str">
        <x:v>BR-J-001, BR-J-005</x:v>
      </x:c>
      <x:c r="H193" s="40" t="str">
        <x:v>ADR-009 — Domain Ownership and Relationship Model</x:v>
      </x:c>
      <x:c r="I193" s="40" t="str">
        <x:v>AC-J-008</x:v>
      </x:c>
      <x:c r="J193" s="40" t="str">
        <x:v>Yes</x:v>
      </x:c>
      <x:c r="K193" s="40" t="str">
        <x:v>V1</x:v>
      </x:c>
      <x:c r="L193" s="40" t="str">
        <x:v>Widget test</x:v>
      </x:c>
      <x:c r="M193" s="40" t="str">
        <x:v>OPD-2-014</x:v>
      </x:c>
      <x:c r="N193" s="40" t="str">
        <x:v>OPD-2-014: Use these V1 lifecycle values: Pathway = Available, Active, Paused, Completed, Archived; Goal = Active, Paused, Completed, Archived; Milestone = Planned, Completed, Archived. Reopen returns Completed records to Active or Planned; restore returns Archived records to their last known non-archived state when available.</x:v>
      </x:c>
      <x:c r="O193" s="40" t="str">
        <x:v>VS-01, VS-03, VS-04</x:v>
      </x:c>
      <x:c r="P193" s="40" t="str">
        <x:v>Not Started</x:v>
      </x:c>
      <x:c r="Q193" s="40"/>
    </x:row>
    <x:row r="194">
      <x:c r="A194" s="40" t="str">
        <x:v>VS-09</x:v>
      </x:c>
      <x:c r="B194" s="40" t="n">
        <x:v>9</x:v>
      </x:c>
      <x:c r="C194" s="40" t="str">
        <x:v>Wave 3 — Pathways and Life Administration</x:v>
      </x:c>
      <x:c r="D194" s="40" t="str">
        <x:v>J. Pathways, Goals, and Milestones</x:v>
      </x:c>
      <x:c r="E194" s="40" t="str">
        <x:v>FR-J-009</x:v>
      </x:c>
      <x:c r="F194" s="40" t="str">
        <x:v>be able to reopen completed records.</x:v>
      </x:c>
      <x:c r="G194" s="40" t="str">
        <x:v>BR-J-001, BR-J-005</x:v>
      </x:c>
      <x:c r="H194" s="40" t="str">
        <x:v>ADR-009 — Domain Ownership and Relationship Model</x:v>
      </x:c>
      <x:c r="I194" s="40" t="str">
        <x:v>AC-J-009</x:v>
      </x:c>
      <x:c r="J194" s="40" t="str">
        <x:v>No</x:v>
      </x:c>
      <x:c r="K194" s="40" t="str">
        <x:v>V1</x:v>
      </x:c>
      <x:c r="L194" s="40" t="str">
        <x:v>Widget test</x:v>
      </x:c>
      <x:c r="M194" s="40" t="str">
        <x:v>OPD-2-014</x:v>
      </x:c>
      <x:c r="N194" s="40" t="str">
        <x:v>OPD-2-014: Use these V1 lifecycle values: Pathway = Available, Active, Paused, Completed, Archived; Goal = Active, Paused, Completed, Archived; Milestone = Planned, Completed, Archived. Reopen returns Completed records to Active or Planned; restore returns Archived records to their last known non-archived state when available.</x:v>
      </x:c>
      <x:c r="O194" s="40" t="str">
        <x:v>VS-01, VS-03, VS-04</x:v>
      </x:c>
      <x:c r="P194" s="40" t="str">
        <x:v>Not Started</x:v>
      </x:c>
      <x:c r="Q194" s="40"/>
    </x:row>
    <x:row r="195">
      <x:c r="A195" s="40" t="str">
        <x:v>VS-09</x:v>
      </x:c>
      <x:c r="B195" s="40" t="n">
        <x:v>9</x:v>
      </x:c>
      <x:c r="C195" s="40" t="str">
        <x:v>Wave 3 — Pathways and Life Administration</x:v>
      </x:c>
      <x:c r="D195" s="40" t="str">
        <x:v>J. Pathways, Goals, and Milestones</x:v>
      </x:c>
      <x:c r="E195" s="40" t="str">
        <x:v>FR-J-010</x:v>
      </x:c>
      <x:c r="F195" s="40" t="str">
        <x:v>be able to archive supported records.</x:v>
      </x:c>
      <x:c r="G195" s="40" t="str">
        <x:v>BR-J-001, BR-J-005</x:v>
      </x:c>
      <x:c r="H195" s="40" t="str">
        <x:v>ADR-009 — Domain Ownership and Relationship Model</x:v>
      </x:c>
      <x:c r="I195" s="40" t="str">
        <x:v>AC-J-010</x:v>
      </x:c>
      <x:c r="J195" s="40" t="str">
        <x:v>No</x:v>
      </x:c>
      <x:c r="K195" s="40" t="str">
        <x:v>V1</x:v>
      </x:c>
      <x:c r="L195" s="40" t="str">
        <x:v>Widget test</x:v>
      </x:c>
      <x:c r="M195" s="40" t="str">
        <x:v>OPD-2-014</x:v>
      </x:c>
      <x:c r="N195" s="40" t="str">
        <x:v>OPD-2-014: Use these V1 lifecycle values: Pathway = Available, Active, Paused, Completed, Archived; Goal = Active, Paused, Completed, Archived; Milestone = Planned, Completed, Archived. Reopen returns Completed records to Active or Planned; restore returns Archived records to their last known non-archived state when available.</x:v>
      </x:c>
      <x:c r="O195" s="40" t="str">
        <x:v>VS-01, VS-03, VS-04</x:v>
      </x:c>
      <x:c r="P195" s="40" t="str">
        <x:v>Not Started</x:v>
      </x:c>
      <x:c r="Q195" s="40"/>
    </x:row>
    <x:row r="196">
      <x:c r="A196" s="40" t="str">
        <x:v>VS-09</x:v>
      </x:c>
      <x:c r="B196" s="40" t="n">
        <x:v>9</x:v>
      </x:c>
      <x:c r="C196" s="40" t="str">
        <x:v>Wave 3 — Pathways and Life Administration</x:v>
      </x:c>
      <x:c r="D196" s="40" t="str">
        <x:v>J. Pathways, Goals, and Milestones</x:v>
      </x:c>
      <x:c r="E196" s="40" t="str">
        <x:v>FR-J-011</x:v>
      </x:c>
      <x:c r="F196" s="40" t="str">
        <x:v>preserve completion history.</x:v>
      </x:c>
      <x:c r="G196" s="40" t="str">
        <x:v>BR-J-006, BR-J-007, BR-J-008</x:v>
      </x:c>
      <x:c r="H196" s="40" t="str">
        <x:v>ADR-009 — Domain Ownership and Relationship Model</x:v>
      </x:c>
      <x:c r="I196" s="40" t="str">
        <x:v>AC-J-011</x:v>
      </x:c>
      <x:c r="J196" s="40" t="str">
        <x:v>Yes</x:v>
      </x:c>
      <x:c r="K196" s="40" t="str">
        <x:v>V1</x:v>
      </x:c>
      <x:c r="L196" s="40" t="str">
        <x:v>Domain test</x:v>
      </x:c>
      <x:c r="M196" s="40"/>
      <x:c r="N196" s="40"/>
      <x:c r="O196" s="40" t="str">
        <x:v>VS-01, VS-03, VS-04</x:v>
      </x:c>
      <x:c r="P196" s="40" t="str">
        <x:v>Not Started</x:v>
      </x:c>
      <x:c r="Q196" s="40"/>
    </x:row>
    <x:row r="197">
      <x:c r="A197" s="40" t="str">
        <x:v>VS-09</x:v>
      </x:c>
      <x:c r="B197" s="40" t="n">
        <x:v>9</x:v>
      </x:c>
      <x:c r="C197" s="40" t="str">
        <x:v>Wave 3 — Pathways and Life Administration</x:v>
      </x:c>
      <x:c r="D197" s="40" t="str">
        <x:v>J. Pathways, Goals, and Milestones</x:v>
      </x:c>
      <x:c r="E197" s="40" t="str">
        <x:v>FR-J-012</x:v>
      </x:c>
      <x:c r="F197" s="40" t="str">
        <x:v>display each item’s completion method.</x:v>
      </x:c>
      <x:c r="G197" s="40" t="str">
        <x:v>BR-J-002, BR-J-007</x:v>
      </x:c>
      <x:c r="H197" s="40" t="str">
        <x:v>ADR-009 — Domain Ownership and Relationship Model</x:v>
      </x:c>
      <x:c r="I197" s="40" t="str">
        <x:v>AC-J-012</x:v>
      </x:c>
      <x:c r="J197" s="40" t="str">
        <x:v>No</x:v>
      </x:c>
      <x:c r="K197" s="40" t="str">
        <x:v>V1</x:v>
      </x:c>
      <x:c r="L197" s="40" t="str">
        <x:v>Widget test</x:v>
      </x:c>
      <x:c r="M197" s="40" t="str">
        <x:v>OPD-2-015</x:v>
      </x:c>
      <x:c r="N197" s="40" t="str">
        <x:v>OPD-2-015: Allow only through an explicit User Confirmation completion method.</x:v>
      </x:c>
      <x:c r="O197" s="40" t="str">
        <x:v>VS-01, VS-03, VS-04</x:v>
      </x:c>
      <x:c r="P197" s="40" t="str">
        <x:v>Not Started</x:v>
      </x:c>
      <x:c r="Q197" s="40"/>
    </x:row>
    <x:row r="198">
      <x:c r="A198" s="40" t="str">
        <x:v>VS-09</x:v>
      </x:c>
      <x:c r="B198" s="40" t="n">
        <x:v>9</x:v>
      </x:c>
      <x:c r="C198" s="40" t="str">
        <x:v>Wave 3 — Pathways and Life Administration</x:v>
      </x:c>
      <x:c r="D198" s="40" t="str">
        <x:v>J. Pathways, Goals, and Milestones</x:v>
      </x:c>
      <x:c r="E198" s="40" t="str">
        <x:v>FR-J-013</x:v>
      </x:c>
      <x:c r="F198" s="40" t="str">
        <x:v>provide factual source access for derived progress.</x:v>
      </x:c>
      <x:c r="G198" s="40" t="str">
        <x:v>BR-J-002, BR-J-003, BR-J-009</x:v>
      </x:c>
      <x:c r="H198" s="40" t="str">
        <x:v>ADR-005 — Confirmed-Source Progress and Read-Only Actuals; ADR-009 — Domain Ownership and Relationship Model</x:v>
      </x:c>
      <x:c r="I198" s="40" t="str">
        <x:v>AC-J-013</x:v>
      </x:c>
      <x:c r="J198" s="40" t="str">
        <x:v>Yes</x:v>
      </x:c>
      <x:c r="K198" s="40" t="str">
        <x:v>V1</x:v>
      </x:c>
      <x:c r="L198" s="40" t="str">
        <x:v>Domain test</x:v>
      </x:c>
      <x:c r="M198" s="40"/>
      <x:c r="N198" s="40"/>
      <x:c r="O198" s="40" t="str">
        <x:v>VS-01, VS-03, VS-04</x:v>
      </x:c>
      <x:c r="P198" s="40" t="str">
        <x:v>Not Started</x:v>
      </x:c>
      <x:c r="Q198" s="40"/>
    </x:row>
    <x:row r="199">
      <x:c r="A199" s="40" t="str">
        <x:v>VS-09</x:v>
      </x:c>
      <x:c r="B199" s="40" t="n">
        <x:v>9</x:v>
      </x:c>
      <x:c r="C199" s="40" t="str">
        <x:v>Wave 3 — Pathways and Life Administration</x:v>
      </x:c>
      <x:c r="D199" s="40" t="str">
        <x:v>J. Pathways, Goals, and Milestones</x:v>
      </x:c>
      <x:c r="E199" s="40" t="str">
        <x:v>FR-J-014</x:v>
      </x:c>
      <x:c r="F199" s="40" t="str">
        <x:v>not infer progress from titles.</x:v>
      </x:c>
      <x:c r="G199" s="40" t="str">
        <x:v>BR-J-003, BR-J-009</x:v>
      </x:c>
      <x:c r="H199" s="40" t="str">
        <x:v>ADR-009 — Domain Ownership and Relationship Model</x:v>
      </x:c>
      <x:c r="I199" s="40" t="str">
        <x:v>AC-J-014</x:v>
      </x:c>
      <x:c r="J199" s="40" t="str">
        <x:v>Yes</x:v>
      </x:c>
      <x:c r="K199" s="40" t="str">
        <x:v>V1</x:v>
      </x:c>
      <x:c r="L199" s="40" t="str">
        <x:v>Domain test</x:v>
      </x:c>
      <x:c r="M199" s="40"/>
      <x:c r="N199" s="40"/>
      <x:c r="O199" s="40" t="str">
        <x:v>VS-01, VS-03, VS-04</x:v>
      </x:c>
      <x:c r="P199" s="40" t="str">
        <x:v>Not Started</x:v>
      </x:c>
      <x:c r="Q199" s="40"/>
    </x:row>
    <x:row r="200">
      <x:c r="A200" s="40" t="str">
        <x:v>VS-09</x:v>
      </x:c>
      <x:c r="B200" s="40" t="n">
        <x:v>9</x:v>
      </x:c>
      <x:c r="C200" s="40" t="str">
        <x:v>Wave 3 — Pathways and Life Administration</x:v>
      </x:c>
      <x:c r="D200" s="40" t="str">
        <x:v>J. Pathways, Goals, and Milestones</x:v>
      </x:c>
      <x:c r="E200" s="40" t="str">
        <x:v>FR-J-015</x:v>
      </x:c>
      <x:c r="F200" s="40" t="str">
        <x:v>not display unexplained percentages.</x:v>
      </x:c>
      <x:c r="G200" s="40" t="str">
        <x:v>BR-J-004</x:v>
      </x:c>
      <x:c r="H200" s="40" t="str">
        <x:v>ADR-009 — Domain Ownership and Relationship Model</x:v>
      </x:c>
      <x:c r="I200" s="40" t="str">
        <x:v>AC-J-015</x:v>
      </x:c>
      <x:c r="J200" s="40" t="str">
        <x:v>Yes</x:v>
      </x:c>
      <x:c r="K200" s="40" t="str">
        <x:v>V1</x:v>
      </x:c>
      <x:c r="L200" s="40" t="str">
        <x:v>Widget test</x:v>
      </x:c>
      <x:c r="M200" s="40" t="str">
        <x:v>OPD-2-016</x:v>
      </x:c>
      <x:c r="N200" s="40" t="str">
        <x:v>OPD-2-016: Do not include a universal Pathway percentage in V1.</x:v>
      </x:c>
      <x:c r="O200" s="40" t="str">
        <x:v>VS-01, VS-03, VS-04</x:v>
      </x:c>
      <x:c r="P200" s="40" t="str">
        <x:v>Not Started</x:v>
      </x:c>
      <x:c r="Q200" s="40"/>
    </x:row>
    <x:row r="201">
      <x:c r="A201" s="40" t="str">
        <x:v>VS-09</x:v>
      </x:c>
      <x:c r="B201" s="40" t="n">
        <x:v>9</x:v>
      </x:c>
      <x:c r="C201" s="40" t="str">
        <x:v>Wave 3 — Pathways and Life Administration</x:v>
      </x:c>
      <x:c r="D201" s="40" t="str">
        <x:v>J. Pathways, Goals, and Milestones</x:v>
      </x:c>
      <x:c r="E201" s="40" t="str">
        <x:v>FR-J-016</x:v>
      </x:c>
      <x:c r="F201" s="40" t="str">
        <x:v>be able to create Tasks and Calendar Events from Pathway context.</x:v>
      </x:c>
      <x:c r="G201" s="40" t="str">
        <x:v>BR-J-001</x:v>
      </x:c>
      <x:c r="H201" s="40" t="str">
        <x:v>ADR-004 — Separation of Tasks and Calendar Events; ADR-009 — Domain Ownership and Relationship Model</x:v>
      </x:c>
      <x:c r="I201" s="40" t="str">
        <x:v>AC-J-016</x:v>
      </x:c>
      <x:c r="J201" s="40" t="str">
        <x:v>No</x:v>
      </x:c>
      <x:c r="K201" s="40" t="str">
        <x:v>V1</x:v>
      </x:c>
      <x:c r="L201" s="40" t="str">
        <x:v>Widget test / Integration test</x:v>
      </x:c>
      <x:c r="M201" s="40"/>
      <x:c r="N201" s="40"/>
      <x:c r="O201" s="40" t="str">
        <x:v>VS-01, VS-03, VS-04</x:v>
      </x:c>
      <x:c r="P201" s="40" t="str">
        <x:v>Not Started</x:v>
      </x:c>
      <x:c r="Q201" s="40"/>
    </x:row>
    <x:row r="202">
      <x:c r="A202" s="40" t="str">
        <x:v>VS-09</x:v>
      </x:c>
      <x:c r="B202" s="40" t="n">
        <x:v>9</x:v>
      </x:c>
      <x:c r="C202" s="40" t="str">
        <x:v>Wave 3 — Pathways and Life Administration</x:v>
      </x:c>
      <x:c r="D202" s="40" t="str">
        <x:v>J. Pathways, Goals, and Milestones</x:v>
      </x:c>
      <x:c r="E202" s="40" t="str">
        <x:v>FR-J-017</x:v>
      </x:c>
      <x:c r="F202" s="40" t="str">
        <x:v>Linked Task and event statuses shall remain independent.</x:v>
      </x:c>
      <x:c r="G202" s="40" t="str">
        <x:v>BR-J-001, BR-J-005</x:v>
      </x:c>
      <x:c r="H202" s="40" t="str">
        <x:v>ADR-009 — Domain Ownership and Relationship Model</x:v>
      </x:c>
      <x:c r="I202" s="40" t="str">
        <x:v>AC-J-017</x:v>
      </x:c>
      <x:c r="J202" s="40" t="str">
        <x:v>No</x:v>
      </x:c>
      <x:c r="K202" s="40" t="str">
        <x:v>V1</x:v>
      </x:c>
      <x:c r="L202" s="40" t="str">
        <x:v>Domain test</x:v>
      </x:c>
      <x:c r="M202" s="40"/>
      <x:c r="N202" s="40"/>
      <x:c r="O202" s="40" t="str">
        <x:v>VS-01, VS-03, VS-04</x:v>
      </x:c>
      <x:c r="P202" s="40" t="str">
        <x:v>Not Started</x:v>
      </x:c>
      <x:c r="Q202" s="40"/>
    </x:row>
    <x:row r="203">
      <x:c r="A203" s="40" t="str">
        <x:v>VS-09</x:v>
      </x:c>
      <x:c r="B203" s="40" t="n">
        <x:v>9</x:v>
      </x:c>
      <x:c r="C203" s="40" t="str">
        <x:v>Wave 3 — Pathways and Life Administration</x:v>
      </x:c>
      <x:c r="D203" s="40" t="str">
        <x:v>J. Pathways, Goals, and Milestones</x:v>
      </x:c>
      <x:c r="E203" s="40" t="str">
        <x:v>FR-J-018</x:v>
      </x:c>
      <x:c r="F203" s="40" t="str">
        <x:v>Bundled updates shall preserve user state.</x:v>
      </x:c>
      <x:c r="G203" s="40" t="str">
        <x:v>BR-J-008</x:v>
      </x:c>
      <x:c r="H203" s="40" t="str">
        <x:v>ADR-009 — Domain Ownership and Relationship Model</x:v>
      </x:c>
      <x:c r="I203" s="40" t="str">
        <x:v>AC-J-018</x:v>
      </x:c>
      <x:c r="J203" s="40" t="str">
        <x:v>Yes</x:v>
      </x:c>
      <x:c r="K203" s="40" t="str">
        <x:v>V1</x:v>
      </x:c>
      <x:c r="L203" s="40" t="str">
        <x:v>Domain test</x:v>
      </x:c>
      <x:c r="M203" s="40"/>
      <x:c r="N203" s="40"/>
      <x:c r="O203" s="40" t="str">
        <x:v>VS-01, VS-03, VS-04</x:v>
      </x:c>
      <x:c r="P203" s="40" t="str">
        <x:v>Not Started</x:v>
      </x:c>
      <x:c r="Q203" s="40"/>
    </x:row>
    <x:row r="204">
      <x:c r="A204" s="40" t="str">
        <x:v>VS-09</x:v>
      </x:c>
      <x:c r="B204" s="40" t="n">
        <x:v>9</x:v>
      </x:c>
      <x:c r="C204" s="40" t="str">
        <x:v>Wave 3 — Pathways and Life Administration</x:v>
      </x:c>
      <x:c r="D204" s="40" t="str">
        <x:v>J. Pathways, Goals, and Milestones</x:v>
      </x:c>
      <x:c r="E204" s="40" t="str">
        <x:v>FR-J-019</x:v>
      </x:c>
      <x:c r="F204" s="40" t="str">
        <x:v>Covenant Path shall use neutral factual presentation.</x:v>
      </x:c>
      <x:c r="G204" s="40" t="str">
        <x:v>BR-J-002, BR-J-010</x:v>
      </x:c>
      <x:c r="H204" s="40" t="str">
        <x:v>ADR-005 — Confirmed-Source Progress and Read-Only Actuals; ADR-009 — Domain Ownership and Relationship Model</x:v>
      </x:c>
      <x:c r="I204" s="40" t="str">
        <x:v>AC-J-019</x:v>
      </x:c>
      <x:c r="J204" s="40" t="str">
        <x:v>Yes</x:v>
      </x:c>
      <x:c r="K204" s="40" t="str">
        <x:v>V1</x:v>
      </x:c>
      <x:c r="L204" s="40" t="str">
        <x:v>Domain test / Manual review</x:v>
      </x:c>
      <x:c r="M204" s="40"/>
      <x:c r="N204" s="40"/>
      <x:c r="O204" s="40" t="str">
        <x:v>VS-01, VS-03, VS-04</x:v>
      </x:c>
      <x:c r="P204" s="40" t="str">
        <x:v>Not Started</x:v>
      </x:c>
      <x:c r="Q204" s="40"/>
    </x:row>
    <x:row r="205">
      <x:c r="A205" s="40" t="str">
        <x:v>VS-09</x:v>
      </x:c>
      <x:c r="B205" s="40" t="n">
        <x:v>9</x:v>
      </x:c>
      <x:c r="C205" s="40" t="str">
        <x:v>Wave 3 — Pathways and Life Administration</x:v>
      </x:c>
      <x:c r="D205" s="40" t="str">
        <x:v>J. Pathways, Goals, and Milestones</x:v>
      </x:c>
      <x:c r="E205" s="40" t="str">
        <x:v>FR-J-020</x:v>
      </x:c>
      <x:c r="F205" s="40" t="str">
        <x:v>Covenant Path shall not provide spiritual-quality scoring or sharing.</x:v>
      </x:c>
      <x:c r="G205" s="40" t="str">
        <x:v>BR-J-010</x:v>
      </x:c>
      <x:c r="H205" s="40" t="str">
        <x:v>ADR-009 — Domain Ownership and Relationship Model</x:v>
      </x:c>
      <x:c r="I205" s="40" t="str">
        <x:v>AC-J-020</x:v>
      </x:c>
      <x:c r="J205" s="40" t="str">
        <x:v>Yes</x:v>
      </x:c>
      <x:c r="K205" s="40" t="str">
        <x:v>V1</x:v>
      </x:c>
      <x:c r="L205" s="40" t="str">
        <x:v>Manual review</x:v>
      </x:c>
      <x:c r="M205" s="40"/>
      <x:c r="N205" s="40"/>
      <x:c r="O205" s="40" t="str">
        <x:v>VS-01, VS-03, VS-04</x:v>
      </x:c>
      <x:c r="P205" s="40" t="str">
        <x:v>Not Started</x:v>
      </x:c>
      <x:c r="Q205" s="40"/>
    </x:row>
    <x:row r="206">
      <x:c r="A206" s="40" t="str">
        <x:v>VS-09</x:v>
      </x:c>
      <x:c r="B206" s="40" t="n">
        <x:v>9</x:v>
      </x:c>
      <x:c r="C206" s="40" t="str">
        <x:v>Wave 3 — Pathways and Life Administration</x:v>
      </x:c>
      <x:c r="D206" s="40" t="str">
        <x:v>J. Pathways, Goals, and Milestones</x:v>
      </x:c>
      <x:c r="E206" s="40" t="str">
        <x:v>FR-J-021</x:v>
      </x:c>
      <x:c r="F206" s="40" t="str">
        <x:v>Pathway workflows shall function offline.</x:v>
      </x:c>
      <x:c r="G206" s="40" t="str">
        <x:v>BR-J-001</x:v>
      </x:c>
      <x:c r="H206" s="40" t="str">
        <x:v>ADR-009 — Domain Ownership and Relationship Model; ADR-006 — Local-First Operation with Background Synchronization</x:v>
      </x:c>
      <x:c r="I206" s="40" t="str">
        <x:v>AC-J-021</x:v>
      </x:c>
      <x:c r="J206" s="40" t="str">
        <x:v>Yes</x:v>
      </x:c>
      <x:c r="K206" s="40" t="str">
        <x:v>V1</x:v>
      </x:c>
      <x:c r="L206" s="40" t="str">
        <x:v>Domain test</x:v>
      </x:c>
      <x:c r="M206" s="40"/>
      <x:c r="N206" s="40"/>
      <x:c r="O206" s="40" t="str">
        <x:v>VS-01, VS-03, VS-04</x:v>
      </x:c>
      <x:c r="P206" s="40" t="str">
        <x:v>Not Started</x:v>
      </x:c>
      <x:c r="Q206" s="40"/>
    </x:row>
    <x:row r="207">
      <x:c r="A207" s="40" t="str">
        <x:v>VS-09</x:v>
      </x:c>
      <x:c r="B207" s="40" t="n">
        <x:v>9</x:v>
      </x:c>
      <x:c r="C207" s="40" t="str">
        <x:v>Wave 3 — Pathways and Life Administration</x:v>
      </x:c>
      <x:c r="D207" s="40" t="str">
        <x:v>J. Pathways, Goals, and Milestones</x:v>
      </x:c>
      <x:c r="E207" s="40" t="str">
        <x:v>FR-J-022</x:v>
      </x:c>
      <x:c r="F207" s="40" t="str">
        <x:v>Private reflections shall remain non-contributory.</x:v>
      </x:c>
      <x:c r="G207" s="40" t="str">
        <x:v>BR-J-001, BR-J-009</x:v>
      </x:c>
      <x:c r="H207" s="40" t="str">
        <x:v>ADR-009 — Domain Ownership and Relationship Model</x:v>
      </x:c>
      <x:c r="I207" s="40" t="str">
        <x:v>AC-J-022</x:v>
      </x:c>
      <x:c r="J207" s="40" t="str">
        <x:v>No</x:v>
      </x:c>
      <x:c r="K207" s="40" t="str">
        <x:v>V1</x:v>
      </x:c>
      <x:c r="L207" s="40" t="str">
        <x:v>Domain test</x:v>
      </x:c>
      <x:c r="M207" s="40"/>
      <x:c r="N207" s="40"/>
      <x:c r="O207" s="40" t="str">
        <x:v>VS-01, VS-03, VS-04</x:v>
      </x:c>
      <x:c r="P207" s="40" t="str">
        <x:v>Not Started</x:v>
      </x:c>
      <x:c r="Q207" s="40"/>
    </x:row>
    <x:row r="208">
      <x:c r="A208" s="40" t="str">
        <x:v>VS-10</x:v>
      </x:c>
      <x:c r="B208" s="40" t="n">
        <x:v>10</x:v>
      </x:c>
      <x:c r="C208" s="40" t="str">
        <x:v>Wave 3 — Pathways and Life Administration</x:v>
      </x:c>
      <x:c r="D208" s="40" t="str">
        <x:v>K. Covenant Path</x:v>
      </x:c>
      <x:c r="E208" s="40" t="str">
        <x:v>FR-K-001</x:v>
      </x:c>
      <x:c r="F208" s="40" t="str">
        <x:v>present Covenant Path as optional and private.</x:v>
      </x:c>
      <x:c r="G208" s="40" t="str">
        <x:v>BR-K-001, BR-K-004, BR-K-007</x:v>
      </x:c>
      <x:c r="H208" s="40" t="str">
        <x:v>ADR-021 — Security, Privacy, Permissions, and Sensitive Data; ADR-019 — Philippine Content Packs and Official Source Governance</x:v>
      </x:c>
      <x:c r="I208" s="40" t="str">
        <x:v>AC-K-001</x:v>
      </x:c>
      <x:c r="J208" s="40" t="str">
        <x:v>Yes</x:v>
      </x:c>
      <x:c r="K208" s="40" t="str">
        <x:v>V1</x:v>
      </x:c>
      <x:c r="L208" s="40" t="str">
        <x:v>Domain test</x:v>
      </x:c>
      <x:c r="M208" s="40"/>
      <x:c r="N208" s="40"/>
      <x:c r="O208" s="40" t="str">
        <x:v>VS-02, VS-06, VS-09</x:v>
      </x:c>
      <x:c r="P208" s="40" t="str">
        <x:v>Not Started</x:v>
      </x:c>
      <x:c r="Q208" s="40"/>
    </x:row>
    <x:row r="209">
      <x:c r="A209" s="40" t="str">
        <x:v>VS-10</x:v>
      </x:c>
      <x:c r="B209" s="40" t="n">
        <x:v>10</x:v>
      </x:c>
      <x:c r="C209" s="40" t="str">
        <x:v>Wave 3 — Pathways and Life Administration</x:v>
      </x:c>
      <x:c r="D209" s="40" t="str">
        <x:v>K. Covenant Path</x:v>
      </x:c>
      <x:c r="E209" s="40" t="str">
        <x:v>FR-K-002</x:v>
      </x:c>
      <x:c r="F209" s="40" t="str">
        <x:v>be able to activate, pause, reopen, and archive Covenant Path.</x:v>
      </x:c>
      <x:c r="G209" s="40" t="str">
        <x:v>BR-K-001</x:v>
      </x:c>
      <x:c r="H209" s="40" t="str">
        <x:v>ADR-021 — Security, Privacy, Permissions, and Sensitive Data; ADR-019 — Philippine Content Packs and Official Source Governance</x:v>
      </x:c>
      <x:c r="I209" s="40" t="str">
        <x:v>AC-K-002</x:v>
      </x:c>
      <x:c r="J209" s="40" t="str">
        <x:v>Yes</x:v>
      </x:c>
      <x:c r="K209" s="40" t="str">
        <x:v>V1</x:v>
      </x:c>
      <x:c r="L209" s="40" t="str">
        <x:v>Widget test</x:v>
      </x:c>
      <x:c r="M209" s="40"/>
      <x:c r="N209" s="40"/>
      <x:c r="O209" s="40" t="str">
        <x:v>VS-02, VS-06, VS-09</x:v>
      </x:c>
      <x:c r="P209" s="40" t="str">
        <x:v>Not Started</x:v>
      </x:c>
      <x:c r="Q209" s="40"/>
    </x:row>
    <x:row r="210">
      <x:c r="A210" s="40" t="str">
        <x:v>VS-10</x:v>
      </x:c>
      <x:c r="B210" s="40" t="n">
        <x:v>10</x:v>
      </x:c>
      <x:c r="C210" s="40" t="str">
        <x:v>Wave 3 — Pathways and Life Administration</x:v>
      </x:c>
      <x:c r="D210" s="40" t="str">
        <x:v>K. Covenant Path</x:v>
      </x:c>
      <x:c r="E210" s="40" t="str">
        <x:v>FR-K-003</x:v>
      </x:c>
      <x:c r="F210" s="40" t="str">
        <x:v>be able to activate selected Goals or Milestones without activating every suggestion.</x:v>
      </x:c>
      <x:c r="G210" s="40" t="str">
        <x:v>BR-K-001</x:v>
      </x:c>
      <x:c r="H210" s="40" t="str">
        <x:v>ADR-021 — Security, Privacy, Permissions, and Sensitive Data; ADR-019 — Philippine Content Packs and Official Source Governance</x:v>
      </x:c>
      <x:c r="I210" s="40" t="str">
        <x:v>AC-K-003</x:v>
      </x:c>
      <x:c r="J210" s="40" t="str">
        <x:v>Yes</x:v>
      </x:c>
      <x:c r="K210" s="40" t="str">
        <x:v>V1</x:v>
      </x:c>
      <x:c r="L210" s="40" t="str">
        <x:v>Widget test</x:v>
      </x:c>
      <x:c r="M210" s="40"/>
      <x:c r="N210" s="40"/>
      <x:c r="O210" s="40" t="str">
        <x:v>VS-02, VS-06, VS-09</x:v>
      </x:c>
      <x:c r="P210" s="40" t="str">
        <x:v>Not Started</x:v>
      </x:c>
      <x:c r="Q210" s="40"/>
    </x:row>
    <x:row r="211">
      <x:c r="A211" s="40" t="str">
        <x:v>VS-10</x:v>
      </x:c>
      <x:c r="B211" s="40" t="n">
        <x:v>10</x:v>
      </x:c>
      <x:c r="C211" s="40" t="str">
        <x:v>Wave 3 — Pathways and Life Administration</x:v>
      </x:c>
      <x:c r="D211" s="40" t="str">
        <x:v>K. Covenant Path</x:v>
      </x:c>
      <x:c r="E211" s="40" t="str">
        <x:v>FR-K-004</x:v>
      </x:c>
      <x:c r="F211" s="40" t="str">
        <x:v>be able to create Tasks and Calendar Events from Covenant Path context.</x:v>
      </x:c>
      <x:c r="G211" s="40" t="str">
        <x:v>BR-K-001</x:v>
      </x:c>
      <x:c r="H211" s="40" t="str">
        <x:v>ADR-004 — Separation of Tasks and Calendar Events; ADR-021 — Security, Privacy, Permissions, and Sensitive Data; ADR-019 — Philippine Content Packs and Official Source Governance</x:v>
      </x:c>
      <x:c r="I211" s="40" t="str">
        <x:v>AC-K-004</x:v>
      </x:c>
      <x:c r="J211" s="40" t="str">
        <x:v>Yes</x:v>
      </x:c>
      <x:c r="K211" s="40" t="str">
        <x:v>V1</x:v>
      </x:c>
      <x:c r="L211" s="40" t="str">
        <x:v>Widget test / Integration test</x:v>
      </x:c>
      <x:c r="M211" s="40"/>
      <x:c r="N211" s="40"/>
      <x:c r="O211" s="40" t="str">
        <x:v>VS-02, VS-06, VS-09</x:v>
      </x:c>
      <x:c r="P211" s="40" t="str">
        <x:v>Not Started</x:v>
      </x:c>
      <x:c r="Q211" s="40"/>
    </x:row>
    <x:row r="212">
      <x:c r="A212" s="40" t="str">
        <x:v>VS-10</x:v>
      </x:c>
      <x:c r="B212" s="40" t="n">
        <x:v>10</x:v>
      </x:c>
      <x:c r="C212" s="40" t="str">
        <x:v>Wave 3 — Pathways and Life Administration</x:v>
      </x:c>
      <x:c r="D212" s="40" t="str">
        <x:v>K. Covenant Path</x:v>
      </x:c>
      <x:c r="E212" s="40" t="str">
        <x:v>FR-K-005</x:v>
      </x:c>
      <x:c r="F212" s="40" t="str">
        <x:v>Linked records shall retain independent identities and statuses.</x:v>
      </x:c>
      <x:c r="G212" s="40" t="str">
        <x:v>BR-K-001</x:v>
      </x:c>
      <x:c r="H212" s="40" t="str">
        <x:v>ADR-009 — Domain Ownership and Relationship Model; ADR-021 — Security, Privacy, Permissions, and Sensitive Data; ADR-019 — Philippine Content Packs and Official Source Governance</x:v>
      </x:c>
      <x:c r="I212" s="40" t="str">
        <x:v>AC-K-005</x:v>
      </x:c>
      <x:c r="J212" s="40" t="str">
        <x:v>Yes</x:v>
      </x:c>
      <x:c r="K212" s="40" t="str">
        <x:v>V1</x:v>
      </x:c>
      <x:c r="L212" s="40" t="str">
        <x:v>Domain test</x:v>
      </x:c>
      <x:c r="M212" s="40"/>
      <x:c r="N212" s="40"/>
      <x:c r="O212" s="40" t="str">
        <x:v>VS-02, VS-06, VS-09</x:v>
      </x:c>
      <x:c r="P212" s="40" t="str">
        <x:v>Not Started</x:v>
      </x:c>
      <x:c r="Q212" s="40"/>
    </x:row>
    <x:row r="213">
      <x:c r="A213" s="40" t="str">
        <x:v>VS-10</x:v>
      </x:c>
      <x:c r="B213" s="40" t="n">
        <x:v>10</x:v>
      </x:c>
      <x:c r="C213" s="40" t="str">
        <x:v>Wave 3 — Pathways and Life Administration</x:v>
      </x:c>
      <x:c r="D213" s="40" t="str">
        <x:v>K. Covenant Path</x:v>
      </x:c>
      <x:c r="E213" s="40" t="str">
        <x:v>FR-K-006</x:v>
      </x:c>
      <x:c r="F213" s="40" t="str">
        <x:v>distinguish Scheduled Potential from Actual.</x:v>
      </x:c>
      <x:c r="G213" s="40" t="str">
        <x:v>BR-K-006</x:v>
      </x:c>
      <x:c r="H213" s="40" t="str">
        <x:v>ADR-005 — Confirmed-Source Progress and Read-Only Actuals; ADR-021 — Security, Privacy, Permissions, and Sensitive Data; ADR-019 — Philippine Content Packs and Official Source Governance</x:v>
      </x:c>
      <x:c r="I213" s="40" t="str">
        <x:v>AC-K-006</x:v>
      </x:c>
      <x:c r="J213" s="40" t="str">
        <x:v>Yes</x:v>
      </x:c>
      <x:c r="K213" s="40" t="str">
        <x:v>V1</x:v>
      </x:c>
      <x:c r="L213" s="40" t="str">
        <x:v>Domain test</x:v>
      </x:c>
      <x:c r="M213" s="40"/>
      <x:c r="N213" s="40"/>
      <x:c r="O213" s="40" t="str">
        <x:v>VS-02, VS-06, VS-09</x:v>
      </x:c>
      <x:c r="P213" s="40" t="str">
        <x:v>Not Started</x:v>
      </x:c>
      <x:c r="Q213" s="40"/>
    </x:row>
    <x:row r="214">
      <x:c r="A214" s="40" t="str">
        <x:v>VS-10</x:v>
      </x:c>
      <x:c r="B214" s="40" t="n">
        <x:v>10</x:v>
      </x:c>
      <x:c r="C214" s="40" t="str">
        <x:v>Wave 3 — Pathways and Life Administration</x:v>
      </x:c>
      <x:c r="D214" s="40" t="str">
        <x:v>K. Covenant Path</x:v>
      </x:c>
      <x:c r="E214" s="40" t="str">
        <x:v>FR-K-007</x:v>
      </x:c>
      <x:c r="F214" s="40" t="str">
        <x:v>Actual shall be derived from valid Activity Ledger entries.</x:v>
      </x:c>
      <x:c r="G214" s="40" t="str">
        <x:v>BR-K-006</x:v>
      </x:c>
      <x:c r="H214" s="40" t="str">
        <x:v>ADR-005 — Confirmed-Source Progress and Read-Only Actuals; ADR-012 — Activity Ledger and Contribution Engine; ADR-021 — Security, Privacy, Permissions, and Sensitive Data; ADR-019 — Philippine Content Packs and Official Source Governance</x:v>
      </x:c>
      <x:c r="I214" s="40" t="str">
        <x:v>AC-K-007</x:v>
      </x:c>
      <x:c r="J214" s="40" t="str">
        <x:v>Yes</x:v>
      </x:c>
      <x:c r="K214" s="40" t="str">
        <x:v>V1</x:v>
      </x:c>
      <x:c r="L214" s="40" t="str">
        <x:v>Domain test / Database test</x:v>
      </x:c>
      <x:c r="M214" s="40"/>
      <x:c r="N214" s="40"/>
      <x:c r="O214" s="40" t="str">
        <x:v>VS-02, VS-06, VS-09</x:v>
      </x:c>
      <x:c r="P214" s="40" t="str">
        <x:v>Not Started</x:v>
      </x:c>
      <x:c r="Q214" s="40"/>
    </x:row>
    <x:row r="215">
      <x:c r="A215" s="40" t="str">
        <x:v>VS-10</x:v>
      </x:c>
      <x:c r="B215" s="40" t="n">
        <x:v>10</x:v>
      </x:c>
      <x:c r="C215" s="40" t="str">
        <x:v>Wave 3 — Pathways and Life Administration</x:v>
      </x:c>
      <x:c r="D215" s="40" t="str">
        <x:v>K. Covenant Path</x:v>
      </x:c>
      <x:c r="E215" s="40" t="str">
        <x:v>FR-K-008</x:v>
      </x:c>
      <x:c r="F215" s="40" t="str">
        <x:v>be able to record optional private reflections.</x:v>
      </x:c>
      <x:c r="G215" s="40" t="str">
        <x:v>BR-K-001, BR-K-004, BR-K-007</x:v>
      </x:c>
      <x:c r="H215" s="40" t="str">
        <x:v>ADR-021 — Security, Privacy, Permissions, and Sensitive Data; ADR-019 — Philippine Content Packs and Official Source Governance</x:v>
      </x:c>
      <x:c r="I215" s="40" t="str">
        <x:v>AC-K-008</x:v>
      </x:c>
      <x:c r="J215" s="40" t="str">
        <x:v>Yes</x:v>
      </x:c>
      <x:c r="K215" s="40" t="str">
        <x:v>V1</x:v>
      </x:c>
      <x:c r="L215" s="40" t="str">
        <x:v>Widget test</x:v>
      </x:c>
      <x:c r="M215" s="40" t="str">
        <x:v>OPD-3-002</x:v>
      </x:c>
      <x:c r="N215" s="40" t="str">
        <x:v>OPD-3-002: Private reflections are Extra Private and local-only by default. They may enter cloud synchronization only after a future explicit per-category opt-in exists; until then they remain local-only.</x:v>
      </x:c>
      <x:c r="O215" s="40" t="str">
        <x:v>VS-02, VS-06, VS-09</x:v>
      </x:c>
      <x:c r="P215" s="40" t="str">
        <x:v>Not Started</x:v>
      </x:c>
      <x:c r="Q215" s="40"/>
    </x:row>
    <x:row r="216">
      <x:c r="A216" s="40" t="str">
        <x:v>VS-10</x:v>
      </x:c>
      <x:c r="B216" s="40" t="n">
        <x:v>10</x:v>
      </x:c>
      <x:c r="C216" s="40" t="str">
        <x:v>Wave 3 — Pathways and Life Administration</x:v>
      </x:c>
      <x:c r="D216" s="40" t="str">
        <x:v>K. Covenant Path</x:v>
      </x:c>
      <x:c r="E216" s="40" t="str">
        <x:v>FR-K-009</x:v>
      </x:c>
      <x:c r="F216" s="40" t="str">
        <x:v>Reflections shall not affect progress.</x:v>
      </x:c>
      <x:c r="G216" s="40" t="str">
        <x:v>BR-K-007</x:v>
      </x:c>
      <x:c r="H216" s="40" t="str">
        <x:v>ADR-021 — Security, Privacy, Permissions, and Sensitive Data; ADR-019 — Philippine Content Packs and Official Source Governance</x:v>
      </x:c>
      <x:c r="I216" s="40" t="str">
        <x:v>AC-K-009</x:v>
      </x:c>
      <x:c r="J216" s="40" t="str">
        <x:v>Yes</x:v>
      </x:c>
      <x:c r="K216" s="40" t="str">
        <x:v>V1</x:v>
      </x:c>
      <x:c r="L216" s="40" t="str">
        <x:v>Domain test</x:v>
      </x:c>
      <x:c r="M216" s="40" t="str">
        <x:v>OPD-3-002</x:v>
      </x:c>
      <x:c r="N216" s="40" t="str">
        <x:v>OPD-3-002: Private reflections are Extra Private and local-only by default. They may enter cloud synchronization only after a future explicit per-category opt-in exists; until then they remain local-only.</x:v>
      </x:c>
      <x:c r="O216" s="40" t="str">
        <x:v>VS-02, VS-06, VS-09</x:v>
      </x:c>
      <x:c r="P216" s="40" t="str">
        <x:v>Not Started</x:v>
      </x:c>
      <x:c r="Q216" s="40"/>
    </x:row>
    <x:row r="217">
      <x:c r="A217" s="40" t="str">
        <x:v>VS-10</x:v>
      </x:c>
      <x:c r="B217" s="40" t="n">
        <x:v>10</x:v>
      </x:c>
      <x:c r="C217" s="40" t="str">
        <x:v>Wave 3 — Pathways and Life Administration</x:v>
      </x:c>
      <x:c r="D217" s="40" t="str">
        <x:v>K. Covenant Path</x:v>
      </x:c>
      <x:c r="E217" s="40" t="str">
        <x:v>FR-K-010</x:v>
      </x:c>
      <x:c r="F217" s="40" t="str">
        <x:v>provide factual contribution history for Scripture Study and Temple Visit.</x:v>
      </x:c>
      <x:c r="G217" s="40" t="str">
        <x:v>BR-K-005, BR-K-010</x:v>
      </x:c>
      <x:c r="H217" s="40" t="str">
        <x:v>ADR-005 — Confirmed-Source Progress and Read-Only Actuals; ADR-012 — Activity Ledger and Contribution Engine; ADR-021 — Security, Privacy, Permissions, and Sensitive Data; ADR-019 — Philippine Content Packs and Official Source Governance</x:v>
      </x:c>
      <x:c r="I217" s="40" t="str">
        <x:v>AC-K-010</x:v>
      </x:c>
      <x:c r="J217" s="40" t="str">
        <x:v>Yes</x:v>
      </x:c>
      <x:c r="K217" s="40" t="str">
        <x:v>V1</x:v>
      </x:c>
      <x:c r="L217" s="40" t="str">
        <x:v>Domain test</x:v>
      </x:c>
      <x:c r="M217" s="40" t="str">
        <x:v>OPD-3-001</x:v>
      </x:c>
      <x:c r="N217" s="40" t="str">
        <x:v>OPD-3-001: The V1 bundled Covenant Path sections are Scripture Study and Temple Visit only. They record factual plans, reports, and optional private reflections; there is no universal completion score or spiritual-quality assessment.</x:v>
      </x:c>
      <x:c r="O217" s="40" t="str">
        <x:v>VS-02, VS-06, VS-09</x:v>
      </x:c>
      <x:c r="P217" s="40" t="str">
        <x:v>Not Started</x:v>
      </x:c>
      <x:c r="Q217" s="40"/>
    </x:row>
    <x:row r="218">
      <x:c r="A218" s="40" t="str">
        <x:v>VS-10</x:v>
      </x:c>
      <x:c r="B218" s="40" t="n">
        <x:v>10</x:v>
      </x:c>
      <x:c r="C218" s="40" t="str">
        <x:v>Wave 3 — Pathways and Life Administration</x:v>
      </x:c>
      <x:c r="D218" s="40" t="str">
        <x:v>K. Covenant Path</x:v>
      </x:c>
      <x:c r="E218" s="40" t="str">
        <x:v>FR-K-011</x:v>
      </x:c>
      <x:c r="F218" s="40" t="str">
        <x:v>identify bundled and external resource content.</x:v>
      </x:c>
      <x:c r="G218" s="40" t="str">
        <x:v>BR-K-009</x:v>
      </x:c>
      <x:c r="H218" s="40" t="str">
        <x:v>ADR-021 — Security, Privacy, Permissions, and Sensitive Data; ADR-019 — Philippine Content Packs and Official Source Governance</x:v>
      </x:c>
      <x:c r="I218" s="40" t="str">
        <x:v>AC-K-011</x:v>
      </x:c>
      <x:c r="J218" s="40" t="str">
        <x:v>No</x:v>
      </x:c>
      <x:c r="K218" s="40" t="str">
        <x:v>V1</x:v>
      </x:c>
      <x:c r="L218" s="40" t="str">
        <x:v>Integration test</x:v>
      </x:c>
      <x:c r="M218" s="40" t="str">
        <x:v>OPD-3-003, OPD-3-001</x:v>
      </x:c>
      <x:c r="N218" s="40" t="str">
        <x:v>OPD-3-003: Official bundled links plus clearly labeled private personal links. | OPD-3-001: The V1 bundled Covenant Path sections are Scripture Study and Temple Visit only. They record factual plans, reports, and optional private reflections; there is no universal completion score or spiritual-quality assessment.</x:v>
      </x:c>
      <x:c r="O218" s="40" t="str">
        <x:v>VS-02, VS-06, VS-09</x:v>
      </x:c>
      <x:c r="P218" s="40" t="str">
        <x:v>Not Started</x:v>
      </x:c>
      <x:c r="Q218" s="40"/>
    </x:row>
    <x:row r="219">
      <x:c r="A219" s="40" t="str">
        <x:v>VS-10</x:v>
      </x:c>
      <x:c r="B219" s="40" t="n">
        <x:v>10</x:v>
      </x:c>
      <x:c r="C219" s="40" t="str">
        <x:v>Wave 3 — Pathways and Life Administration</x:v>
      </x:c>
      <x:c r="D219" s="40" t="str">
        <x:v>K. Covenant Path</x:v>
      </x:c>
      <x:c r="E219" s="40" t="str">
        <x:v>FR-K-012</x:v>
      </x:c>
      <x:c r="F219" s="40" t="str">
        <x:v>Bundled content shall remain available offline.</x:v>
      </x:c>
      <x:c r="G219" s="40" t="str">
        <x:v>BR-K-009</x:v>
      </x:c>
      <x:c r="H219" s="40" t="str">
        <x:v>ADR-021 — Security, Privacy, Permissions, and Sensitive Data; ADR-019 — Philippine Content Packs and Official Source Governance; ADR-006 — Local-First Operation with Background Synchronization</x:v>
      </x:c>
      <x:c r="I219" s="40" t="str">
        <x:v>AC-K-012</x:v>
      </x:c>
      <x:c r="J219" s="40" t="str">
        <x:v>Yes</x:v>
      </x:c>
      <x:c r="K219" s="40" t="str">
        <x:v>V1</x:v>
      </x:c>
      <x:c r="L219" s="40" t="str">
        <x:v>Domain test</x:v>
      </x:c>
      <x:c r="M219" s="40"/>
      <x:c r="N219" s="40"/>
      <x:c r="O219" s="40" t="str">
        <x:v>VS-02, VS-06, VS-09</x:v>
      </x:c>
      <x:c r="P219" s="40" t="str">
        <x:v>Not Started</x:v>
      </x:c>
      <x:c r="Q219" s="40"/>
    </x:row>
    <x:row r="220">
      <x:c r="A220" s="40" t="str">
        <x:v>VS-10</x:v>
      </x:c>
      <x:c r="B220" s="40" t="n">
        <x:v>10</x:v>
      </x:c>
      <x:c r="C220" s="40" t="str">
        <x:v>Wave 3 — Pathways and Life Administration</x:v>
      </x:c>
      <x:c r="D220" s="40" t="str">
        <x:v>K. Covenant Path</x:v>
      </x:c>
      <x:c r="E220" s="40" t="str">
        <x:v>FR-K-013</x:v>
      </x:c>
      <x:c r="F220" s="40" t="str">
        <x:v>Content updates shall preserve user state.</x:v>
      </x:c>
      <x:c r="G220" s="40" t="str">
        <x:v>BR-K-009</x:v>
      </x:c>
      <x:c r="H220" s="40" t="str">
        <x:v>ADR-021 — Security, Privacy, Permissions, and Sensitive Data; ADR-019 — Philippine Content Packs and Official Source Governance</x:v>
      </x:c>
      <x:c r="I220" s="40" t="str">
        <x:v>AC-K-013</x:v>
      </x:c>
      <x:c r="J220" s="40" t="str">
        <x:v>Yes</x:v>
      </x:c>
      <x:c r="K220" s="40" t="str">
        <x:v>V1</x:v>
      </x:c>
      <x:c r="L220" s="40" t="str">
        <x:v>Domain test</x:v>
      </x:c>
      <x:c r="M220" s="40"/>
      <x:c r="N220" s="40"/>
      <x:c r="O220" s="40" t="str">
        <x:v>VS-02, VS-06, VS-09</x:v>
      </x:c>
      <x:c r="P220" s="40" t="str">
        <x:v>Not Started</x:v>
      </x:c>
      <x:c r="Q220" s="40"/>
    </x:row>
    <x:row r="221">
      <x:c r="A221" s="40" t="str">
        <x:v>VS-10</x:v>
      </x:c>
      <x:c r="B221" s="40" t="n">
        <x:v>10</x:v>
      </x:c>
      <x:c r="C221" s="40" t="str">
        <x:v>Wave 3 — Pathways and Life Administration</x:v>
      </x:c>
      <x:c r="D221" s="40" t="str">
        <x:v>K. Covenant Path</x:v>
      </x:c>
      <x:c r="E221" s="40" t="str">
        <x:v>FR-K-014</x:v>
      </x:c>
      <x:c r="F221" s="40" t="str">
        <x:v>not generate spiritual-quality scores.</x:v>
      </x:c>
      <x:c r="G221" s="40" t="str">
        <x:v>BR-K-003, BR-K-006</x:v>
      </x:c>
      <x:c r="H221" s="40" t="str">
        <x:v>ADR-021 — Security, Privacy, Permissions, and Sensitive Data; ADR-019 — Philippine Content Packs and Official Source Governance</x:v>
      </x:c>
      <x:c r="I221" s="40" t="str">
        <x:v>AC-K-014</x:v>
      </x:c>
      <x:c r="J221" s="40" t="str">
        <x:v>Yes</x:v>
      </x:c>
      <x:c r="K221" s="40" t="str">
        <x:v>V1</x:v>
      </x:c>
      <x:c r="L221" s="40" t="str">
        <x:v>Manual review</x:v>
      </x:c>
      <x:c r="M221" s="40" t="str">
        <x:v>OPD-3-001</x:v>
      </x:c>
      <x:c r="N221" s="40" t="str">
        <x:v>OPD-3-001: The V1 bundled Covenant Path sections are Scripture Study and Temple Visit only. They record factual plans, reports, and optional private reflections; there is no universal completion score or spiritual-quality assessment.</x:v>
      </x:c>
      <x:c r="O221" s="40" t="str">
        <x:v>VS-02, VS-06, VS-09</x:v>
      </x:c>
      <x:c r="P221" s="40" t="str">
        <x:v>Not Started</x:v>
      </x:c>
      <x:c r="Q221" s="40"/>
    </x:row>
    <x:row r="222">
      <x:c r="A222" s="40" t="str">
        <x:v>VS-10</x:v>
      </x:c>
      <x:c r="B222" s="40" t="n">
        <x:v>10</x:v>
      </x:c>
      <x:c r="C222" s="40" t="str">
        <x:v>Wave 3 — Pathways and Life Administration</x:v>
      </x:c>
      <x:c r="D222" s="40" t="str">
        <x:v>K. Covenant Path</x:v>
      </x:c>
      <x:c r="E222" s="40" t="str">
        <x:v>FR-K-015</x:v>
      </x:c>
      <x:c r="F222" s="40" t="str">
        <x:v>not provide sharing or leader access.</x:v>
      </x:c>
      <x:c r="G222" s="40" t="str">
        <x:v>BR-K-008</x:v>
      </x:c>
      <x:c r="H222" s="40" t="str">
        <x:v>ADR-021 — Security, Privacy, Permissions, and Sensitive Data; ADR-019 — Philippine Content Packs and Official Source Governance; ADR-003 — Private Single-User Data Model</x:v>
      </x:c>
      <x:c r="I222" s="40" t="str">
        <x:v>AC-K-015</x:v>
      </x:c>
      <x:c r="J222" s="40" t="str">
        <x:v>Yes</x:v>
      </x:c>
      <x:c r="K222" s="40" t="str">
        <x:v>V1</x:v>
      </x:c>
      <x:c r="L222" s="40" t="str">
        <x:v>Domain test</x:v>
      </x:c>
      <x:c r="M222" s="40"/>
      <x:c r="N222" s="40"/>
      <x:c r="O222" s="40" t="str">
        <x:v>VS-02, VS-06, VS-09</x:v>
      </x:c>
      <x:c r="P222" s="40" t="str">
        <x:v>Not Started</x:v>
      </x:c>
      <x:c r="Q222" s="40"/>
    </x:row>
    <x:row r="223">
      <x:c r="A223" s="40" t="str">
        <x:v>VS-10</x:v>
      </x:c>
      <x:c r="B223" s="40" t="n">
        <x:v>10</x:v>
      </x:c>
      <x:c r="C223" s="40" t="str">
        <x:v>Wave 3 — Pathways and Life Administration</x:v>
      </x:c>
      <x:c r="D223" s="40" t="str">
        <x:v>K. Covenant Path</x:v>
      </x:c>
      <x:c r="E223" s="40" t="str">
        <x:v>FR-K-016</x:v>
      </x:c>
      <x:c r="F223" s="40" t="str">
        <x:v>not require Church membership verification.</x:v>
      </x:c>
      <x:c r="G223" s="40" t="str">
        <x:v>BR-K-002, BR-K-010</x:v>
      </x:c>
      <x:c r="H223" s="40" t="str">
        <x:v>ADR-021 — Security, Privacy, Permissions, and Sensitive Data; ADR-019 — Philippine Content Packs and Official Source Governance</x:v>
      </x:c>
      <x:c r="I223" s="40" t="str">
        <x:v>AC-K-016</x:v>
      </x:c>
      <x:c r="J223" s="40" t="str">
        <x:v>Yes</x:v>
      </x:c>
      <x:c r="K223" s="40" t="str">
        <x:v>V1</x:v>
      </x:c>
      <x:c r="L223" s="40" t="str">
        <x:v>Domain test</x:v>
      </x:c>
      <x:c r="M223" s="40"/>
      <x:c r="N223" s="40"/>
      <x:c r="O223" s="40" t="str">
        <x:v>VS-02, VS-06, VS-09</x:v>
      </x:c>
      <x:c r="P223" s="40" t="str">
        <x:v>Not Started</x:v>
      </x:c>
      <x:c r="Q223" s="40"/>
    </x:row>
    <x:row r="224">
      <x:c r="A224" s="40" t="str">
        <x:v>VS-10</x:v>
      </x:c>
      <x:c r="B224" s="40" t="n">
        <x:v>10</x:v>
      </x:c>
      <x:c r="C224" s="40" t="str">
        <x:v>Wave 3 — Pathways and Life Administration</x:v>
      </x:c>
      <x:c r="D224" s="40" t="str">
        <x:v>K. Covenant Path</x:v>
      </x:c>
      <x:c r="E224" s="40" t="str">
        <x:v>FR-K-017</x:v>
      </x:c>
      <x:c r="F224" s="40" t="str">
        <x:v>not request unrelated permissions.</x:v>
      </x:c>
      <x:c r="G224" s="40" t="str">
        <x:v>BR-K-001</x:v>
      </x:c>
      <x:c r="H224" s="40" t="str">
        <x:v>ADR-021 — Security, Privacy, Permissions, and Sensitive Data; ADR-019 — Philippine Content Packs and Official Source Governance</x:v>
      </x:c>
      <x:c r="I224" s="40" t="str">
        <x:v>AC-K-017</x:v>
      </x:c>
      <x:c r="J224" s="40" t="str">
        <x:v>Yes</x:v>
      </x:c>
      <x:c r="K224" s="40" t="str">
        <x:v>V1</x:v>
      </x:c>
      <x:c r="L224" s="40" t="str">
        <x:v>Widget test</x:v>
      </x:c>
      <x:c r="M224" s="40"/>
      <x:c r="N224" s="40"/>
      <x:c r="O224" s="40" t="str">
        <x:v>VS-02, VS-06, VS-09</x:v>
      </x:c>
      <x:c r="P224" s="40" t="str">
        <x:v>Not Started</x:v>
      </x:c>
      <x:c r="Q224" s="40"/>
    </x:row>
    <x:row r="225">
      <x:c r="A225" s="40" t="str">
        <x:v>VS-10</x:v>
      </x:c>
      <x:c r="B225" s="40" t="n">
        <x:v>10</x:v>
      </x:c>
      <x:c r="C225" s="40" t="str">
        <x:v>Wave 3 — Pathways and Life Administration</x:v>
      </x:c>
      <x:c r="D225" s="40" t="str">
        <x:v>K. Covenant Path</x:v>
      </x:c>
      <x:c r="E225" s="40" t="str">
        <x:v>FR-K-018</x:v>
      </x:c>
      <x:c r="F225" s="40" t="str">
        <x:v>display clear limitations of its role.</x:v>
      </x:c>
      <x:c r="G225" s="40" t="str">
        <x:v>BR-K-001</x:v>
      </x:c>
      <x:c r="H225" s="40" t="str">
        <x:v>ADR-021 — Security, Privacy, Permissions, and Sensitive Data; ADR-019 — Philippine Content Packs and Official Source Governance</x:v>
      </x:c>
      <x:c r="I225" s="40" t="str">
        <x:v>AC-K-018</x:v>
      </x:c>
      <x:c r="J225" s="40" t="str">
        <x:v>No</x:v>
      </x:c>
      <x:c r="K225" s="40" t="str">
        <x:v>V1</x:v>
      </x:c>
      <x:c r="L225" s="40" t="str">
        <x:v>Widget test</x:v>
      </x:c>
      <x:c r="M225" s="40"/>
      <x:c r="N225" s="40"/>
      <x:c r="O225" s="40" t="str">
        <x:v>VS-02, VS-06, VS-09</x:v>
      </x:c>
      <x:c r="P225" s="40" t="str">
        <x:v>Not Started</x:v>
      </x:c>
      <x:c r="Q225" s="40"/>
    </x:row>
    <x:row r="226">
      <x:c r="A226" s="40" t="str">
        <x:v>VS-10</x:v>
      </x:c>
      <x:c r="B226" s="40" t="n">
        <x:v>10</x:v>
      </x:c>
      <x:c r="C226" s="40" t="str">
        <x:v>Wave 3 — Pathways and Life Administration</x:v>
      </x:c>
      <x:c r="D226" s="40" t="str">
        <x:v>K. Covenant Path</x:v>
      </x:c>
      <x:c r="E226" s="40" t="str">
        <x:v>FR-K-019</x:v>
      </x:c>
      <x:c r="F226" s="40" t="str">
        <x:v>use neutral factual language for missed or incomplete activities.</x:v>
      </x:c>
      <x:c r="G226" s="40" t="str">
        <x:v>BR-K-004, BR-K-005</x:v>
      </x:c>
      <x:c r="H226" s="40" t="str">
        <x:v>ADR-005 — Confirmed-Source Progress and Read-Only Actuals; ADR-021 — Security, Privacy, Permissions, and Sensitive Data; ADR-019 — Philippine Content Packs and Official Source Governance</x:v>
      </x:c>
      <x:c r="I226" s="40" t="str">
        <x:v>AC-K-019</x:v>
      </x:c>
      <x:c r="J226" s="40" t="str">
        <x:v>Yes</x:v>
      </x:c>
      <x:c r="K226" s="40" t="str">
        <x:v>V1</x:v>
      </x:c>
      <x:c r="L226" s="40" t="str">
        <x:v>Domain test / Manual review</x:v>
      </x:c>
      <x:c r="M226" s="40"/>
      <x:c r="N226" s="40"/>
      <x:c r="O226" s="40" t="str">
        <x:v>VS-02, VS-06, VS-09</x:v>
      </x:c>
      <x:c r="P226" s="40" t="str">
        <x:v>Not Started</x:v>
      </x:c>
      <x:c r="Q226" s="40"/>
    </x:row>
    <x:row r="227">
      <x:c r="A227" s="40" t="str">
        <x:v>VS-10</x:v>
      </x:c>
      <x:c r="B227" s="40" t="n">
        <x:v>10</x:v>
      </x:c>
      <x:c r="C227" s="40" t="str">
        <x:v>Wave 3 — Pathways and Life Administration</x:v>
      </x:c>
      <x:c r="D227" s="40" t="str">
        <x:v>K. Covenant Path</x:v>
      </x:c>
      <x:c r="E227" s="40" t="str">
        <x:v>FR-K-020</x:v>
      </x:c>
      <x:c r="F227" s="40" t="str">
        <x:v>The feature shall function without an account.</x:v>
      </x:c>
      <x:c r="G227" s="40" t="str">
        <x:v>BR-K-001</x:v>
      </x:c>
      <x:c r="H227" s="40" t="str">
        <x:v>ADR-021 — Security, Privacy, Permissions, and Sensitive Data; ADR-019 — Philippine Content Packs and Official Source Governance</x:v>
      </x:c>
      <x:c r="I227" s="40" t="str">
        <x:v>AC-K-020</x:v>
      </x:c>
      <x:c r="J227" s="40" t="str">
        <x:v>Yes</x:v>
      </x:c>
      <x:c r="K227" s="40" t="str">
        <x:v>V1</x:v>
      </x:c>
      <x:c r="L227" s="40" t="str">
        <x:v>Domain test</x:v>
      </x:c>
      <x:c r="M227" s="40"/>
      <x:c r="N227" s="40"/>
      <x:c r="O227" s="40" t="str">
        <x:v>VS-02, VS-06, VS-09</x:v>
      </x:c>
      <x:c r="P227" s="40" t="str">
        <x:v>Not Started</x:v>
      </x:c>
      <x:c r="Q227" s="40"/>
    </x:row>
    <x:row r="228">
      <x:c r="A228" s="40" t="str">
        <x:v>VS-11</x:v>
      </x:c>
      <x:c r="B228" s="40" t="n">
        <x:v>11</x:v>
      </x:c>
      <x:c r="C228" s="40" t="str">
        <x:v>Wave 3 — Pathways and Life Administration</x:v>
      </x:c>
      <x:c r="D228" s="40" t="str">
        <x:v>L. Contacts and Follow-Ups</x:v>
      </x:c>
      <x:c r="E228" s="40" t="str">
        <x:v>FR-L-001</x:v>
      </x:c>
      <x:c r="F228" s="40" t="str">
        <x:v>be able to create and edit contacts manually.</x:v>
      </x:c>
      <x:c r="G228" s="40" t="str">
        <x:v>BR-L-001, BR-L-006, BR-L-009</x:v>
      </x:c>
      <x:c r="H228" s="40" t="str">
        <x:v>ADR-009 — Domain Ownership and Relationship Model; ADR-003 — Private Single-User Data Model</x:v>
      </x:c>
      <x:c r="I228" s="40" t="str">
        <x:v>AC-L-001</x:v>
      </x:c>
      <x:c r="J228" s="40" t="str">
        <x:v>Yes</x:v>
      </x:c>
      <x:c r="K228" s="40" t="str">
        <x:v>V1</x:v>
      </x:c>
      <x:c r="L228" s="40" t="str">
        <x:v>Widget test</x:v>
      </x:c>
      <x:c r="M228" s="40"/>
      <x:c r="N228" s="40"/>
      <x:c r="O228" s="40" t="str">
        <x:v>VS-02, VS-03, VS-04</x:v>
      </x:c>
      <x:c r="P228" s="40" t="str">
        <x:v>Not Started</x:v>
      </x:c>
      <x:c r="Q228" s="40"/>
    </x:row>
    <x:row r="229">
      <x:c r="A229" s="40" t="str">
        <x:v>VS-11</x:v>
      </x:c>
      <x:c r="B229" s="40" t="n">
        <x:v>11</x:v>
      </x:c>
      <x:c r="C229" s="40" t="str">
        <x:v>Wave 3 — Pathways and Life Administration</x:v>
      </x:c>
      <x:c r="D229" s="40" t="str">
        <x:v>L. Contacts and Follow-Ups</x:v>
      </x:c>
      <x:c r="E229" s="40" t="str">
        <x:v>FR-L-002</x:v>
      </x:c>
      <x:c r="F229" s="40" t="str">
        <x:v>be able to search contacts.</x:v>
      </x:c>
      <x:c r="G229" s="40" t="str">
        <x:v>BR-L-001, BR-L-009</x:v>
      </x:c>
      <x:c r="H229" s="40" t="str">
        <x:v>ADR-009 — Domain Ownership and Relationship Model; ADR-003 — Private Single-User Data Model</x:v>
      </x:c>
      <x:c r="I229" s="40" t="str">
        <x:v>AC-L-002</x:v>
      </x:c>
      <x:c r="J229" s="40" t="str">
        <x:v>Yes</x:v>
      </x:c>
      <x:c r="K229" s="40" t="str">
        <x:v>V1</x:v>
      </x:c>
      <x:c r="L229" s="40" t="str">
        <x:v>Widget test</x:v>
      </x:c>
      <x:c r="M229" s="40"/>
      <x:c r="N229" s="40"/>
      <x:c r="O229" s="40" t="str">
        <x:v>VS-02, VS-03, VS-04</x:v>
      </x:c>
      <x:c r="P229" s="40" t="str">
        <x:v>Not Started</x:v>
      </x:c>
      <x:c r="Q229" s="40"/>
    </x:row>
    <x:row r="230">
      <x:c r="A230" s="40" t="str">
        <x:v>VS-11</x:v>
      </x:c>
      <x:c r="B230" s="40" t="n">
        <x:v>11</x:v>
      </x:c>
      <x:c r="C230" s="40" t="str">
        <x:v>Wave 3 — Pathways and Life Administration</x:v>
      </x:c>
      <x:c r="D230" s="40" t="str">
        <x:v>L. Contacts and Follow-Ups</x:v>
      </x:c>
      <x:c r="E230" s="40" t="str">
        <x:v>FR-L-003</x:v>
      </x:c>
      <x:c r="F230" s="40" t="str">
        <x:v>be able to assign tags and favorites.</x:v>
      </x:c>
      <x:c r="G230" s="40" t="str">
        <x:v>BR-L-001</x:v>
      </x:c>
      <x:c r="H230" s="40" t="str">
        <x:v>ADR-009 — Domain Ownership and Relationship Model; ADR-003 — Private Single-User Data Model</x:v>
      </x:c>
      <x:c r="I230" s="40" t="str">
        <x:v>AC-L-003</x:v>
      </x:c>
      <x:c r="J230" s="40" t="str">
        <x:v>Yes</x:v>
      </x:c>
      <x:c r="K230" s="40" t="str">
        <x:v>V1</x:v>
      </x:c>
      <x:c r="L230" s="40" t="str">
        <x:v>Widget test</x:v>
      </x:c>
      <x:c r="M230" s="40"/>
      <x:c r="N230" s="40"/>
      <x:c r="O230" s="40" t="str">
        <x:v>VS-02, VS-03, VS-04</x:v>
      </x:c>
      <x:c r="P230" s="40" t="str">
        <x:v>Not Started</x:v>
      </x:c>
      <x:c r="Q230" s="40"/>
    </x:row>
    <x:row r="231">
      <x:c r="A231" s="40" t="str">
        <x:v>VS-11</x:v>
      </x:c>
      <x:c r="B231" s="40" t="n">
        <x:v>11</x:v>
      </x:c>
      <x:c r="C231" s="40" t="str">
        <x:v>Wave 3 — Pathways and Life Administration</x:v>
      </x:c>
      <x:c r="D231" s="40" t="str">
        <x:v>L. Contacts and Follow-Ups</x:v>
      </x:c>
      <x:c r="E231" s="40" t="str">
        <x:v>FR-L-004</x:v>
      </x:c>
      <x:c r="F231" s="40" t="str">
        <x:v>be able to archive and restore contacts.</x:v>
      </x:c>
      <x:c r="G231" s="40" t="str">
        <x:v>BR-L-001, BR-L-009</x:v>
      </x:c>
      <x:c r="H231" s="40" t="str">
        <x:v>ADR-009 — Domain Ownership and Relationship Model; ADR-017 — Local Backup, Export, Restore, and Disaster Recovery; ADR-003 — Private Single-User Data Model</x:v>
      </x:c>
      <x:c r="I231" s="40" t="str">
        <x:v>AC-L-004</x:v>
      </x:c>
      <x:c r="J231" s="40" t="str">
        <x:v>Yes</x:v>
      </x:c>
      <x:c r="K231" s="40" t="str">
        <x:v>V1</x:v>
      </x:c>
      <x:c r="L231" s="40" t="str">
        <x:v>Database test / Widget test</x:v>
      </x:c>
      <x:c r="M231" s="40"/>
      <x:c r="N231" s="40"/>
      <x:c r="O231" s="40" t="str">
        <x:v>VS-02, VS-03, VS-04</x:v>
      </x:c>
      <x:c r="P231" s="40" t="str">
        <x:v>Not Started</x:v>
      </x:c>
      <x:c r="Q231" s="40"/>
    </x:row>
    <x:row r="232">
      <x:c r="A232" s="40" t="str">
        <x:v>VS-11</x:v>
      </x:c>
      <x:c r="B232" s="40" t="n">
        <x:v>11</x:v>
      </x:c>
      <x:c r="C232" s="40" t="str">
        <x:v>Wave 3 — Pathways and Life Administration</x:v>
      </x:c>
      <x:c r="D232" s="40" t="str">
        <x:v>L. Contacts and Follow-Ups</x:v>
      </x:c>
      <x:c r="E232" s="40" t="str">
        <x:v>FR-L-005</x:v>
      </x:c>
      <x:c r="F232" s="40" t="str">
        <x:v>be able to create follow-up Tasks and Calendar Events.</x:v>
      </x:c>
      <x:c r="G232" s="40" t="str">
        <x:v>BR-L-006</x:v>
      </x:c>
      <x:c r="H232" s="40" t="str">
        <x:v>ADR-004 — Separation of Tasks and Calendar Events; ADR-009 — Domain Ownership and Relationship Model; ADR-003 — Private Single-User Data Model</x:v>
      </x:c>
      <x:c r="I232" s="40" t="str">
        <x:v>AC-L-005</x:v>
      </x:c>
      <x:c r="J232" s="40" t="str">
        <x:v>Yes</x:v>
      </x:c>
      <x:c r="K232" s="40" t="str">
        <x:v>V1</x:v>
      </x:c>
      <x:c r="L232" s="40" t="str">
        <x:v>Widget test / Integration test</x:v>
      </x:c>
      <x:c r="M232" s="40"/>
      <x:c r="N232" s="40"/>
      <x:c r="O232" s="40" t="str">
        <x:v>VS-02, VS-03, VS-04</x:v>
      </x:c>
      <x:c r="P232" s="40" t="str">
        <x:v>Not Started</x:v>
      </x:c>
      <x:c r="Q232" s="40"/>
    </x:row>
    <x:row r="233">
      <x:c r="A233" s="40" t="str">
        <x:v>VS-11</x:v>
      </x:c>
      <x:c r="B233" s="40" t="n">
        <x:v>11</x:v>
      </x:c>
      <x:c r="C233" s="40" t="str">
        <x:v>Wave 3 — Pathways and Life Administration</x:v>
      </x:c>
      <x:c r="D233" s="40" t="str">
        <x:v>L. Contacts and Follow-Ups</x:v>
      </x:c>
      <x:c r="E233" s="40" t="str">
        <x:v>FR-L-006</x:v>
      </x:c>
      <x:c r="F233" s="40" t="str">
        <x:v>keep follow-ups separate from Contact records.</x:v>
      </x:c>
      <x:c r="G233" s="40" t="str">
        <x:v>BR-L-002, BR-L-003, BR-L-007</x:v>
      </x:c>
      <x:c r="H233" s="40" t="str">
        <x:v>ADR-009 — Domain Ownership and Relationship Model; ADR-003 — Private Single-User Data Model</x:v>
      </x:c>
      <x:c r="I233" s="40" t="str">
        <x:v>AC-L-006</x:v>
      </x:c>
      <x:c r="J233" s="40" t="str">
        <x:v>Yes</x:v>
      </x:c>
      <x:c r="K233" s="40" t="str">
        <x:v>V1</x:v>
      </x:c>
      <x:c r="L233" s="40" t="str">
        <x:v>Domain test</x:v>
      </x:c>
      <x:c r="M233" s="40"/>
      <x:c r="N233" s="40"/>
      <x:c r="O233" s="40" t="str">
        <x:v>VS-02, VS-03, VS-04</x:v>
      </x:c>
      <x:c r="P233" s="40" t="str">
        <x:v>Not Started</x:v>
      </x:c>
      <x:c r="Q233" s="40"/>
    </x:row>
    <x:row r="234">
      <x:c r="A234" s="40" t="str">
        <x:v>VS-11</x:v>
      </x:c>
      <x:c r="B234" s="40" t="n">
        <x:v>11</x:v>
      </x:c>
      <x:c r="C234" s="40" t="str">
        <x:v>Wave 3 — Pathways and Life Administration</x:v>
      </x:c>
      <x:c r="D234" s="40" t="str">
        <x:v>L. Contacts and Follow-Ups</x:v>
      </x:c>
      <x:c r="E234" s="40" t="str">
        <x:v>FR-L-007</x:v>
      </x:c>
      <x:c r="F234" s="40" t="str">
        <x:v>be able to confirm meaningful interactions through a structured report.</x:v>
      </x:c>
      <x:c r="G234" s="40" t="str">
        <x:v>BR-L-005, BR-L-007</x:v>
      </x:c>
      <x:c r="H234" s="40" t="str">
        <x:v>ADR-011 — Event and Task Outcome Reporting; ADR-009 — Domain Ownership and Relationship Model; ADR-003 — Private Single-User Data Model</x:v>
      </x:c>
      <x:c r="I234" s="40" t="str">
        <x:v>AC-L-007</x:v>
      </x:c>
      <x:c r="J234" s="40" t="str">
        <x:v>Yes</x:v>
      </x:c>
      <x:c r="K234" s="40" t="str">
        <x:v>V1</x:v>
      </x:c>
      <x:c r="L234" s="40" t="str">
        <x:v>Widget test</x:v>
      </x:c>
      <x:c r="M234" s="40"/>
      <x:c r="N234" s="40"/>
      <x:c r="O234" s="40" t="str">
        <x:v>VS-02, VS-03, VS-04</x:v>
      </x:c>
      <x:c r="P234" s="40" t="str">
        <x:v>Not Started</x:v>
      </x:c>
      <x:c r="Q234" s="40"/>
    </x:row>
    <x:row r="235">
      <x:c r="A235" s="40" t="str">
        <x:v>VS-11</x:v>
      </x:c>
      <x:c r="B235" s="40" t="n">
        <x:v>11</x:v>
      </x:c>
      <x:c r="C235" s="40" t="str">
        <x:v>Wave 3 — Pathways and Life Administration</x:v>
      </x:c>
      <x:c r="D235" s="40" t="str">
        <x:v>L. Contacts and Follow-Ups</x:v>
      </x:c>
      <x:c r="E235" s="40" t="str">
        <x:v>FR-L-008</x:v>
      </x:c>
      <x:c r="F235" s="40" t="str">
        <x:v>Meaningful Connections Actual shall derive from Activity Ledger entries.</x:v>
      </x:c>
      <x:c r="G235" s="40" t="str">
        <x:v>BR-L-004, BR-L-005, BR-L-006</x:v>
      </x:c>
      <x:c r="H235" s="40" t="str">
        <x:v>ADR-005 — Confirmed-Source Progress and Read-Only Actuals; ADR-012 — Activity Ledger and Contribution Engine; ADR-009 — Domain Ownership and Relationship Model; ADR-003 — Private Single-User Data Model</x:v>
      </x:c>
      <x:c r="I235" s="40" t="str">
        <x:v>AC-L-008</x:v>
      </x:c>
      <x:c r="J235" s="40" t="str">
        <x:v>Yes</x:v>
      </x:c>
      <x:c r="K235" s="40" t="str">
        <x:v>V1</x:v>
      </x:c>
      <x:c r="L235" s="40" t="str">
        <x:v>Domain test / Database test</x:v>
      </x:c>
      <x:c r="M235" s="40"/>
      <x:c r="N235" s="40"/>
      <x:c r="O235" s="40" t="str">
        <x:v>VS-02, VS-03, VS-04</x:v>
      </x:c>
      <x:c r="P235" s="40" t="str">
        <x:v>Not Started</x:v>
      </x:c>
      <x:c r="Q235" s="40"/>
    </x:row>
    <x:row r="236">
      <x:c r="A236" s="40" t="str">
        <x:v>VS-11</x:v>
      </x:c>
      <x:c r="B236" s="40" t="n">
        <x:v>11</x:v>
      </x:c>
      <x:c r="C236" s="40" t="str">
        <x:v>Wave 3 — Pathways and Life Administration</x:v>
      </x:c>
      <x:c r="D236" s="40" t="str">
        <x:v>L. Contacts and Follow-Ups</x:v>
      </x:c>
      <x:c r="E236" s="40" t="str">
        <x:v>FR-L-009</x:v>
      </x:c>
      <x:c r="F236" s="40" t="str">
        <x:v>Planned interactions shall remain Scheduled Potential.</x:v>
      </x:c>
      <x:c r="G236" s="40" t="str">
        <x:v>BR-L-004</x:v>
      </x:c>
      <x:c r="H236" s="40" t="str">
        <x:v>ADR-005 — Confirmed-Source Progress and Read-Only Actuals; ADR-009 — Domain Ownership and Relationship Model; ADR-003 — Private Single-User Data Model</x:v>
      </x:c>
      <x:c r="I236" s="40" t="str">
        <x:v>AC-L-009</x:v>
      </x:c>
      <x:c r="J236" s="40" t="str">
        <x:v>No</x:v>
      </x:c>
      <x:c r="K236" s="40" t="str">
        <x:v>V1</x:v>
      </x:c>
      <x:c r="L236" s="40" t="str">
        <x:v>Domain test</x:v>
      </x:c>
      <x:c r="M236" s="40"/>
      <x:c r="N236" s="40"/>
      <x:c r="O236" s="40" t="str">
        <x:v>VS-02, VS-03, VS-04</x:v>
      </x:c>
      <x:c r="P236" s="40" t="str">
        <x:v>Not Started</x:v>
      </x:c>
      <x:c r="Q236" s="40"/>
    </x:row>
    <x:row r="237">
      <x:c r="A237" s="40" t="str">
        <x:v>VS-11</x:v>
      </x:c>
      <x:c r="B237" s="40" t="n">
        <x:v>11</x:v>
      </x:c>
      <x:c r="C237" s="40" t="str">
        <x:v>Wave 3 — Pathways and Life Administration</x:v>
      </x:c>
      <x:c r="D237" s="40" t="str">
        <x:v>L. Contacts and Follow-Ups</x:v>
      </x:c>
      <x:c r="E237" s="40" t="str">
        <x:v>FR-L-010</x:v>
      </x:c>
      <x:c r="F237" s="40" t="str">
        <x:v>prevent duplicate interaction contributions.</x:v>
      </x:c>
      <x:c r="G237" s="40" t="str">
        <x:v>BR-L-005, BR-L-007</x:v>
      </x:c>
      <x:c r="H237" s="40" t="str">
        <x:v>ADR-012 — Activity Ledger and Contribution Engine; ADR-009 — Domain Ownership and Relationship Model; ADR-003 — Private Single-User Data Model</x:v>
      </x:c>
      <x:c r="I237" s="40" t="str">
        <x:v>AC-L-010</x:v>
      </x:c>
      <x:c r="J237" s="40" t="str">
        <x:v>Yes</x:v>
      </x:c>
      <x:c r="K237" s="40" t="str">
        <x:v>V1</x:v>
      </x:c>
      <x:c r="L237" s="40" t="str">
        <x:v>Domain test</x:v>
      </x:c>
      <x:c r="M237" s="40" t="str">
        <x:v>OPD-3-004</x:v>
      </x:c>
      <x:c r="N237" s="40" t="str">
        <x:v>OPD-3-004: One contribution per explicitly confirmed meaningful Contact.</x:v>
      </x:c>
      <x:c r="O237" s="40" t="str">
        <x:v>VS-02, VS-03, VS-04</x:v>
      </x:c>
      <x:c r="P237" s="40" t="str">
        <x:v>Not Started</x:v>
      </x:c>
      <x:c r="Q237" s="40"/>
    </x:row>
    <x:row r="238">
      <x:c r="A238" s="40" t="str">
        <x:v>VS-11</x:v>
      </x:c>
      <x:c r="B238" s="40" t="n">
        <x:v>11</x:v>
      </x:c>
      <x:c r="C238" s="40" t="str">
        <x:v>Wave 3 — Pathways and Life Administration</x:v>
      </x:c>
      <x:c r="D238" s="40" t="str">
        <x:v>L. Contacts and Follow-Ups</x:v>
      </x:c>
      <x:c r="E238" s="40" t="str">
        <x:v>FR-L-011</x:v>
      </x:c>
      <x:c r="F238" s="40" t="str">
        <x:v>not infer meaningfulness from titles, call logs, or messages.</x:v>
      </x:c>
      <x:c r="G238" s="40" t="str">
        <x:v>BR-L-006</x:v>
      </x:c>
      <x:c r="H238" s="40" t="str">
        <x:v>ADR-009 — Domain Ownership and Relationship Model; ADR-021 — Security, Privacy, Permissions, and Sensitive Data; ADR-003 — Private Single-User Data Model</x:v>
      </x:c>
      <x:c r="I238" s="40" t="str">
        <x:v>AC-L-011</x:v>
      </x:c>
      <x:c r="J238" s="40" t="str">
        <x:v>Yes</x:v>
      </x:c>
      <x:c r="K238" s="40" t="str">
        <x:v>V1</x:v>
      </x:c>
      <x:c r="L238" s="40" t="str">
        <x:v>Domain test</x:v>
      </x:c>
      <x:c r="M238" s="40"/>
      <x:c r="N238" s="40"/>
      <x:c r="O238" s="40" t="str">
        <x:v>VS-02, VS-03, VS-04</x:v>
      </x:c>
      <x:c r="P238" s="40" t="str">
        <x:v>Not Started</x:v>
      </x:c>
      <x:c r="Q238" s="40"/>
    </x:row>
    <x:row r="239">
      <x:c r="A239" s="40" t="str">
        <x:v>VS-11</x:v>
      </x:c>
      <x:c r="B239" s="40" t="n">
        <x:v>11</x:v>
      </x:c>
      <x:c r="C239" s="40" t="str">
        <x:v>Wave 3 — Pathways and Life Administration</x:v>
      </x:c>
      <x:c r="D239" s="40" t="str">
        <x:v>L. Contacts and Follow-Ups</x:v>
      </x:c>
      <x:c r="E239" s="40" t="str">
        <x:v>FR-L-012</x:v>
      </x:c>
      <x:c r="F239" s="40" t="str">
        <x:v>be able to import selected device contacts.</x:v>
      </x:c>
      <x:c r="G239" s="40" t="str">
        <x:v>BR-L-001, BR-L-003, BR-L-009</x:v>
      </x:c>
      <x:c r="H239" s="40" t="str">
        <x:v>ADR-009 — Domain Ownership and Relationship Model; ADR-003 — Private Single-User Data Model</x:v>
      </x:c>
      <x:c r="I239" s="40" t="str">
        <x:v>AC-L-012</x:v>
      </x:c>
      <x:c r="J239" s="40" t="str">
        <x:v>No</x:v>
      </x:c>
      <x:c r="K239" s="40" t="str">
        <x:v>V1</x:v>
      </x:c>
      <x:c r="L239" s="40" t="str">
        <x:v>Widget test / Integration test</x:v>
      </x:c>
      <x:c r="M239" s="40"/>
      <x:c r="N239" s="40"/>
      <x:c r="O239" s="40" t="str">
        <x:v>VS-02, VS-03, VS-04</x:v>
      </x:c>
      <x:c r="P239" s="40" t="str">
        <x:v>Not Started</x:v>
      </x:c>
      <x:c r="Q239" s="40"/>
    </x:row>
    <x:row r="240">
      <x:c r="A240" s="40" t="str">
        <x:v>VS-11</x:v>
      </x:c>
      <x:c r="B240" s="40" t="n">
        <x:v>11</x:v>
      </x:c>
      <x:c r="C240" s="40" t="str">
        <x:v>Wave 3 — Pathways and Life Administration</x:v>
      </x:c>
      <x:c r="D240" s="40" t="str">
        <x:v>L. Contacts and Follow-Ups</x:v>
      </x:c>
      <x:c r="E240" s="40" t="str">
        <x:v>FR-L-013</x:v>
      </x:c>
      <x:c r="F240" s="40" t="str">
        <x:v>Import shall remain optional.</x:v>
      </x:c>
      <x:c r="G240" s="40" t="str">
        <x:v>BR-L-003</x:v>
      </x:c>
      <x:c r="H240" s="40" t="str">
        <x:v>ADR-009 — Domain Ownership and Relationship Model; ADR-003 — Private Single-User Data Model</x:v>
      </x:c>
      <x:c r="I240" s="40" t="str">
        <x:v>AC-L-013</x:v>
      </x:c>
      <x:c r="J240" s="40" t="str">
        <x:v>Yes</x:v>
      </x:c>
      <x:c r="K240" s="40" t="str">
        <x:v>V1</x:v>
      </x:c>
      <x:c r="L240" s="40" t="str">
        <x:v>Integration test</x:v>
      </x:c>
      <x:c r="M240" s="40"/>
      <x:c r="N240" s="40"/>
      <x:c r="O240" s="40" t="str">
        <x:v>VS-02, VS-03, VS-04</x:v>
      </x:c>
      <x:c r="P240" s="40" t="str">
        <x:v>Not Started</x:v>
      </x:c>
      <x:c r="Q240" s="40"/>
    </x:row>
    <x:row r="241">
      <x:c r="A241" s="40" t="str">
        <x:v>VS-11</x:v>
      </x:c>
      <x:c r="B241" s="40" t="n">
        <x:v>11</x:v>
      </x:c>
      <x:c r="C241" s="40" t="str">
        <x:v>Wave 3 — Pathways and Life Administration</x:v>
      </x:c>
      <x:c r="D241" s="40" t="str">
        <x:v>L. Contacts and Follow-Ups</x:v>
      </x:c>
      <x:c r="E241" s="40" t="str">
        <x:v>FR-L-014</x:v>
      </x:c>
      <x:c r="F241" s="40" t="str">
        <x:v>not require call-log or message-reading permission.</x:v>
      </x:c>
      <x:c r="G241" s="40" t="str">
        <x:v>BR-L-002, BR-L-006</x:v>
      </x:c>
      <x:c r="H241" s="40" t="str">
        <x:v>ADR-009 — Domain Ownership and Relationship Model; ADR-021 — Security, Privacy, Permissions, and Sensitive Data; ADR-003 — Private Single-User Data Model</x:v>
      </x:c>
      <x:c r="I241" s="40" t="str">
        <x:v>AC-L-014</x:v>
      </x:c>
      <x:c r="J241" s="40" t="str">
        <x:v>Yes</x:v>
      </x:c>
      <x:c r="K241" s="40" t="str">
        <x:v>V1</x:v>
      </x:c>
      <x:c r="L241" s="40" t="str">
        <x:v>Widget test</x:v>
      </x:c>
      <x:c r="M241" s="40"/>
      <x:c r="N241" s="40"/>
      <x:c r="O241" s="40" t="str">
        <x:v>VS-02, VS-03, VS-04</x:v>
      </x:c>
      <x:c r="P241" s="40" t="str">
        <x:v>Not Started</x:v>
      </x:c>
      <x:c r="Q241" s="40"/>
    </x:row>
    <x:row r="242">
      <x:c r="A242" s="40" t="str">
        <x:v>VS-11</x:v>
      </x:c>
      <x:c r="B242" s="40" t="n">
        <x:v>11</x:v>
      </x:c>
      <x:c r="C242" s="40" t="str">
        <x:v>Wave 3 — Pathways and Life Administration</x:v>
      </x:c>
      <x:c r="D242" s="40" t="str">
        <x:v>L. Contacts and Follow-Ups</x:v>
      </x:c>
      <x:c r="E242" s="40" t="str">
        <x:v>FR-L-015</x:v>
      </x:c>
      <x:c r="F242" s="40" t="str">
        <x:v>be able to open supported external communication actions.</x:v>
      </x:c>
      <x:c r="G242" s="40" t="str">
        <x:v>BR-L-004</x:v>
      </x:c>
      <x:c r="H242" s="40" t="str">
        <x:v>ADR-009 — Domain Ownership and Relationship Model; ADR-003 — Private Single-User Data Model</x:v>
      </x:c>
      <x:c r="I242" s="40" t="str">
        <x:v>AC-L-015</x:v>
      </x:c>
      <x:c r="J242" s="40" t="str">
        <x:v>No</x:v>
      </x:c>
      <x:c r="K242" s="40" t="str">
        <x:v>V1</x:v>
      </x:c>
      <x:c r="L242" s="40" t="str">
        <x:v>Widget test / Integration test</x:v>
      </x:c>
      <x:c r="M242" s="40"/>
      <x:c r="N242" s="40"/>
      <x:c r="O242" s="40" t="str">
        <x:v>VS-02, VS-03, VS-04</x:v>
      </x:c>
      <x:c r="P242" s="40" t="str">
        <x:v>Not Started</x:v>
      </x:c>
      <x:c r="Q242" s="40"/>
    </x:row>
    <x:row r="243">
      <x:c r="A243" s="40" t="str">
        <x:v>VS-11</x:v>
      </x:c>
      <x:c r="B243" s="40" t="n">
        <x:v>11</x:v>
      </x:c>
      <x:c r="C243" s="40" t="str">
        <x:v>Wave 3 — Pathways and Life Administration</x:v>
      </x:c>
      <x:c r="D243" s="40" t="str">
        <x:v>L. Contacts and Follow-Ups</x:v>
      </x:c>
      <x:c r="E243" s="40" t="str">
        <x:v>FR-L-016</x:v>
      </x:c>
      <x:c r="F243" s="40" t="str">
        <x:v>Returning from an external action shall not create Actual automatically.</x:v>
      </x:c>
      <x:c r="G243" s="40" t="str">
        <x:v>BR-L-005, BR-L-006, BR-L-008</x:v>
      </x:c>
      <x:c r="H243" s="40" t="str">
        <x:v>ADR-005 — Confirmed-Source Progress and Read-Only Actuals; ADR-009 — Domain Ownership and Relationship Model; ADR-003 — Private Single-User Data Model</x:v>
      </x:c>
      <x:c r="I243" s="40" t="str">
        <x:v>AC-L-016</x:v>
      </x:c>
      <x:c r="J243" s="40" t="str">
        <x:v>Yes</x:v>
      </x:c>
      <x:c r="K243" s="40" t="str">
        <x:v>V1</x:v>
      </x:c>
      <x:c r="L243" s="40" t="str">
        <x:v>Domain test / Integration test</x:v>
      </x:c>
      <x:c r="M243" s="40"/>
      <x:c r="N243" s="40"/>
      <x:c r="O243" s="40" t="str">
        <x:v>VS-02, VS-03, VS-04</x:v>
      </x:c>
      <x:c r="P243" s="40" t="str">
        <x:v>Not Started</x:v>
      </x:c>
      <x:c r="Q243" s="40"/>
    </x:row>
    <x:row r="244">
      <x:c r="A244" s="40" t="str">
        <x:v>VS-11</x:v>
      </x:c>
      <x:c r="B244" s="40" t="n">
        <x:v>11</x:v>
      </x:c>
      <x:c r="C244" s="40" t="str">
        <x:v>Wave 3 — Pathways and Life Administration</x:v>
      </x:c>
      <x:c r="D244" s="40" t="str">
        <x:v>L. Contacts and Follow-Ups</x:v>
      </x:c>
      <x:c r="E244" s="40" t="str">
        <x:v>FR-L-017</x:v>
      </x:c>
      <x:c r="F244" s="40" t="str">
        <x:v>preserve contact history through archive and merge operations.</x:v>
      </x:c>
      <x:c r="G244" s="40" t="str">
        <x:v>BR-L-002, BR-L-003, BR-L-007</x:v>
      </x:c>
      <x:c r="H244" s="40" t="str">
        <x:v>ADR-009 — Domain Ownership and Relationship Model; ADR-003 — Private Single-User Data Model</x:v>
      </x:c>
      <x:c r="I244" s="40" t="str">
        <x:v>AC-L-017</x:v>
      </x:c>
      <x:c r="J244" s="40" t="str">
        <x:v>Yes</x:v>
      </x:c>
      <x:c r="K244" s="40" t="str">
        <x:v>V1</x:v>
      </x:c>
      <x:c r="L244" s="40" t="str">
        <x:v>Domain test</x:v>
      </x:c>
      <x:c r="M244" s="40" t="str">
        <x:v>OPD-3-006</x:v>
      </x:c>
      <x:c r="N244" s="40" t="str">
        <x:v>OPD-3-006: Suggest using normalized phone or email; never merge automatically.</x:v>
      </x:c>
      <x:c r="O244" s="40" t="str">
        <x:v>VS-02, VS-03, VS-04</x:v>
      </x:c>
      <x:c r="P244" s="40" t="str">
        <x:v>Not Started</x:v>
      </x:c>
      <x:c r="Q244" s="40"/>
    </x:row>
    <x:row r="245">
      <x:c r="A245" s="40" t="str">
        <x:v>VS-11</x:v>
      </x:c>
      <x:c r="B245" s="40" t="n">
        <x:v>11</x:v>
      </x:c>
      <x:c r="C245" s="40" t="str">
        <x:v>Wave 3 — Pathways and Life Administration</x:v>
      </x:c>
      <x:c r="D245" s="40" t="str">
        <x:v>L. Contacts and Follow-Ups</x:v>
      </x:c>
      <x:c r="E245" s="40" t="str">
        <x:v>FR-L-018</x:v>
      </x:c>
      <x:c r="F245" s="40" t="str">
        <x:v>Contact and follow-up workflows shall operate offline.</x:v>
      </x:c>
      <x:c r="G245" s="40" t="str">
        <x:v>BR-L-002, BR-L-003</x:v>
      </x:c>
      <x:c r="H245" s="40" t="str">
        <x:v>ADR-009 — Domain Ownership and Relationship Model; ADR-006 — Local-First Operation with Background Synchronization; ADR-003 — Private Single-User Data Model</x:v>
      </x:c>
      <x:c r="I245" s="40" t="str">
        <x:v>AC-L-018</x:v>
      </x:c>
      <x:c r="J245" s="40" t="str">
        <x:v>Yes</x:v>
      </x:c>
      <x:c r="K245" s="40" t="str">
        <x:v>V1</x:v>
      </x:c>
      <x:c r="L245" s="40" t="str">
        <x:v>Domain test</x:v>
      </x:c>
      <x:c r="M245" s="40"/>
      <x:c r="N245" s="40"/>
      <x:c r="O245" s="40" t="str">
        <x:v>VS-02, VS-03, VS-04</x:v>
      </x:c>
      <x:c r="P245" s="40" t="str">
        <x:v>Not Started</x:v>
      </x:c>
      <x:c r="Q245" s="40"/>
    </x:row>
    <x:row r="246">
      <x:c r="A246" s="40" t="str">
        <x:v>VS-11</x:v>
      </x:c>
      <x:c r="B246" s="40" t="n">
        <x:v>11</x:v>
      </x:c>
      <x:c r="C246" s="40" t="str">
        <x:v>Wave 3 — Pathways and Life Administration</x:v>
      </x:c>
      <x:c r="D246" s="40" t="str">
        <x:v>L. Contacts and Follow-Ups</x:v>
      </x:c>
      <x:c r="E246" s="40" t="str">
        <x:v>FR-L-019</x:v>
      </x:c>
      <x:c r="F246" s="40" t="str">
        <x:v>provide interaction contribution history.</x:v>
      </x:c>
      <x:c r="G246" s="40" t="str">
        <x:v>BR-L-005, BR-L-007</x:v>
      </x:c>
      <x:c r="H246" s="40" t="str">
        <x:v>ADR-012 — Activity Ledger and Contribution Engine; ADR-009 — Domain Ownership and Relationship Model; ADR-003 — Private Single-User Data Model</x:v>
      </x:c>
      <x:c r="I246" s="40" t="str">
        <x:v>AC-L-019</x:v>
      </x:c>
      <x:c r="J246" s="40" t="str">
        <x:v>No</x:v>
      </x:c>
      <x:c r="K246" s="40" t="str">
        <x:v>V1</x:v>
      </x:c>
      <x:c r="L246" s="40" t="str">
        <x:v>Domain test</x:v>
      </x:c>
      <x:c r="M246" s="40" t="str">
        <x:v>OPD-3-004</x:v>
      </x:c>
      <x:c r="N246" s="40" t="str">
        <x:v>OPD-3-004: One contribution per explicitly confirmed meaningful Contact.</x:v>
      </x:c>
      <x:c r="O246" s="40" t="str">
        <x:v>VS-02, VS-03, VS-04</x:v>
      </x:c>
      <x:c r="P246" s="40" t="str">
        <x:v>Not Started</x:v>
      </x:c>
      <x:c r="Q246" s="40"/>
    </x:row>
    <x:row r="247">
      <x:c r="A247" s="40" t="str">
        <x:v>VS-11</x:v>
      </x:c>
      <x:c r="B247" s="40" t="n">
        <x:v>11</x:v>
      </x:c>
      <x:c r="C247" s="40" t="str">
        <x:v>Wave 3 — Pathways and Life Administration</x:v>
      </x:c>
      <x:c r="D247" s="40" t="str">
        <x:v>L. Contacts and Follow-Ups</x:v>
      </x:c>
      <x:c r="E247" s="40" t="str">
        <x:v>FR-L-020</x:v>
      </x:c>
      <x:c r="F247" s="40" t="str">
        <x:v>not provide shared directories.</x:v>
      </x:c>
      <x:c r="G247" s="40" t="str">
        <x:v>BR-L-010</x:v>
      </x:c>
      <x:c r="H247" s="40" t="str">
        <x:v>ADR-009 — Domain Ownership and Relationship Model; ADR-003 — Private Single-User Data Model</x:v>
      </x:c>
      <x:c r="I247" s="40" t="str">
        <x:v>AC-L-020</x:v>
      </x:c>
      <x:c r="J247" s="40" t="str">
        <x:v>Yes</x:v>
      </x:c>
      <x:c r="K247" s="40" t="str">
        <x:v>V1</x:v>
      </x:c>
      <x:c r="L247" s="40" t="str">
        <x:v>Domain test</x:v>
      </x:c>
      <x:c r="M247" s="40"/>
      <x:c r="N247" s="40"/>
      <x:c r="O247" s="40" t="str">
        <x:v>VS-02, VS-03, VS-04</x:v>
      </x:c>
      <x:c r="P247" s="40" t="str">
        <x:v>Not Started</x:v>
      </x:c>
      <x:c r="Q247" s="40"/>
    </x:row>
    <x:row r="248">
      <x:c r="A248" s="40" t="str">
        <x:v>VS-12</x:v>
      </x:c>
      <x:c r="B248" s="40" t="n">
        <x:v>12</x:v>
      </x:c>
      <x:c r="C248" s="40" t="str">
        <x:v>Wave 3 — Pathways and Life Administration</x:v>
      </x:c>
      <x:c r="D248" s="40" t="str">
        <x:v>M. Employment Applications</x:v>
      </x:c>
      <x:c r="E248" s="40" t="str">
        <x:v>FR-M-001</x:v>
      </x:c>
      <x:c r="F248" s="40" t="str">
        <x:v>be able to create an Employment Application record.</x:v>
      </x:c>
      <x:c r="G248" s="40" t="str">
        <x:v>BR-M-001, BR-M-010</x:v>
      </x:c>
      <x:c r="H248" s="40" t="str">
        <x:v>ADR-009 — Domain Ownership and Relationship Model</x:v>
      </x:c>
      <x:c r="I248" s="40" t="str">
        <x:v>AC-M-001</x:v>
      </x:c>
      <x:c r="J248" s="40" t="str">
        <x:v>Yes</x:v>
      </x:c>
      <x:c r="K248" s="40" t="str">
        <x:v>V1</x:v>
      </x:c>
      <x:c r="L248" s="40" t="str">
        <x:v>Widget test</x:v>
      </x:c>
      <x:c r="M248" s="40" t="str">
        <x:v>OPD-3-007</x:v>
      </x:c>
      <x:c r="N248" s="40" t="str">
        <x:v>OPD-3-007: Employment Application lifecycle: active stages = Saved, Considering, Preparing, Submitted, Interviewing, Offered; terminal outcomes = Accepted, Rejected, Withdrawn, Closed Without Outcome. Archive is a separate visibility state, and reapplication creates a new cycle.</x:v>
      </x:c>
      <x:c r="O248" s="40" t="str">
        <x:v>VS-03, VS-04, VS-09</x:v>
      </x:c>
      <x:c r="P248" s="40" t="str">
        <x:v>Not Started</x:v>
      </x:c>
      <x:c r="Q248" s="40"/>
    </x:row>
    <x:row r="249">
      <x:c r="A249" s="40" t="str">
        <x:v>VS-12</x:v>
      </x:c>
      <x:c r="B249" s="40" t="n">
        <x:v>12</x:v>
      </x:c>
      <x:c r="C249" s="40" t="str">
        <x:v>Wave 3 — Pathways and Life Administration</x:v>
      </x:c>
      <x:c r="D249" s="40" t="str">
        <x:v>M. Employment Applications</x:v>
      </x:c>
      <x:c r="E249" s="40" t="str">
        <x:v>FR-M-002</x:v>
      </x:c>
      <x:c r="F249" s="40" t="str">
        <x:v>Applications shall support a structured stage.</x:v>
      </x:c>
      <x:c r="G249" s="40" t="str">
        <x:v>BR-M-002, BR-M-003, BR-M-006</x:v>
      </x:c>
      <x:c r="H249" s="40" t="str">
        <x:v>ADR-009 — Domain Ownership and Relationship Model</x:v>
      </x:c>
      <x:c r="I249" s="40" t="str">
        <x:v>AC-M-002</x:v>
      </x:c>
      <x:c r="J249" s="40" t="str">
        <x:v>Yes</x:v>
      </x:c>
      <x:c r="K249" s="40" t="str">
        <x:v>V1</x:v>
      </x:c>
      <x:c r="L249" s="40" t="str">
        <x:v>Domain test</x:v>
      </x:c>
      <x:c r="M249" s="40"/>
      <x:c r="N249" s="40"/>
      <x:c r="O249" s="40" t="str">
        <x:v>VS-03, VS-04, VS-09</x:v>
      </x:c>
      <x:c r="P249" s="40" t="str">
        <x:v>Not Started</x:v>
      </x:c>
      <x:c r="Q249" s="40"/>
    </x:row>
    <x:row r="250">
      <x:c r="A250" s="40" t="str">
        <x:v>VS-12</x:v>
      </x:c>
      <x:c r="B250" s="40" t="n">
        <x:v>12</x:v>
      </x:c>
      <x:c r="C250" s="40" t="str">
        <x:v>Wave 3 — Pathways and Life Administration</x:v>
      </x:c>
      <x:c r="D250" s="40" t="str">
        <x:v>M. Employment Applications</x:v>
      </x:c>
      <x:c r="E250" s="40" t="str">
        <x:v>FR-M-003</x:v>
      </x:c>
      <x:c r="F250" s="40" t="str">
        <x:v>Applications shall retain stage history.</x:v>
      </x:c>
      <x:c r="G250" s="40" t="str">
        <x:v>BR-M-002, BR-M-003, BR-M-006</x:v>
      </x:c>
      <x:c r="H250" s="40" t="str">
        <x:v>ADR-009 — Domain Ownership and Relationship Model</x:v>
      </x:c>
      <x:c r="I250" s="40" t="str">
        <x:v>AC-M-003</x:v>
      </x:c>
      <x:c r="J250" s="40" t="str">
        <x:v>Yes</x:v>
      </x:c>
      <x:c r="K250" s="40" t="str">
        <x:v>V1</x:v>
      </x:c>
      <x:c r="L250" s="40" t="str">
        <x:v>Domain test</x:v>
      </x:c>
      <x:c r="M250" s="40"/>
      <x:c r="N250" s="40"/>
      <x:c r="O250" s="40" t="str">
        <x:v>VS-03, VS-04, VS-09</x:v>
      </x:c>
      <x:c r="P250" s="40" t="str">
        <x:v>Not Started</x:v>
      </x:c>
      <x:c r="Q250" s="40"/>
    </x:row>
    <x:row r="251">
      <x:c r="A251" s="40" t="str">
        <x:v>VS-12</x:v>
      </x:c>
      <x:c r="B251" s="40" t="n">
        <x:v>12</x:v>
      </x:c>
      <x:c r="C251" s="40" t="str">
        <x:v>Wave 3 — Pathways and Life Administration</x:v>
      </x:c>
      <x:c r="D251" s="40" t="str">
        <x:v>M. Employment Applications</x:v>
      </x:c>
      <x:c r="E251" s="40" t="str">
        <x:v>FR-M-004</x:v>
      </x:c>
      <x:c r="F251" s="40" t="str">
        <x:v>be able to record application and deadline dates.</x:v>
      </x:c>
      <x:c r="G251" s="40" t="str">
        <x:v>BR-M-001</x:v>
      </x:c>
      <x:c r="H251" s="40" t="str">
        <x:v>ADR-009 — Domain Ownership and Relationship Model</x:v>
      </x:c>
      <x:c r="I251" s="40" t="str">
        <x:v>AC-M-004</x:v>
      </x:c>
      <x:c r="J251" s="40" t="str">
        <x:v>Yes</x:v>
      </x:c>
      <x:c r="K251" s="40" t="str">
        <x:v>V1</x:v>
      </x:c>
      <x:c r="L251" s="40" t="str">
        <x:v>Widget test</x:v>
      </x:c>
      <x:c r="M251" s="40"/>
      <x:c r="N251" s="40"/>
      <x:c r="O251" s="40" t="str">
        <x:v>VS-03, VS-04, VS-09</x:v>
      </x:c>
      <x:c r="P251" s="40" t="str">
        <x:v>Not Started</x:v>
      </x:c>
      <x:c r="Q251" s="40"/>
    </x:row>
    <x:row r="252">
      <x:c r="A252" s="40" t="str">
        <x:v>VS-12</x:v>
      </x:c>
      <x:c r="B252" s="40" t="n">
        <x:v>12</x:v>
      </x:c>
      <x:c r="C252" s="40" t="str">
        <x:v>Wave 3 — Pathways and Life Administration</x:v>
      </x:c>
      <x:c r="D252" s="40" t="str">
        <x:v>M. Employment Applications</x:v>
      </x:c>
      <x:c r="E252" s="40" t="str">
        <x:v>FR-M-005</x:v>
      </x:c>
      <x:c r="F252" s="40" t="str">
        <x:v>be able to link Contacts, Tasks, and Calendar Events.</x:v>
      </x:c>
      <x:c r="G252" s="40" t="str">
        <x:v>BR-M-001</x:v>
      </x:c>
      <x:c r="H252" s="40" t="str">
        <x:v>ADR-009 — Domain Ownership and Relationship Model</x:v>
      </x:c>
      <x:c r="I252" s="40" t="str">
        <x:v>AC-M-005</x:v>
      </x:c>
      <x:c r="J252" s="40" t="str">
        <x:v>Yes</x:v>
      </x:c>
      <x:c r="K252" s="40" t="str">
        <x:v>V1</x:v>
      </x:c>
      <x:c r="L252" s="40" t="str">
        <x:v>Widget test / Integration test</x:v>
      </x:c>
      <x:c r="M252" s="40"/>
      <x:c r="N252" s="40"/>
      <x:c r="O252" s="40" t="str">
        <x:v>VS-03, VS-04, VS-09</x:v>
      </x:c>
      <x:c r="P252" s="40" t="str">
        <x:v>Not Started</x:v>
      </x:c>
      <x:c r="Q252" s="40"/>
    </x:row>
    <x:row r="253">
      <x:c r="A253" s="40" t="str">
        <x:v>VS-12</x:v>
      </x:c>
      <x:c r="B253" s="40" t="n">
        <x:v>12</x:v>
      </x:c>
      <x:c r="C253" s="40" t="str">
        <x:v>Wave 3 — Pathways and Life Administration</x:v>
      </x:c>
      <x:c r="D253" s="40" t="str">
        <x:v>M. Employment Applications</x:v>
      </x:c>
      <x:c r="E253" s="40" t="str">
        <x:v>FR-M-006</x:v>
      </x:c>
      <x:c r="F253" s="40" t="str">
        <x:v>be able to confirm a submitted application.</x:v>
      </x:c>
      <x:c r="G253" s="40" t="str">
        <x:v>BR-M-001, BR-M-002</x:v>
      </x:c>
      <x:c r="H253" s="40" t="str">
        <x:v>ADR-009 — Domain Ownership and Relationship Model</x:v>
      </x:c>
      <x:c r="I253" s="40" t="str">
        <x:v>AC-M-006</x:v>
      </x:c>
      <x:c r="J253" s="40" t="str">
        <x:v>Yes</x:v>
      </x:c>
      <x:c r="K253" s="40" t="str">
        <x:v>V1</x:v>
      </x:c>
      <x:c r="L253" s="40" t="str">
        <x:v>Widget test</x:v>
      </x:c>
      <x:c r="M253" s="40"/>
      <x:c r="N253" s="40"/>
      <x:c r="O253" s="40" t="str">
        <x:v>VS-03, VS-04, VS-09</x:v>
      </x:c>
      <x:c r="P253" s="40" t="str">
        <x:v>Not Started</x:v>
      </x:c>
      <x:c r="Q253" s="40"/>
    </x:row>
    <x:row r="254">
      <x:c r="A254" s="40" t="str">
        <x:v>VS-12</x:v>
      </x:c>
      <x:c r="B254" s="40" t="n">
        <x:v>12</x:v>
      </x:c>
      <x:c r="C254" s="40" t="str">
        <x:v>Wave 3 — Pathways and Life Administration</x:v>
      </x:c>
      <x:c r="D254" s="40" t="str">
        <x:v>M. Employment Applications</x:v>
      </x:c>
      <x:c r="E254" s="40" t="str">
        <x:v>FR-M-007</x:v>
      </x:c>
      <x:c r="F254" s="40" t="str">
        <x:v>Submission confirmation shall create a qualifying Job Applications contribution.</x:v>
      </x:c>
      <x:c r="G254" s="40" t="str">
        <x:v>BR-M-003, BR-M-004, BR-M-005</x:v>
      </x:c>
      <x:c r="H254" s="40" t="str">
        <x:v>ADR-012 — Activity Ledger and Contribution Engine; ADR-009 — Domain Ownership and Relationship Model</x:v>
      </x:c>
      <x:c r="I254" s="40" t="str">
        <x:v>AC-M-007</x:v>
      </x:c>
      <x:c r="J254" s="40" t="str">
        <x:v>Yes</x:v>
      </x:c>
      <x:c r="K254" s="40" t="str">
        <x:v>V1</x:v>
      </x:c>
      <x:c r="L254" s="40" t="str">
        <x:v>Domain test</x:v>
      </x:c>
      <x:c r="M254" s="40" t="str">
        <x:v>OPD-3-009</x:v>
      </x:c>
      <x:c r="N254" s="40" t="str">
        <x:v>OPD-3-009: One distinct confirmed submission equals one contribution.</x:v>
      </x:c>
      <x:c r="O254" s="40" t="str">
        <x:v>VS-03, VS-04, VS-09</x:v>
      </x:c>
      <x:c r="P254" s="40" t="str">
        <x:v>Not Started</x:v>
      </x:c>
      <x:c r="Q254" s="40"/>
    </x:row>
    <x:row r="255">
      <x:c r="A255" s="40" t="str">
        <x:v>VS-12</x:v>
      </x:c>
      <x:c r="B255" s="40" t="n">
        <x:v>12</x:v>
      </x:c>
      <x:c r="C255" s="40" t="str">
        <x:v>Wave 3 — Pathways and Life Administration</x:v>
      </x:c>
      <x:c r="D255" s="40" t="str">
        <x:v>M. Employment Applications</x:v>
      </x:c>
      <x:c r="E255" s="40" t="str">
        <x:v>FR-M-008</x:v>
      </x:c>
      <x:c r="F255" s="40" t="str">
        <x:v>Saved, Considering, and Preparing stages shall not create Actual.</x:v>
      </x:c>
      <x:c r="G255" s="40" t="str">
        <x:v>BR-M-002, BR-M-003</x:v>
      </x:c>
      <x:c r="H255" s="40" t="str">
        <x:v>ADR-005 — Confirmed-Source Progress and Read-Only Actuals; ADR-009 — Domain Ownership and Relationship Model</x:v>
      </x:c>
      <x:c r="I255" s="40" t="str">
        <x:v>AC-M-008</x:v>
      </x:c>
      <x:c r="J255" s="40" t="str">
        <x:v>Yes</x:v>
      </x:c>
      <x:c r="K255" s="40" t="str">
        <x:v>V1</x:v>
      </x:c>
      <x:c r="L255" s="40" t="str">
        <x:v>Domain test</x:v>
      </x:c>
      <x:c r="M255" s="40"/>
      <x:c r="N255" s="40"/>
      <x:c r="O255" s="40" t="str">
        <x:v>VS-03, VS-04, VS-09</x:v>
      </x:c>
      <x:c r="P255" s="40" t="str">
        <x:v>Not Started</x:v>
      </x:c>
      <x:c r="Q255" s="40"/>
    </x:row>
    <x:row r="256">
      <x:c r="A256" s="40" t="str">
        <x:v>VS-12</x:v>
      </x:c>
      <x:c r="B256" s="40" t="n">
        <x:v>12</x:v>
      </x:c>
      <x:c r="C256" s="40" t="str">
        <x:v>Wave 3 — Pathways and Life Administration</x:v>
      </x:c>
      <x:c r="D256" s="40" t="str">
        <x:v>M. Employment Applications</x:v>
      </x:c>
      <x:c r="E256" s="40" t="str">
        <x:v>FR-M-009</x:v>
      </x:c>
      <x:c r="F256" s="40" t="str">
        <x:v>Submission retries shall not duplicate Actual.</x:v>
      </x:c>
      <x:c r="G256" s="40" t="str">
        <x:v>BR-M-003, BR-M-004, BR-M-005</x:v>
      </x:c>
      <x:c r="H256" s="40" t="str">
        <x:v>ADR-005 — Confirmed-Source Progress and Read-Only Actuals; ADR-009 — Domain Ownership and Relationship Model</x:v>
      </x:c>
      <x:c r="I256" s="40" t="str">
        <x:v>AC-M-009</x:v>
      </x:c>
      <x:c r="J256" s="40" t="str">
        <x:v>Yes</x:v>
      </x:c>
      <x:c r="K256" s="40" t="str">
        <x:v>V1</x:v>
      </x:c>
      <x:c r="L256" s="40" t="str">
        <x:v>Domain test</x:v>
      </x:c>
      <x:c r="M256" s="40"/>
      <x:c r="N256" s="40"/>
      <x:c r="O256" s="40" t="str">
        <x:v>VS-03, VS-04, VS-09</x:v>
      </x:c>
      <x:c r="P256" s="40" t="str">
        <x:v>Not Started</x:v>
      </x:c>
      <x:c r="Q256" s="40"/>
    </x:row>
    <x:row r="257">
      <x:c r="A257" s="40" t="str">
        <x:v>VS-12</x:v>
      </x:c>
      <x:c r="B257" s="40" t="n">
        <x:v>12</x:v>
      </x:c>
      <x:c r="C257" s="40" t="str">
        <x:v>Wave 3 — Pathways and Life Administration</x:v>
      </x:c>
      <x:c r="D257" s="40" t="str">
        <x:v>M. Employment Applications</x:v>
      </x:c>
      <x:c r="E257" s="40" t="str">
        <x:v>FR-M-010</x:v>
      </x:c>
      <x:c r="F257" s="40" t="str">
        <x:v>be able to record interview invitations and schedules.</x:v>
      </x:c>
      <x:c r="G257" s="40" t="str">
        <x:v>BR-M-007</x:v>
      </x:c>
      <x:c r="H257" s="40" t="str">
        <x:v>ADR-009 — Domain Ownership and Relationship Model</x:v>
      </x:c>
      <x:c r="I257" s="40" t="str">
        <x:v>AC-M-010</x:v>
      </x:c>
      <x:c r="J257" s="40" t="str">
        <x:v>No</x:v>
      </x:c>
      <x:c r="K257" s="40" t="str">
        <x:v>V1</x:v>
      </x:c>
      <x:c r="L257" s="40" t="str">
        <x:v>Widget test</x:v>
      </x:c>
      <x:c r="M257" s="40"/>
      <x:c r="N257" s="40"/>
      <x:c r="O257" s="40" t="str">
        <x:v>VS-03, VS-04, VS-09</x:v>
      </x:c>
      <x:c r="P257" s="40" t="str">
        <x:v>Not Started</x:v>
      </x:c>
      <x:c r="Q257" s="40"/>
    </x:row>
    <x:row r="258">
      <x:c r="A258" s="40" t="str">
        <x:v>VS-12</x:v>
      </x:c>
      <x:c r="B258" s="40" t="n">
        <x:v>12</x:v>
      </x:c>
      <x:c r="C258" s="40" t="str">
        <x:v>Wave 3 — Pathways and Life Administration</x:v>
      </x:c>
      <x:c r="D258" s="40" t="str">
        <x:v>M. Employment Applications</x:v>
      </x:c>
      <x:c r="E258" s="40" t="str">
        <x:v>FR-M-011</x:v>
      </x:c>
      <x:c r="F258" s="40" t="str">
        <x:v>be able to record offers, acceptance, rejection, withdrawal, and closure.</x:v>
      </x:c>
      <x:c r="G258" s="40" t="str">
        <x:v>BR-M-005</x:v>
      </x:c>
      <x:c r="H258" s="40" t="str">
        <x:v>ADR-009 — Domain Ownership and Relationship Model</x:v>
      </x:c>
      <x:c r="I258" s="40" t="str">
        <x:v>AC-M-011</x:v>
      </x:c>
      <x:c r="J258" s="40" t="str">
        <x:v>No</x:v>
      </x:c>
      <x:c r="K258" s="40" t="str">
        <x:v>V1</x:v>
      </x:c>
      <x:c r="L258" s="40" t="str">
        <x:v>Widget test</x:v>
      </x:c>
      <x:c r="M258" s="40"/>
      <x:c r="N258" s="40"/>
      <x:c r="O258" s="40" t="str">
        <x:v>VS-03, VS-04, VS-09</x:v>
      </x:c>
      <x:c r="P258" s="40" t="str">
        <x:v>Not Started</x:v>
      </x:c>
      <x:c r="Q258" s="40"/>
    </x:row>
    <x:row r="259">
      <x:c r="A259" s="40" t="str">
        <x:v>VS-12</x:v>
      </x:c>
      <x:c r="B259" s="40" t="n">
        <x:v>12</x:v>
      </x:c>
      <x:c r="C259" s="40" t="str">
        <x:v>Wave 3 — Pathways and Life Administration</x:v>
      </x:c>
      <x:c r="D259" s="40" t="str">
        <x:v>M. Employment Applications</x:v>
      </x:c>
      <x:c r="E259" s="40" t="str">
        <x:v>FR-M-012</x:v>
      </x:c>
      <x:c r="F259" s="40" t="str">
        <x:v>Closed outcomes shall preserve submission history.</x:v>
      </x:c>
      <x:c r="G259" s="40" t="str">
        <x:v>BR-M-004, BR-M-005, BR-M-006</x:v>
      </x:c>
      <x:c r="H259" s="40" t="str">
        <x:v>ADR-011 — Event and Task Outcome Reporting; ADR-009 — Domain Ownership and Relationship Model</x:v>
      </x:c>
      <x:c r="I259" s="40" t="str">
        <x:v>AC-M-012</x:v>
      </x:c>
      <x:c r="J259" s="40" t="str">
        <x:v>Yes</x:v>
      </x:c>
      <x:c r="K259" s="40" t="str">
        <x:v>V1</x:v>
      </x:c>
      <x:c r="L259" s="40" t="str">
        <x:v>Domain test</x:v>
      </x:c>
      <x:c r="M259" s="40"/>
      <x:c r="N259" s="40"/>
      <x:c r="O259" s="40" t="str">
        <x:v>VS-03, VS-04, VS-09</x:v>
      </x:c>
      <x:c r="P259" s="40" t="str">
        <x:v>Not Started</x:v>
      </x:c>
      <x:c r="Q259" s="40"/>
    </x:row>
    <x:row r="260">
      <x:c r="A260" s="40" t="str">
        <x:v>VS-12</x:v>
      </x:c>
      <x:c r="B260" s="40" t="n">
        <x:v>12</x:v>
      </x:c>
      <x:c r="C260" s="40" t="str">
        <x:v>Wave 3 — Pathways and Life Administration</x:v>
      </x:c>
      <x:c r="D260" s="40" t="str">
        <x:v>M. Employment Applications</x:v>
      </x:c>
      <x:c r="E260" s="40" t="str">
        <x:v>FR-M-013</x:v>
      </x:c>
      <x:c r="F260" s="40" t="str">
        <x:v>support separate reapplication cycles.</x:v>
      </x:c>
      <x:c r="G260" s="40" t="str">
        <x:v>BR-M-001, BR-M-008</x:v>
      </x:c>
      <x:c r="H260" s="40" t="str">
        <x:v>ADR-009 — Domain Ownership and Relationship Model</x:v>
      </x:c>
      <x:c r="I260" s="40" t="str">
        <x:v>AC-M-013</x:v>
      </x:c>
      <x:c r="J260" s="40" t="str">
        <x:v>Yes</x:v>
      </x:c>
      <x:c r="K260" s="40" t="str">
        <x:v>V1</x:v>
      </x:c>
      <x:c r="L260" s="40" t="str">
        <x:v>Domain test</x:v>
      </x:c>
      <x:c r="M260" s="40"/>
      <x:c r="N260" s="40"/>
      <x:c r="O260" s="40" t="str">
        <x:v>VS-03, VS-04, VS-09</x:v>
      </x:c>
      <x:c r="P260" s="40" t="str">
        <x:v>Not Started</x:v>
      </x:c>
      <x:c r="Q260" s="40"/>
    </x:row>
    <x:row r="261">
      <x:c r="A261" s="40" t="str">
        <x:v>VS-12</x:v>
      </x:c>
      <x:c r="B261" s="40" t="n">
        <x:v>12</x:v>
      </x:c>
      <x:c r="C261" s="40" t="str">
        <x:v>Wave 3 — Pathways and Life Administration</x:v>
      </x:c>
      <x:c r="D261" s="40" t="str">
        <x:v>M. Employment Applications</x:v>
      </x:c>
      <x:c r="E261" s="40" t="str">
        <x:v>FR-M-014</x:v>
      </x:c>
      <x:c r="F261" s="40" t="str">
        <x:v>distinguish source dates and verification status for external information.</x:v>
      </x:c>
      <x:c r="G261" s="40" t="str">
        <x:v>BR-M-009</x:v>
      </x:c>
      <x:c r="H261" s="40" t="str">
        <x:v>ADR-009 — Domain Ownership and Relationship Model</x:v>
      </x:c>
      <x:c r="I261" s="40" t="str">
        <x:v>AC-M-014</x:v>
      </x:c>
      <x:c r="J261" s="40" t="str">
        <x:v>No</x:v>
      </x:c>
      <x:c r="K261" s="40" t="str">
        <x:v>V1</x:v>
      </x:c>
      <x:c r="L261" s="40" t="str">
        <x:v>Domain test / Integration test</x:v>
      </x:c>
      <x:c r="M261" s="40"/>
      <x:c r="N261" s="40"/>
      <x:c r="O261" s="40" t="str">
        <x:v>VS-03, VS-04, VS-09</x:v>
      </x:c>
      <x:c r="P261" s="40" t="str">
        <x:v>Not Started</x:v>
      </x:c>
      <x:c r="Q261" s="40"/>
    </x:row>
    <x:row r="262">
      <x:c r="A262" s="40" t="str">
        <x:v>VS-12</x:v>
      </x:c>
      <x:c r="B262" s="40" t="n">
        <x:v>12</x:v>
      </x:c>
      <x:c r="C262" s="40" t="str">
        <x:v>Wave 3 — Pathways and Life Administration</x:v>
      </x:c>
      <x:c r="D262" s="40" t="str">
        <x:v>M. Employment Applications</x:v>
      </x:c>
      <x:c r="E262" s="40" t="str">
        <x:v>FR-M-015</x:v>
      </x:c>
      <x:c r="F262" s="40" t="str">
        <x:v>be able to archive and restore applications.</x:v>
      </x:c>
      <x:c r="G262" s="40" t="str">
        <x:v>BR-M-002, BR-M-003</x:v>
      </x:c>
      <x:c r="H262" s="40" t="str">
        <x:v>ADR-009 — Domain Ownership and Relationship Model; ADR-017 — Local Backup, Export, Restore, and Disaster Recovery</x:v>
      </x:c>
      <x:c r="I262" s="40" t="str">
        <x:v>AC-M-015</x:v>
      </x:c>
      <x:c r="J262" s="40" t="str">
        <x:v>Yes</x:v>
      </x:c>
      <x:c r="K262" s="40" t="str">
        <x:v>V1</x:v>
      </x:c>
      <x:c r="L262" s="40" t="str">
        <x:v>Database test / Widget test</x:v>
      </x:c>
      <x:c r="M262" s="40"/>
      <x:c r="N262" s="40"/>
      <x:c r="O262" s="40" t="str">
        <x:v>VS-03, VS-04, VS-09</x:v>
      </x:c>
      <x:c r="P262" s="40" t="str">
        <x:v>Not Started</x:v>
      </x:c>
      <x:c r="Q262" s="40"/>
    </x:row>
    <x:row r="263">
      <x:c r="A263" s="40" t="str">
        <x:v>VS-12</x:v>
      </x:c>
      <x:c r="B263" s="40" t="n">
        <x:v>12</x:v>
      </x:c>
      <x:c r="C263" s="40" t="str">
        <x:v>Wave 3 — Pathways and Life Administration</x:v>
      </x:c>
      <x:c r="D263" s="40" t="str">
        <x:v>M. Employment Applications</x:v>
      </x:c>
      <x:c r="E263" s="40" t="str">
        <x:v>FR-M-016</x:v>
      </x:c>
      <x:c r="F263" s="40" t="str">
        <x:v>provide Job Applications contribution history.</x:v>
      </x:c>
      <x:c r="G263" s="40" t="str">
        <x:v>BR-M-003, BR-M-004, BR-M-006</x:v>
      </x:c>
      <x:c r="H263" s="40" t="str">
        <x:v>ADR-012 — Activity Ledger and Contribution Engine; ADR-009 — Domain Ownership and Relationship Model</x:v>
      </x:c>
      <x:c r="I263" s="40" t="str">
        <x:v>AC-M-016</x:v>
      </x:c>
      <x:c r="J263" s="40" t="str">
        <x:v>No</x:v>
      </x:c>
      <x:c r="K263" s="40" t="str">
        <x:v>V1</x:v>
      </x:c>
      <x:c r="L263" s="40" t="str">
        <x:v>Domain test</x:v>
      </x:c>
      <x:c r="M263" s="40" t="str">
        <x:v>OPD-3-009</x:v>
      </x:c>
      <x:c r="N263" s="40" t="str">
        <x:v>OPD-3-009: One distinct confirmed submission equals one contribution.</x:v>
      </x:c>
      <x:c r="O263" s="40" t="str">
        <x:v>VS-03, VS-04, VS-09</x:v>
      </x:c>
      <x:c r="P263" s="40" t="str">
        <x:v>Not Started</x:v>
      </x:c>
      <x:c r="Q263" s="40"/>
    </x:row>
    <x:row r="264">
      <x:c r="A264" s="40" t="str">
        <x:v>VS-12</x:v>
      </x:c>
      <x:c r="B264" s="40" t="n">
        <x:v>12</x:v>
      </x:c>
      <x:c r="C264" s="40" t="str">
        <x:v>Wave 3 — Pathways and Life Administration</x:v>
      </x:c>
      <x:c r="D264" s="40" t="str">
        <x:v>M. Employment Applications</x:v>
      </x:c>
      <x:c r="E264" s="40" t="str">
        <x:v>FR-M-017</x:v>
      </x:c>
      <x:c r="F264" s="40" t="str">
        <x:v>not classify applications from titles alone.</x:v>
      </x:c>
      <x:c r="G264" s="40" t="str">
        <x:v>BR-M-001, BR-M-002, BR-M-003</x:v>
      </x:c>
      <x:c r="H264" s="40" t="str">
        <x:v>ADR-009 — Domain Ownership and Relationship Model</x:v>
      </x:c>
      <x:c r="I264" s="40" t="str">
        <x:v>AC-M-017</x:v>
      </x:c>
      <x:c r="J264" s="40" t="str">
        <x:v>Yes</x:v>
      </x:c>
      <x:c r="K264" s="40" t="str">
        <x:v>V1</x:v>
      </x:c>
      <x:c r="L264" s="40" t="str">
        <x:v>Domain test</x:v>
      </x:c>
      <x:c r="M264" s="40"/>
      <x:c r="N264" s="40"/>
      <x:c r="O264" s="40" t="str">
        <x:v>VS-03, VS-04, VS-09</x:v>
      </x:c>
      <x:c r="P264" s="40" t="str">
        <x:v>Not Started</x:v>
      </x:c>
      <x:c r="Q264" s="40"/>
    </x:row>
    <x:row r="265">
      <x:c r="A265" s="40" t="str">
        <x:v>VS-12</x:v>
      </x:c>
      <x:c r="B265" s="40" t="n">
        <x:v>12</x:v>
      </x:c>
      <x:c r="C265" s="40" t="str">
        <x:v>Wave 3 — Pathways and Life Administration</x:v>
      </x:c>
      <x:c r="D265" s="40" t="str">
        <x:v>M. Employment Applications</x:v>
      </x:c>
      <x:c r="E265" s="40" t="str">
        <x:v>FR-M-018</x:v>
      </x:c>
      <x:c r="F265" s="40" t="str">
        <x:v>Employment workflows shall function offline.</x:v>
      </x:c>
      <x:c r="G265" s="40" t="str">
        <x:v>BR-M-001, BR-M-010</x:v>
      </x:c>
      <x:c r="H265" s="40" t="str">
        <x:v>ADR-009 — Domain Ownership and Relationship Model; ADR-006 — Local-First Operation with Background Synchronization</x:v>
      </x:c>
      <x:c r="I265" s="40" t="str">
        <x:v>AC-M-018</x:v>
      </x:c>
      <x:c r="J265" s="40" t="str">
        <x:v>Yes</x:v>
      </x:c>
      <x:c r="K265" s="40" t="str">
        <x:v>V1</x:v>
      </x:c>
      <x:c r="L265" s="40" t="str">
        <x:v>Domain test</x:v>
      </x:c>
      <x:c r="M265" s="40"/>
      <x:c r="N265" s="40"/>
      <x:c r="O265" s="40" t="str">
        <x:v>VS-03, VS-04, VS-09</x:v>
      </x:c>
      <x:c r="P265" s="40" t="str">
        <x:v>Not Started</x:v>
      </x:c>
      <x:c r="Q265" s="40"/>
    </x:row>
    <x:row r="266">
      <x:c r="A266" s="40" t="str">
        <x:v>VS-12</x:v>
      </x:c>
      <x:c r="B266" s="40" t="n">
        <x:v>12</x:v>
      </x:c>
      <x:c r="C266" s="40" t="str">
        <x:v>Wave 3 — Pathways and Life Administration</x:v>
      </x:c>
      <x:c r="D266" s="40" t="str">
        <x:v>M. Employment Applications</x:v>
      </x:c>
      <x:c r="E266" s="40" t="str">
        <x:v>FR-M-019</x:v>
      </x:c>
      <x:c r="F266" s="40" t="str">
        <x:v>not require an external vacancy URL.</x:v>
      </x:c>
      <x:c r="G266" s="40" t="str">
        <x:v>BR-M-009</x:v>
      </x:c>
      <x:c r="H266" s="40" t="str">
        <x:v>ADR-009 — Domain Ownership and Relationship Model</x:v>
      </x:c>
      <x:c r="I266" s="40" t="str">
        <x:v>AC-M-019</x:v>
      </x:c>
      <x:c r="J266" s="40" t="str">
        <x:v>Yes</x:v>
      </x:c>
      <x:c r="K266" s="40" t="str">
        <x:v>V1</x:v>
      </x:c>
      <x:c r="L266" s="40" t="str">
        <x:v>Integration test</x:v>
      </x:c>
      <x:c r="M266" s="40"/>
      <x:c r="N266" s="40"/>
      <x:c r="O266" s="40" t="str">
        <x:v>VS-03, VS-04, VS-09</x:v>
      </x:c>
      <x:c r="P266" s="40" t="str">
        <x:v>Not Started</x:v>
      </x:c>
      <x:c r="Q266" s="40"/>
    </x:row>
    <x:row r="267">
      <x:c r="A267" s="40" t="str">
        <x:v>VS-12</x:v>
      </x:c>
      <x:c r="B267" s="40" t="n">
        <x:v>12</x:v>
      </x:c>
      <x:c r="C267" s="40" t="str">
        <x:v>Wave 3 — Pathways and Life Administration</x:v>
      </x:c>
      <x:c r="D267" s="40" t="str">
        <x:v>M. Employment Applications</x:v>
      </x:c>
      <x:c r="E267" s="40" t="str">
        <x:v>FR-M-020</x:v>
      </x:c>
      <x:c r="F267" s="40" t="str">
        <x:v>The feature shall support Philippines and remote or international application contexts.</x:v>
      </x:c>
      <x:c r="G267" s="40" t="str">
        <x:v>BR-M-001</x:v>
      </x:c>
      <x:c r="H267" s="40" t="str">
        <x:v>ADR-009 — Domain Ownership and Relationship Model; ADR-019 — Philippine Content Packs and Official Source Governance</x:v>
      </x:c>
      <x:c r="I267" s="40" t="str">
        <x:v>AC-M-020</x:v>
      </x:c>
      <x:c r="J267" s="40" t="str">
        <x:v>No</x:v>
      </x:c>
      <x:c r="K267" s="40" t="str">
        <x:v>V1</x:v>
      </x:c>
      <x:c r="L267" s="40" t="str">
        <x:v>Domain test</x:v>
      </x:c>
      <x:c r="M267" s="40" t="str">
        <x:v>OPD-3-007</x:v>
      </x:c>
      <x:c r="N267" s="40" t="str">
        <x:v>OPD-3-007: Employment Application lifecycle: active stages = Saved, Considering, Preparing, Submitted, Interviewing, Offered; terminal outcomes = Accepted, Rejected, Withdrawn, Closed Without Outcome. Archive is a separate visibility state, and reapplication creates a new cycle.</x:v>
      </x:c>
      <x:c r="O267" s="40" t="str">
        <x:v>VS-03, VS-04, VS-09</x:v>
      </x:c>
      <x:c r="P267" s="40" t="str">
        <x:v>Not Started</x:v>
      </x:c>
      <x:c r="Q267" s="40"/>
    </x:row>
    <x:row r="268">
      <x:c r="A268" s="40" t="str">
        <x:v>VS-13</x:v>
      </x:c>
      <x:c r="B268" s="40" t="n">
        <x:v>13</x:v>
      </x:c>
      <x:c r="C268" s="40" t="str">
        <x:v>Wave 3 — Pathways and Life Administration</x:v>
      </x:c>
      <x:c r="D268" s="40" t="str">
        <x:v>N. Education Planning</x:v>
      </x:c>
      <x:c r="E268" s="40" t="str">
        <x:v>FR-N-001</x:v>
      </x:c>
      <x:c r="F268" s="40" t="str">
        <x:v>be able to create bundled or custom Education Options.</x:v>
      </x:c>
      <x:c r="G268" s="40" t="str">
        <x:v>BR-N-002, BR-N-008, BR-N-010</x:v>
      </x:c>
      <x:c r="H268" s="40" t="str">
        <x:v>ADR-019 — Philippine Content Packs and Official Source Governance</x:v>
      </x:c>
      <x:c r="I268" s="40" t="str">
        <x:v>AC-N-001</x:v>
      </x:c>
      <x:c r="J268" s="40" t="str">
        <x:v>Yes</x:v>
      </x:c>
      <x:c r="K268" s="40" t="str">
        <x:v>V1</x:v>
      </x:c>
      <x:c r="L268" s="40" t="str">
        <x:v>Widget test</x:v>
      </x:c>
      <x:c r="M268" s="40" t="str">
        <x:v>OPD-3-011</x:v>
      </x:c>
      <x:c r="N268" s="40" t="str">
        <x:v>OPD-3-011: Initial V1 bundled education entries: BYU-Pathway Worldwide, BYU-Hawaii, and My Plan (Tanay, Rizal), plus Custom Education Option. Degree-destination details remain content-driven and must carry official source and last-verified metadata.</x:v>
      </x:c>
      <x:c r="O268" s="40" t="str">
        <x:v>VS-03, VS-04, VS-09</x:v>
      </x:c>
      <x:c r="P268" s="40" t="str">
        <x:v>Not Started</x:v>
      </x:c>
      <x:c r="Q268" s="40"/>
    </x:row>
    <x:row r="269">
      <x:c r="A269" s="40" t="str">
        <x:v>VS-13</x:v>
      </x:c>
      <x:c r="B269" s="40" t="n">
        <x:v>13</x:v>
      </x:c>
      <x:c r="C269" s="40" t="str">
        <x:v>Wave 3 — Pathways and Life Administration</x:v>
      </x:c>
      <x:c r="D269" s="40" t="str">
        <x:v>N. Education Planning</x:v>
      </x:c>
      <x:c r="E269" s="40" t="str">
        <x:v>FR-N-002</x:v>
      </x:c>
      <x:c r="F269" s="40" t="str">
        <x:v>Education Options shall support provider, program, mode, location, and intake information.</x:v>
      </x:c>
      <x:c r="G269" s="40" t="str">
        <x:v>BR-N-002, BR-N-005, BR-N-010</x:v>
      </x:c>
      <x:c r="H269" s="40" t="str">
        <x:v>ADR-019 — Philippine Content Packs and Official Source Governance</x:v>
      </x:c>
      <x:c r="I269" s="40" t="str">
        <x:v>AC-N-002</x:v>
      </x:c>
      <x:c r="J269" s="40" t="str">
        <x:v>Yes</x:v>
      </x:c>
      <x:c r="K269" s="40" t="str">
        <x:v>V1</x:v>
      </x:c>
      <x:c r="L269" s="40" t="str">
        <x:v>Domain test</x:v>
      </x:c>
      <x:c r="M269" s="40" t="str">
        <x:v>OPD-3-011</x:v>
      </x:c>
      <x:c r="N269" s="40" t="str">
        <x:v>OPD-3-011: Initial V1 bundled education entries: BYU-Pathway Worldwide, BYU-Hawaii, and My Plan (Tanay, Rizal), plus Custom Education Option. Degree-destination details remain content-driven and must carry official source and last-verified metadata.</x:v>
      </x:c>
      <x:c r="O269" s="40" t="str">
        <x:v>VS-03, VS-04, VS-09</x:v>
      </x:c>
      <x:c r="P269" s="40" t="str">
        <x:v>Not Started</x:v>
      </x:c>
      <x:c r="Q269" s="40"/>
    </x:row>
    <x:row r="270">
      <x:c r="A270" s="40" t="str">
        <x:v>VS-13</x:v>
      </x:c>
      <x:c r="B270" s="40" t="n">
        <x:v>13</x:v>
      </x:c>
      <x:c r="C270" s="40" t="str">
        <x:v>Wave 3 — Pathways and Life Administration</x:v>
      </x:c>
      <x:c r="D270" s="40" t="str">
        <x:v>N. Education Planning</x:v>
      </x:c>
      <x:c r="E270" s="40" t="str">
        <x:v>FR-N-003</x:v>
      </x:c>
      <x:c r="F270" s="40" t="str">
        <x:v>support structured requirements.</x:v>
      </x:c>
      <x:c r="G270" s="40" t="str">
        <x:v>BR-N-004, BR-N-007</x:v>
      </x:c>
      <x:c r="H270" s="40" t="str">
        <x:v>ADR-019 — Philippine Content Packs and Official Source Governance</x:v>
      </x:c>
      <x:c r="I270" s="40" t="str">
        <x:v>AC-N-003</x:v>
      </x:c>
      <x:c r="J270" s="40" t="str">
        <x:v>Yes</x:v>
      </x:c>
      <x:c r="K270" s="40" t="str">
        <x:v>V1</x:v>
      </x:c>
      <x:c r="L270" s="40" t="str">
        <x:v>Domain test</x:v>
      </x:c>
      <x:c r="M270" s="40"/>
      <x:c r="N270" s="40"/>
      <x:c r="O270" s="40" t="str">
        <x:v>VS-03, VS-04, VS-09</x:v>
      </x:c>
      <x:c r="P270" s="40" t="str">
        <x:v>Not Started</x:v>
      </x:c>
      <x:c r="Q270" s="40"/>
    </x:row>
    <x:row r="271">
      <x:c r="A271" s="40" t="str">
        <x:v>VS-13</x:v>
      </x:c>
      <x:c r="B271" s="40" t="n">
        <x:v>13</x:v>
      </x:c>
      <x:c r="C271" s="40" t="str">
        <x:v>Wave 3 — Pathways and Life Administration</x:v>
      </x:c>
      <x:c r="D271" s="40" t="str">
        <x:v>N. Education Planning</x:v>
      </x:c>
      <x:c r="E271" s="40" t="str">
        <x:v>FR-N-004</x:v>
      </x:c>
      <x:c r="F271" s="40" t="str">
        <x:v>Requirements shall support source and last-verified date.</x:v>
      </x:c>
      <x:c r="G271" s="40" t="str">
        <x:v>BR-N-004, BR-N-007</x:v>
      </x:c>
      <x:c r="H271" s="40" t="str">
        <x:v>ADR-019 — Philippine Content Packs and Official Source Governance</x:v>
      </x:c>
      <x:c r="I271" s="40" t="str">
        <x:v>AC-N-004</x:v>
      </x:c>
      <x:c r="J271" s="40" t="str">
        <x:v>Yes</x:v>
      </x:c>
      <x:c r="K271" s="40" t="str">
        <x:v>V1</x:v>
      </x:c>
      <x:c r="L271" s="40" t="str">
        <x:v>Manual review</x:v>
      </x:c>
      <x:c r="M271" s="40" t="str">
        <x:v>OPD-3-012</x:v>
      </x:c>
      <x:c r="N271" s="40" t="str">
        <x:v>OPD-3-012: Require source, last-verified date, and Verify with Provider action.</x:v>
      </x:c>
      <x:c r="O271" s="40" t="str">
        <x:v>VS-03, VS-04, VS-09</x:v>
      </x:c>
      <x:c r="P271" s="40" t="str">
        <x:v>Not Started</x:v>
      </x:c>
      <x:c r="Q271" s="40"/>
    </x:row>
    <x:row r="272">
      <x:c r="A272" s="40" t="str">
        <x:v>VS-13</x:v>
      </x:c>
      <x:c r="B272" s="40" t="n">
        <x:v>13</x:v>
      </x:c>
      <x:c r="C272" s="40" t="str">
        <x:v>Wave 3 — Pathways and Life Administration</x:v>
      </x:c>
      <x:c r="D272" s="40" t="str">
        <x:v>N. Education Planning</x:v>
      </x:c>
      <x:c r="E272" s="40" t="str">
        <x:v>FR-N-005</x:v>
      </x:c>
      <x:c r="F272" s="40" t="str">
        <x:v>Requirements shall support verification status.</x:v>
      </x:c>
      <x:c r="G272" s="40" t="str">
        <x:v>BR-N-004, BR-N-007</x:v>
      </x:c>
      <x:c r="H272" s="40" t="str">
        <x:v>ADR-019 — Philippine Content Packs and Official Source Governance</x:v>
      </x:c>
      <x:c r="I272" s="40" t="str">
        <x:v>AC-N-005</x:v>
      </x:c>
      <x:c r="J272" s="40" t="str">
        <x:v>Yes</x:v>
      </x:c>
      <x:c r="K272" s="40" t="str">
        <x:v>V1</x:v>
      </x:c>
      <x:c r="L272" s="40" t="str">
        <x:v>Domain test</x:v>
      </x:c>
      <x:c r="M272" s="40"/>
      <x:c r="N272" s="40"/>
      <x:c r="O272" s="40" t="str">
        <x:v>VS-03, VS-04, VS-09</x:v>
      </x:c>
      <x:c r="P272" s="40" t="str">
        <x:v>Not Started</x:v>
      </x:c>
      <x:c r="Q272" s="40"/>
    </x:row>
    <x:row r="273">
      <x:c r="A273" s="40" t="str">
        <x:v>VS-13</x:v>
      </x:c>
      <x:c r="B273" s="40" t="n">
        <x:v>13</x:v>
      </x:c>
      <x:c r="C273" s="40" t="str">
        <x:v>Wave 3 — Pathways and Life Administration</x:v>
      </x:c>
      <x:c r="D273" s="40" t="str">
        <x:v>N. Education Planning</x:v>
      </x:c>
      <x:c r="E273" s="40" t="str">
        <x:v>FR-N-006</x:v>
      </x:c>
      <x:c r="F273" s="40" t="str">
        <x:v>be able to create Goals and Milestones from an Education Option.</x:v>
      </x:c>
      <x:c r="G273" s="40" t="str">
        <x:v>BR-N-002, BR-N-010</x:v>
      </x:c>
      <x:c r="H273" s="40" t="str">
        <x:v>ADR-019 — Philippine Content Packs and Official Source Governance</x:v>
      </x:c>
      <x:c r="I273" s="40" t="str">
        <x:v>AC-N-006</x:v>
      </x:c>
      <x:c r="J273" s="40" t="str">
        <x:v>Yes</x:v>
      </x:c>
      <x:c r="K273" s="40" t="str">
        <x:v>V1</x:v>
      </x:c>
      <x:c r="L273" s="40" t="str">
        <x:v>Widget test</x:v>
      </x:c>
      <x:c r="M273" s="40"/>
      <x:c r="N273" s="40"/>
      <x:c r="O273" s="40" t="str">
        <x:v>VS-03, VS-04, VS-09</x:v>
      </x:c>
      <x:c r="P273" s="40" t="str">
        <x:v>Not Started</x:v>
      </x:c>
      <x:c r="Q273" s="40"/>
    </x:row>
    <x:row r="274">
      <x:c r="A274" s="40" t="str">
        <x:v>VS-13</x:v>
      </x:c>
      <x:c r="B274" s="40" t="n">
        <x:v>13</x:v>
      </x:c>
      <x:c r="C274" s="40" t="str">
        <x:v>Wave 3 — Pathways and Life Administration</x:v>
      </x:c>
      <x:c r="D274" s="40" t="str">
        <x:v>N. Education Planning</x:v>
      </x:c>
      <x:c r="E274" s="40" t="str">
        <x:v>FR-N-007</x:v>
      </x:c>
      <x:c r="F274" s="40" t="str">
        <x:v>be able to create Tasks and Calendar Events.</x:v>
      </x:c>
      <x:c r="G274" s="40" t="str">
        <x:v>BR-N-007</x:v>
      </x:c>
      <x:c r="H274" s="40" t="str">
        <x:v>ADR-004 — Separation of Tasks and Calendar Events; ADR-019 — Philippine Content Packs and Official Source Governance</x:v>
      </x:c>
      <x:c r="I274" s="40" t="str">
        <x:v>AC-N-007</x:v>
      </x:c>
      <x:c r="J274" s="40" t="str">
        <x:v>Yes</x:v>
      </x:c>
      <x:c r="K274" s="40" t="str">
        <x:v>V1</x:v>
      </x:c>
      <x:c r="L274" s="40" t="str">
        <x:v>Widget test / Integration test</x:v>
      </x:c>
      <x:c r="M274" s="40"/>
      <x:c r="N274" s="40"/>
      <x:c r="O274" s="40" t="str">
        <x:v>VS-03, VS-04, VS-09</x:v>
      </x:c>
      <x:c r="P274" s="40" t="str">
        <x:v>Not Started</x:v>
      </x:c>
      <x:c r="Q274" s="40"/>
    </x:row>
    <x:row r="275">
      <x:c r="A275" s="40" t="str">
        <x:v>VS-13</x:v>
      </x:c>
      <x:c r="B275" s="40" t="n">
        <x:v>13</x:v>
      </x:c>
      <x:c r="C275" s="40" t="str">
        <x:v>Wave 3 — Pathways and Life Administration</x:v>
      </x:c>
      <x:c r="D275" s="40" t="str">
        <x:v>N. Education Planning</x:v>
      </x:c>
      <x:c r="E275" s="40" t="str">
        <x:v>FR-N-008</x:v>
      </x:c>
      <x:c r="F275" s="40" t="str">
        <x:v>be able to link Government Document Requirements.</x:v>
      </x:c>
      <x:c r="G275" s="40" t="str">
        <x:v>BR-N-004, BR-N-007, BR-N-009</x:v>
      </x:c>
      <x:c r="H275" s="40" t="str">
        <x:v>ADR-009 — Domain Ownership and Relationship Model; ADR-019 — Philippine Content Packs and Official Source Governance</x:v>
      </x:c>
      <x:c r="I275" s="40" t="str">
        <x:v>AC-N-008</x:v>
      </x:c>
      <x:c r="J275" s="40" t="str">
        <x:v>Yes</x:v>
      </x:c>
      <x:c r="K275" s="40" t="str">
        <x:v>V1</x:v>
      </x:c>
      <x:c r="L275" s="40" t="str">
        <x:v>Widget test</x:v>
      </x:c>
      <x:c r="M275" s="40"/>
      <x:c r="N275" s="40"/>
      <x:c r="O275" s="40" t="str">
        <x:v>VS-03, VS-04, VS-09</x:v>
      </x:c>
      <x:c r="P275" s="40" t="str">
        <x:v>Not Started</x:v>
      </x:c>
      <x:c r="Q275" s="40"/>
    </x:row>
    <x:row r="276">
      <x:c r="A276" s="40" t="str">
        <x:v>VS-13</x:v>
      </x:c>
      <x:c r="B276" s="40" t="n">
        <x:v>13</x:v>
      </x:c>
      <x:c r="C276" s="40" t="str">
        <x:v>Wave 3 — Pathways and Life Administration</x:v>
      </x:c>
      <x:c r="D276" s="40" t="str">
        <x:v>N. Education Planning</x:v>
      </x:c>
      <x:c r="E276" s="40" t="str">
        <x:v>FR-N-009</x:v>
      </x:c>
      <x:c r="F276" s="40" t="str">
        <x:v>Education applications shall have structured stages.</x:v>
      </x:c>
      <x:c r="G276" s="40" t="str">
        <x:v>BR-N-002, BR-N-010</x:v>
      </x:c>
      <x:c r="H276" s="40" t="str">
        <x:v>ADR-019 — Philippine Content Packs and Official Source Governance</x:v>
      </x:c>
      <x:c r="I276" s="40" t="str">
        <x:v>AC-N-009</x:v>
      </x:c>
      <x:c r="J276" s="40" t="str">
        <x:v>No</x:v>
      </x:c>
      <x:c r="K276" s="40" t="str">
        <x:v>V1</x:v>
      </x:c>
      <x:c r="L276" s="40" t="str">
        <x:v>Domain test</x:v>
      </x:c>
      <x:c r="M276" s="40" t="str">
        <x:v>OPD-3-010</x:v>
      </x:c>
      <x:c r="N276" s="40" t="str">
        <x:v>OPD-3-010: Education application stages: Considering, Preparing, Submitted, Admitted, Enrolled, Deferred, Rejected, Withdrawn, and Discontinued. Archive is separate; admission and enrollment remain distinct confirmed outcomes.</x:v>
      </x:c>
      <x:c r="O276" s="40" t="str">
        <x:v>VS-03, VS-04, VS-09</x:v>
      </x:c>
      <x:c r="P276" s="40" t="str">
        <x:v>Not Started</x:v>
      </x:c>
      <x:c r="Q276" s="40"/>
    </x:row>
    <x:row r="277">
      <x:c r="A277" s="40" t="str">
        <x:v>VS-13</x:v>
      </x:c>
      <x:c r="B277" s="40" t="n">
        <x:v>13</x:v>
      </x:c>
      <x:c r="C277" s="40" t="str">
        <x:v>Wave 3 — Pathways and Life Administration</x:v>
      </x:c>
      <x:c r="D277" s="40" t="str">
        <x:v>N. Education Planning</x:v>
      </x:c>
      <x:c r="E277" s="40" t="str">
        <x:v>FR-N-010</x:v>
      </x:c>
      <x:c r="F277" s="40" t="str">
        <x:v>Application submission shall require explicit confirmation.</x:v>
      </x:c>
      <x:c r="G277" s="40" t="str">
        <x:v>BR-N-003</x:v>
      </x:c>
      <x:c r="H277" s="40" t="str">
        <x:v>ADR-019 — Philippine Content Packs and Official Source Governance</x:v>
      </x:c>
      <x:c r="I277" s="40" t="str">
        <x:v>AC-N-010</x:v>
      </x:c>
      <x:c r="J277" s="40" t="str">
        <x:v>No</x:v>
      </x:c>
      <x:c r="K277" s="40" t="str">
        <x:v>V1</x:v>
      </x:c>
      <x:c r="L277" s="40" t="str">
        <x:v>Domain test</x:v>
      </x:c>
      <x:c r="M277" s="40"/>
      <x:c r="N277" s="40"/>
      <x:c r="O277" s="40" t="str">
        <x:v>VS-03, VS-04, VS-09</x:v>
      </x:c>
      <x:c r="P277" s="40" t="str">
        <x:v>Not Started</x:v>
      </x:c>
      <x:c r="Q277" s="40"/>
    </x:row>
    <x:row r="278">
      <x:c r="A278" s="40" t="str">
        <x:v>VS-13</x:v>
      </x:c>
      <x:c r="B278" s="40" t="n">
        <x:v>13</x:v>
      </x:c>
      <x:c r="C278" s="40" t="str">
        <x:v>Wave 3 — Pathways and Life Administration</x:v>
      </x:c>
      <x:c r="D278" s="40" t="str">
        <x:v>N. Education Planning</x:v>
      </x:c>
      <x:c r="E278" s="40" t="str">
        <x:v>FR-N-011</x:v>
      </x:c>
      <x:c r="F278" s="40" t="str">
        <x:v>Admission and enrollment shall remain separate outcomes.</x:v>
      </x:c>
      <x:c r="G278" s="40" t="str">
        <x:v>BR-N-003, BR-N-009</x:v>
      </x:c>
      <x:c r="H278" s="40" t="str">
        <x:v>ADR-011 — Event and Task Outcome Reporting; ADR-019 — Philippine Content Packs and Official Source Governance</x:v>
      </x:c>
      <x:c r="I278" s="40" t="str">
        <x:v>AC-N-011</x:v>
      </x:c>
      <x:c r="J278" s="40" t="str">
        <x:v>Yes</x:v>
      </x:c>
      <x:c r="K278" s="40" t="str">
        <x:v>V1</x:v>
      </x:c>
      <x:c r="L278" s="40" t="str">
        <x:v>Domain test</x:v>
      </x:c>
      <x:c r="M278" s="40"/>
      <x:c r="N278" s="40"/>
      <x:c r="O278" s="40" t="str">
        <x:v>VS-03, VS-04, VS-09</x:v>
      </x:c>
      <x:c r="P278" s="40" t="str">
        <x:v>Not Started</x:v>
      </x:c>
      <x:c r="Q278" s="40"/>
    </x:row>
    <x:row r="279">
      <x:c r="A279" s="40" t="str">
        <x:v>VS-13</x:v>
      </x:c>
      <x:c r="B279" s="40" t="n">
        <x:v>13</x:v>
      </x:c>
      <x:c r="C279" s="40" t="str">
        <x:v>Wave 3 — Pathways and Life Administration</x:v>
      </x:c>
      <x:c r="D279" s="40" t="str">
        <x:v>N. Education Planning</x:v>
      </x:c>
      <x:c r="E279" s="40" t="str">
        <x:v>FR-N-012</x:v>
      </x:c>
      <x:c r="F279" s="40" t="str">
        <x:v>be able to pause, discontinue, archive, and restore options.</x:v>
      </x:c>
      <x:c r="G279" s="40" t="str">
        <x:v>BR-N-001</x:v>
      </x:c>
      <x:c r="H279" s="40" t="str">
        <x:v>ADR-017 — Local Backup, Export, Restore, and Disaster Recovery; ADR-019 — Philippine Content Packs and Official Source Governance</x:v>
      </x:c>
      <x:c r="I279" s="40" t="str">
        <x:v>AC-N-012</x:v>
      </x:c>
      <x:c r="J279" s="40" t="str">
        <x:v>Yes</x:v>
      </x:c>
      <x:c r="K279" s="40" t="str">
        <x:v>V1</x:v>
      </x:c>
      <x:c r="L279" s="40" t="str">
        <x:v>Database test / Widget test</x:v>
      </x:c>
      <x:c r="M279" s="40"/>
      <x:c r="N279" s="40"/>
      <x:c r="O279" s="40" t="str">
        <x:v>VS-03, VS-04, VS-09</x:v>
      </x:c>
      <x:c r="P279" s="40" t="str">
        <x:v>Not Started</x:v>
      </x:c>
      <x:c r="Q279" s="40"/>
    </x:row>
    <x:row r="280">
      <x:c r="A280" s="40" t="str">
        <x:v>VS-13</x:v>
      </x:c>
      <x:c r="B280" s="40" t="n">
        <x:v>13</x:v>
      </x:c>
      <x:c r="C280" s="40" t="str">
        <x:v>Wave 3 — Pathways and Life Administration</x:v>
      </x:c>
      <x:c r="D280" s="40" t="str">
        <x:v>N. Education Planning</x:v>
      </x:c>
      <x:c r="E280" s="40" t="str">
        <x:v>FR-N-013</x:v>
      </x:c>
      <x:c r="F280" s="40" t="str">
        <x:v>Bundled content updates shall preserve user data.</x:v>
      </x:c>
      <x:c r="G280" s="40" t="str">
        <x:v>BR-N-001, BR-N-006</x:v>
      </x:c>
      <x:c r="H280" s="40" t="str">
        <x:v>ADR-019 — Philippine Content Packs and Official Source Governance</x:v>
      </x:c>
      <x:c r="I280" s="40" t="str">
        <x:v>AC-N-013</x:v>
      </x:c>
      <x:c r="J280" s="40" t="str">
        <x:v>Yes</x:v>
      </x:c>
      <x:c r="K280" s="40" t="str">
        <x:v>V1</x:v>
      </x:c>
      <x:c r="L280" s="40" t="str">
        <x:v>Domain test</x:v>
      </x:c>
      <x:c r="M280" s="40" t="str">
        <x:v>OPD-3-011</x:v>
      </x:c>
      <x:c r="N280" s="40" t="str">
        <x:v>OPD-3-011: Initial V1 bundled education entries: BYU-Pathway Worldwide, BYU-Hawaii, and My Plan (Tanay, Rizal), plus Custom Education Option. Degree-destination details remain content-driven and must carry official source and last-verified metadata.</x:v>
      </x:c>
      <x:c r="O280" s="40" t="str">
        <x:v>VS-03, VS-04, VS-09</x:v>
      </x:c>
      <x:c r="P280" s="40" t="str">
        <x:v>Not Started</x:v>
      </x:c>
      <x:c r="Q280" s="40"/>
    </x:row>
    <x:row r="281">
      <x:c r="A281" s="40" t="str">
        <x:v>VS-13</x:v>
      </x:c>
      <x:c r="B281" s="40" t="n">
        <x:v>13</x:v>
      </x:c>
      <x:c r="C281" s="40" t="str">
        <x:v>Wave 3 — Pathways and Life Administration</x:v>
      </x:c>
      <x:c r="D281" s="40" t="str">
        <x:v>N. Education Planning</x:v>
      </x:c>
      <x:c r="E281" s="40" t="str">
        <x:v>FR-N-014</x:v>
      </x:c>
      <x:c r="F281" s="40" t="str">
        <x:v>display stale or unverified information.</x:v>
      </x:c>
      <x:c r="G281" s="40" t="str">
        <x:v>BR-N-005</x:v>
      </x:c>
      <x:c r="H281" s="40" t="str">
        <x:v>ADR-019 — Philippine Content Packs and Official Source Governance</x:v>
      </x:c>
      <x:c r="I281" s="40" t="str">
        <x:v>AC-N-014</x:v>
      </x:c>
      <x:c r="J281" s="40" t="str">
        <x:v>No</x:v>
      </x:c>
      <x:c r="K281" s="40" t="str">
        <x:v>V1</x:v>
      </x:c>
      <x:c r="L281" s="40" t="str">
        <x:v>Widget test</x:v>
      </x:c>
      <x:c r="M281" s="40"/>
      <x:c r="N281" s="40"/>
      <x:c r="O281" s="40" t="str">
        <x:v>VS-03, VS-04, VS-09</x:v>
      </x:c>
      <x:c r="P281" s="40" t="str">
        <x:v>Not Started</x:v>
      </x:c>
      <x:c r="Q281" s="40"/>
    </x:row>
    <x:row r="282">
      <x:c r="A282" s="40" t="str">
        <x:v>VS-13</x:v>
      </x:c>
      <x:c r="B282" s="40" t="n">
        <x:v>13</x:v>
      </x:c>
      <x:c r="C282" s="40" t="str">
        <x:v>Wave 3 — Pathways and Life Administration</x:v>
      </x:c>
      <x:c r="D282" s="40" t="str">
        <x:v>N. Education Planning</x:v>
      </x:c>
      <x:c r="E282" s="40" t="str">
        <x:v>FR-N-015</x:v>
      </x:c>
      <x:c r="F282" s="40" t="str">
        <x:v>not infer outcomes from titles or schedules.</x:v>
      </x:c>
      <x:c r="G282" s="40" t="str">
        <x:v>BR-N-003</x:v>
      </x:c>
      <x:c r="H282" s="40" t="str">
        <x:v>ADR-011 — Event and Task Outcome Reporting; ADR-019 — Philippine Content Packs and Official Source Governance</x:v>
      </x:c>
      <x:c r="I282" s="40" t="str">
        <x:v>AC-N-015</x:v>
      </x:c>
      <x:c r="J282" s="40" t="str">
        <x:v>Yes</x:v>
      </x:c>
      <x:c r="K282" s="40" t="str">
        <x:v>V1</x:v>
      </x:c>
      <x:c r="L282" s="40" t="str">
        <x:v>Domain test</x:v>
      </x:c>
      <x:c r="M282" s="40"/>
      <x:c r="N282" s="40"/>
      <x:c r="O282" s="40" t="str">
        <x:v>VS-03, VS-04, VS-09</x:v>
      </x:c>
      <x:c r="P282" s="40" t="str">
        <x:v>Not Started</x:v>
      </x:c>
      <x:c r="Q282" s="40"/>
    </x:row>
    <x:row r="283">
      <x:c r="A283" s="40" t="str">
        <x:v>VS-13</x:v>
      </x:c>
      <x:c r="B283" s="40" t="n">
        <x:v>13</x:v>
      </x:c>
      <x:c r="C283" s="40" t="str">
        <x:v>Wave 3 — Pathways and Life Administration</x:v>
      </x:c>
      <x:c r="D283" s="40" t="str">
        <x:v>N. Education Planning</x:v>
      </x:c>
      <x:c r="E283" s="40" t="str">
        <x:v>FR-N-016</x:v>
      </x:c>
      <x:c r="F283" s="40" t="str">
        <x:v>retain requirement history.</x:v>
      </x:c>
      <x:c r="G283" s="40" t="str">
        <x:v>BR-N-001</x:v>
      </x:c>
      <x:c r="H283" s="40" t="str">
        <x:v>ADR-019 — Philippine Content Packs and Official Source Governance</x:v>
      </x:c>
      <x:c r="I283" s="40" t="str">
        <x:v>AC-N-016</x:v>
      </x:c>
      <x:c r="J283" s="40" t="str">
        <x:v>No</x:v>
      </x:c>
      <x:c r="K283" s="40" t="str">
        <x:v>V1</x:v>
      </x:c>
      <x:c r="L283" s="40" t="str">
        <x:v>Domain test</x:v>
      </x:c>
      <x:c r="M283" s="40"/>
      <x:c r="N283" s="40"/>
      <x:c r="O283" s="40" t="str">
        <x:v>VS-03, VS-04, VS-09</x:v>
      </x:c>
      <x:c r="P283" s="40" t="str">
        <x:v>Not Started</x:v>
      </x:c>
      <x:c r="Q283" s="40"/>
    </x:row>
    <x:row r="284">
      <x:c r="A284" s="40" t="str">
        <x:v>VS-13</x:v>
      </x:c>
      <x:c r="B284" s="40" t="n">
        <x:v>13</x:v>
      </x:c>
      <x:c r="C284" s="40" t="str">
        <x:v>Wave 3 — Pathways and Life Administration</x:v>
      </x:c>
      <x:c r="D284" s="40" t="str">
        <x:v>N. Education Planning</x:v>
      </x:c>
      <x:c r="E284" s="40" t="str">
        <x:v>FR-N-017</x:v>
      </x:c>
      <x:c r="F284" s="40" t="str">
        <x:v>support offline planning.</x:v>
      </x:c>
      <x:c r="G284" s="40" t="str">
        <x:v>BR-N-002, BR-N-010</x:v>
      </x:c>
      <x:c r="H284" s="40" t="str">
        <x:v>ADR-019 — Philippine Content Packs and Official Source Governance; ADR-006 — Local-First Operation with Background Synchronization</x:v>
      </x:c>
      <x:c r="I284" s="40" t="str">
        <x:v>AC-N-017</x:v>
      </x:c>
      <x:c r="J284" s="40" t="str">
        <x:v>Yes</x:v>
      </x:c>
      <x:c r="K284" s="40" t="str">
        <x:v>V1</x:v>
      </x:c>
      <x:c r="L284" s="40" t="str">
        <x:v>Domain test</x:v>
      </x:c>
      <x:c r="M284" s="40"/>
      <x:c r="N284" s="40"/>
      <x:c r="O284" s="40" t="str">
        <x:v>VS-03, VS-04, VS-09</x:v>
      </x:c>
      <x:c r="P284" s="40" t="str">
        <x:v>Not Started</x:v>
      </x:c>
      <x:c r="Q284" s="40"/>
    </x:row>
    <x:row r="285">
      <x:c r="A285" s="40" t="str">
        <x:v>VS-13</x:v>
      </x:c>
      <x:c r="B285" s="40" t="n">
        <x:v>13</x:v>
      </x:c>
      <x:c r="C285" s="40" t="str">
        <x:v>Wave 3 — Pathways and Life Administration</x:v>
      </x:c>
      <x:c r="D285" s="40" t="str">
        <x:v>N. Education Planning</x:v>
      </x:c>
      <x:c r="E285" s="40" t="str">
        <x:v>FR-N-018</x:v>
      </x:c>
      <x:c r="F285" s="40" t="str">
        <x:v>External resource failure shall not block local use.</x:v>
      </x:c>
      <x:c r="G285" s="40" t="str">
        <x:v>BR-N-001</x:v>
      </x:c>
      <x:c r="H285" s="40" t="str">
        <x:v>ADR-019 — Philippine Content Packs and Official Source Governance; ADR-023 — Testing, Observability, Diagnostics, and Quality Strategy</x:v>
      </x:c>
      <x:c r="I285" s="40" t="str">
        <x:v>AC-N-018</x:v>
      </x:c>
      <x:c r="J285" s="40" t="str">
        <x:v>Yes</x:v>
      </x:c>
      <x:c r="K285" s="40" t="str">
        <x:v>V1</x:v>
      </x:c>
      <x:c r="L285" s="40" t="str">
        <x:v>Integration test</x:v>
      </x:c>
      <x:c r="M285" s="40"/>
      <x:c r="N285" s="40"/>
      <x:c r="O285" s="40" t="str">
        <x:v>VS-03, VS-04, VS-09</x:v>
      </x:c>
      <x:c r="P285" s="40" t="str">
        <x:v>Not Started</x:v>
      </x:c>
      <x:c r="Q285" s="40"/>
    </x:row>
    <x:row r="286">
      <x:c r="A286" s="40" t="str">
        <x:v>VS-13</x:v>
      </x:c>
      <x:c r="B286" s="40" t="n">
        <x:v>13</x:v>
      </x:c>
      <x:c r="C286" s="40" t="str">
        <x:v>Wave 3 — Pathways and Life Administration</x:v>
      </x:c>
      <x:c r="D286" s="40" t="str">
        <x:v>N. Education Planning</x:v>
      </x:c>
      <x:c r="E286" s="40" t="str">
        <x:v>FR-N-019</x:v>
      </x:c>
      <x:c r="F286" s="40" t="str">
        <x:v>be able to create verification Tasks.</x:v>
      </x:c>
      <x:c r="G286" s="40" t="str">
        <x:v>BR-N-004</x:v>
      </x:c>
      <x:c r="H286" s="40" t="str">
        <x:v>ADR-019 — Philippine Content Packs and Official Source Governance</x:v>
      </x:c>
      <x:c r="I286" s="40" t="str">
        <x:v>AC-N-019</x:v>
      </x:c>
      <x:c r="J286" s="40" t="str">
        <x:v>No</x:v>
      </x:c>
      <x:c r="K286" s="40" t="str">
        <x:v>V1</x:v>
      </x:c>
      <x:c r="L286" s="40" t="str">
        <x:v>Widget test</x:v>
      </x:c>
      <x:c r="M286" s="40"/>
      <x:c r="N286" s="40"/>
      <x:c r="O286" s="40" t="str">
        <x:v>VS-03, VS-04, VS-09</x:v>
      </x:c>
      <x:c r="P286" s="40" t="str">
        <x:v>Not Started</x:v>
      </x:c>
      <x:c r="Q286" s="40"/>
    </x:row>
    <x:row r="287">
      <x:c r="A287" s="40" t="str">
        <x:v>VS-13</x:v>
      </x:c>
      <x:c r="B287" s="40" t="n">
        <x:v>13</x:v>
      </x:c>
      <x:c r="C287" s="40" t="str">
        <x:v>Wave 3 — Pathways and Life Administration</x:v>
      </x:c>
      <x:c r="D287" s="40" t="str">
        <x:v>N. Education Planning</x:v>
      </x:c>
      <x:c r="E287" s="40" t="str">
        <x:v>FR-N-020</x:v>
      </x:c>
      <x:c r="F287" s="40" t="str">
        <x:v>distinguish content guidance from confirmed user facts.</x:v>
      </x:c>
      <x:c r="G287" s="40" t="str">
        <x:v>BR-N-001, BR-N-006</x:v>
      </x:c>
      <x:c r="H287" s="40" t="str">
        <x:v>ADR-019 — Philippine Content Packs and Official Source Governance</x:v>
      </x:c>
      <x:c r="I287" s="40" t="str">
        <x:v>AC-N-020</x:v>
      </x:c>
      <x:c r="J287" s="40" t="str">
        <x:v>No</x:v>
      </x:c>
      <x:c r="K287" s="40" t="str">
        <x:v>V1</x:v>
      </x:c>
      <x:c r="L287" s="40" t="str">
        <x:v>Domain test</x:v>
      </x:c>
      <x:c r="M287" s="40"/>
      <x:c r="N287" s="40"/>
      <x:c r="O287" s="40" t="str">
        <x:v>VS-03, VS-04, VS-09</x:v>
      </x:c>
      <x:c r="P287" s="40" t="str">
        <x:v>Not Started</x:v>
      </x:c>
      <x:c r="Q287" s="40"/>
    </x:row>
    <x:row r="288">
      <x:c r="A288" s="40" t="str">
        <x:v>VS-14</x:v>
      </x:c>
      <x:c r="B288" s="40" t="n">
        <x:v>14</x:v>
      </x:c>
      <x:c r="C288" s="40" t="str">
        <x:v>Wave 3 — Pathways and Life Administration</x:v>
      </x:c>
      <x:c r="D288" s="40" t="str">
        <x:v>O. Government Document Requirements</x:v>
      </x:c>
      <x:c r="E288" s="40" t="str">
        <x:v>FR-O-001</x:v>
      </x:c>
      <x:c r="F288" s="40" t="str">
        <x:v>be able to activate bundled Government Document Requirements.</x:v>
      </x:c>
      <x:c r="G288" s="40" t="str">
        <x:v>BR-O-007, BR-O-010</x:v>
      </x:c>
      <x:c r="H288" s="40" t="str">
        <x:v>ADR-019 — Philippine Content Packs and Official Source Governance</x:v>
      </x:c>
      <x:c r="I288" s="40" t="str">
        <x:v>AC-O-001</x:v>
      </x:c>
      <x:c r="J288" s="40" t="str">
        <x:v>Yes</x:v>
      </x:c>
      <x:c r="K288" s="40" t="str">
        <x:v>V1</x:v>
      </x:c>
      <x:c r="L288" s="40" t="str">
        <x:v>Widget test</x:v>
      </x:c>
      <x:c r="M288" s="40" t="str">
        <x:v>OPD-3-013</x:v>
      </x:c>
      <x:c r="N288" s="40" t="str">
        <x:v>OPD-3-013: Initial V1 Philippines government-document templates: PSA Birth Certificate, PSA Marriage Certificate, NBI Clearance, SSS registration/number, PhilHealth registration/number, Pag-IBIG MID registration, BIR TIN registration, Philippine Passport, and Driver's License, plus Custom Requirement.</x:v>
      </x:c>
      <x:c r="O288" s="40" t="str">
        <x:v>VS-02, VS-03, VS-04, VS-09</x:v>
      </x:c>
      <x:c r="P288" s="40" t="str">
        <x:v>Not Started</x:v>
      </x:c>
      <x:c r="Q288" s="40"/>
    </x:row>
    <x:row r="289">
      <x:c r="A289" s="40" t="str">
        <x:v>VS-14</x:v>
      </x:c>
      <x:c r="B289" s="40" t="n">
        <x:v>14</x:v>
      </x:c>
      <x:c r="C289" s="40" t="str">
        <x:v>Wave 3 — Pathways and Life Administration</x:v>
      </x:c>
      <x:c r="D289" s="40" t="str">
        <x:v>O. Government Document Requirements</x:v>
      </x:c>
      <x:c r="E289" s="40" t="str">
        <x:v>FR-O-002</x:v>
      </x:c>
      <x:c r="F289" s="40" t="str">
        <x:v>be able to create custom requirements.</x:v>
      </x:c>
      <x:c r="G289" s="40" t="str">
        <x:v>BR-O-001</x:v>
      </x:c>
      <x:c r="H289" s="40" t="str">
        <x:v>ADR-019 — Philippine Content Packs and Official Source Governance</x:v>
      </x:c>
      <x:c r="I289" s="40" t="str">
        <x:v>AC-O-002</x:v>
      </x:c>
      <x:c r="J289" s="40" t="str">
        <x:v>Yes</x:v>
      </x:c>
      <x:c r="K289" s="40" t="str">
        <x:v>V1</x:v>
      </x:c>
      <x:c r="L289" s="40" t="str">
        <x:v>Widget test</x:v>
      </x:c>
      <x:c r="M289" s="40"/>
      <x:c r="N289" s="40"/>
      <x:c r="O289" s="40" t="str">
        <x:v>VS-02, VS-03, VS-04, VS-09</x:v>
      </x:c>
      <x:c r="P289" s="40" t="str">
        <x:v>Not Started</x:v>
      </x:c>
      <x:c r="Q289" s="40"/>
    </x:row>
    <x:row r="290">
      <x:c r="A290" s="40" t="str">
        <x:v>VS-14</x:v>
      </x:c>
      <x:c r="B290" s="40" t="n">
        <x:v>14</x:v>
      </x:c>
      <x:c r="C290" s="40" t="str">
        <x:v>Wave 3 — Pathways and Life Administration</x:v>
      </x:c>
      <x:c r="D290" s="40" t="str">
        <x:v>O. Government Document Requirements</x:v>
      </x:c>
      <x:c r="E290" s="40" t="str">
        <x:v>FR-O-003</x:v>
      </x:c>
      <x:c r="F290" s="40" t="str">
        <x:v>Requirements shall identify issuing authority and jurisdiction where available.</x:v>
      </x:c>
      <x:c r="G290" s="40" t="str">
        <x:v>BR-O-005</x:v>
      </x:c>
      <x:c r="H290" s="40" t="str">
        <x:v>ADR-019 — Philippine Content Packs and Official Source Governance</x:v>
      </x:c>
      <x:c r="I290" s="40" t="str">
        <x:v>AC-O-003</x:v>
      </x:c>
      <x:c r="J290" s="40" t="str">
        <x:v>Yes</x:v>
      </x:c>
      <x:c r="K290" s="40" t="str">
        <x:v>V1</x:v>
      </x:c>
      <x:c r="L290" s="40" t="str">
        <x:v>Domain test</x:v>
      </x:c>
      <x:c r="M290" s="40"/>
      <x:c r="N290" s="40"/>
      <x:c r="O290" s="40" t="str">
        <x:v>VS-02, VS-03, VS-04, VS-09</x:v>
      </x:c>
      <x:c r="P290" s="40" t="str">
        <x:v>Not Started</x:v>
      </x:c>
      <x:c r="Q290" s="40"/>
    </x:row>
    <x:row r="291">
      <x:c r="A291" s="40" t="str">
        <x:v>VS-14</x:v>
      </x:c>
      <x:c r="B291" s="40" t="n">
        <x:v>14</x:v>
      </x:c>
      <x:c r="C291" s="40" t="str">
        <x:v>Wave 3 — Pathways and Life Administration</x:v>
      </x:c>
      <x:c r="D291" s="40" t="str">
        <x:v>O. Government Document Requirements</x:v>
      </x:c>
      <x:c r="E291" s="40" t="str">
        <x:v>FR-O-004</x:v>
      </x:c>
      <x:c r="F291" s="40" t="str">
        <x:v>Requirement guidance shall support source and last-verified date.</x:v>
      </x:c>
      <x:c r="G291" s="40" t="str">
        <x:v>BR-O-001, BR-O-005, BR-O-008</x:v>
      </x:c>
      <x:c r="H291" s="40" t="str">
        <x:v>ADR-019 — Philippine Content Packs and Official Source Governance</x:v>
      </x:c>
      <x:c r="I291" s="40" t="str">
        <x:v>AC-O-004</x:v>
      </x:c>
      <x:c r="J291" s="40" t="str">
        <x:v>Yes</x:v>
      </x:c>
      <x:c r="K291" s="40" t="str">
        <x:v>V1</x:v>
      </x:c>
      <x:c r="L291" s="40" t="str">
        <x:v>Manual review</x:v>
      </x:c>
      <x:c r="M291" s="40" t="str">
        <x:v>OPD-3-016</x:v>
      </x:c>
      <x:c r="N291" s="40" t="str">
        <x:v>OPD-3-016: Explain that time-sensitive procedures should be verified officially.</x:v>
      </x:c>
      <x:c r="O291" s="40" t="str">
        <x:v>VS-02, VS-03, VS-04, VS-09</x:v>
      </x:c>
      <x:c r="P291" s="40" t="str">
        <x:v>Not Started</x:v>
      </x:c>
      <x:c r="Q291" s="40"/>
    </x:row>
    <x:row r="292">
      <x:c r="A292" s="40" t="str">
        <x:v>VS-14</x:v>
      </x:c>
      <x:c r="B292" s="40" t="n">
        <x:v>14</x:v>
      </x:c>
      <x:c r="C292" s="40" t="str">
        <x:v>Wave 3 — Pathways and Life Administration</x:v>
      </x:c>
      <x:c r="D292" s="40" t="str">
        <x:v>O. Government Document Requirements</x:v>
      </x:c>
      <x:c r="E292" s="40" t="str">
        <x:v>FR-O-005</x:v>
      </x:c>
      <x:c r="F292" s="40" t="str">
        <x:v>identify verified, stale, and unverified content.</x:v>
      </x:c>
      <x:c r="G292" s="40" t="str">
        <x:v>BR-O-001, BR-O-006</x:v>
      </x:c>
      <x:c r="H292" s="40" t="str">
        <x:v>ADR-019 — Philippine Content Packs and Official Source Governance</x:v>
      </x:c>
      <x:c r="I292" s="40" t="str">
        <x:v>AC-O-005</x:v>
      </x:c>
      <x:c r="J292" s="40" t="str">
        <x:v>Yes</x:v>
      </x:c>
      <x:c r="K292" s="40" t="str">
        <x:v>V1</x:v>
      </x:c>
      <x:c r="L292" s="40" t="str">
        <x:v>Domain test</x:v>
      </x:c>
      <x:c r="M292" s="40" t="str">
        <x:v>OPD-3-015, OPD-3-016</x:v>
      </x:c>
      <x:c r="N292" s="40" t="str">
        <x:v>OPD-3-015: Use a user-selected date with optional verified-content suggestion. | OPD-3-016: Explain that time-sensitive procedures should be verified officially.</x:v>
      </x:c>
      <x:c r="O292" s="40" t="str">
        <x:v>VS-02, VS-03, VS-04, VS-09</x:v>
      </x:c>
      <x:c r="P292" s="40" t="str">
        <x:v>Not Started</x:v>
      </x:c>
      <x:c r="Q292" s="40"/>
    </x:row>
    <x:row r="293">
      <x:c r="A293" s="40" t="str">
        <x:v>VS-14</x:v>
      </x:c>
      <x:c r="B293" s="40" t="n">
        <x:v>14</x:v>
      </x:c>
      <x:c r="C293" s="40" t="str">
        <x:v>Wave 3 — Pathways and Life Administration</x:v>
      </x:c>
      <x:c r="D293" s="40" t="str">
        <x:v>O. Government Document Requirements</x:v>
      </x:c>
      <x:c r="E293" s="40" t="str">
        <x:v>FR-O-006</x:v>
      </x:c>
      <x:c r="F293" s="40" t="str">
        <x:v>be able to create Tasks and Calendar Events.</x:v>
      </x:c>
      <x:c r="G293" s="40" t="str">
        <x:v>BR-O-001</x:v>
      </x:c>
      <x:c r="H293" s="40" t="str">
        <x:v>ADR-004 — Separation of Tasks and Calendar Events; ADR-019 — Philippine Content Packs and Official Source Governance</x:v>
      </x:c>
      <x:c r="I293" s="40" t="str">
        <x:v>AC-O-006</x:v>
      </x:c>
      <x:c r="J293" s="40" t="str">
        <x:v>Yes</x:v>
      </x:c>
      <x:c r="K293" s="40" t="str">
        <x:v>V1</x:v>
      </x:c>
      <x:c r="L293" s="40" t="str">
        <x:v>Widget test / Integration test</x:v>
      </x:c>
      <x:c r="M293" s="40"/>
      <x:c r="N293" s="40"/>
      <x:c r="O293" s="40" t="str">
        <x:v>VS-02, VS-03, VS-04, VS-09</x:v>
      </x:c>
      <x:c r="P293" s="40" t="str">
        <x:v>Not Started</x:v>
      </x:c>
      <x:c r="Q293" s="40"/>
    </x:row>
    <x:row r="294">
      <x:c r="A294" s="40" t="str">
        <x:v>VS-14</x:v>
      </x:c>
      <x:c r="B294" s="40" t="n">
        <x:v>14</x:v>
      </x:c>
      <x:c r="C294" s="40" t="str">
        <x:v>Wave 3 — Pathways and Life Administration</x:v>
      </x:c>
      <x:c r="D294" s="40" t="str">
        <x:v>O. Government Document Requirements</x:v>
      </x:c>
      <x:c r="E294" s="40" t="str">
        <x:v>FR-O-007</x:v>
      </x:c>
      <x:c r="F294" s="40" t="str">
        <x:v>Appointment scheduling shall remain separate from submission.</x:v>
      </x:c>
      <x:c r="G294" s="40" t="str">
        <x:v>BR-O-002</x:v>
      </x:c>
      <x:c r="H294" s="40" t="str">
        <x:v>ADR-019 — Philippine Content Packs and Official Source Governance</x:v>
      </x:c>
      <x:c r="I294" s="40" t="str">
        <x:v>AC-O-007</x:v>
      </x:c>
      <x:c r="J294" s="40" t="str">
        <x:v>Yes</x:v>
      </x:c>
      <x:c r="K294" s="40" t="str">
        <x:v>V1</x:v>
      </x:c>
      <x:c r="L294" s="40" t="str">
        <x:v>Domain test</x:v>
      </x:c>
      <x:c r="M294" s="40"/>
      <x:c r="N294" s="40"/>
      <x:c r="O294" s="40" t="str">
        <x:v>VS-02, VS-03, VS-04, VS-09</x:v>
      </x:c>
      <x:c r="P294" s="40" t="str">
        <x:v>Not Started</x:v>
      </x:c>
      <x:c r="Q294" s="40"/>
    </x:row>
    <x:row r="295">
      <x:c r="A295" s="40" t="str">
        <x:v>VS-14</x:v>
      </x:c>
      <x:c r="B295" s="40" t="n">
        <x:v>14</x:v>
      </x:c>
      <x:c r="C295" s="40" t="str">
        <x:v>Wave 3 — Pathways and Life Administration</x:v>
      </x:c>
      <x:c r="D295" s="40" t="str">
        <x:v>O. Government Document Requirements</x:v>
      </x:c>
      <x:c r="E295" s="40" t="str">
        <x:v>FR-O-008</x:v>
      </x:c>
      <x:c r="F295" s="40" t="str">
        <x:v>be able to confirm application submission.</x:v>
      </x:c>
      <x:c r="G295" s="40" t="str">
        <x:v>BR-O-001</x:v>
      </x:c>
      <x:c r="H295" s="40" t="str">
        <x:v>ADR-019 — Philippine Content Packs and Official Source Governance</x:v>
      </x:c>
      <x:c r="I295" s="40" t="str">
        <x:v>AC-O-008</x:v>
      </x:c>
      <x:c r="J295" s="40" t="str">
        <x:v>Yes</x:v>
      </x:c>
      <x:c r="K295" s="40" t="str">
        <x:v>V1</x:v>
      </x:c>
      <x:c r="L295" s="40" t="str">
        <x:v>Widget test</x:v>
      </x:c>
      <x:c r="M295" s="40"/>
      <x:c r="N295" s="40"/>
      <x:c r="O295" s="40" t="str">
        <x:v>VS-02, VS-03, VS-04, VS-09</x:v>
      </x:c>
      <x:c r="P295" s="40" t="str">
        <x:v>Not Started</x:v>
      </x:c>
      <x:c r="Q295" s="40"/>
    </x:row>
    <x:row r="296">
      <x:c r="A296" s="40" t="str">
        <x:v>VS-14</x:v>
      </x:c>
      <x:c r="B296" s="40" t="n">
        <x:v>14</x:v>
      </x:c>
      <x:c r="C296" s="40" t="str">
        <x:v>Wave 3 — Pathways and Life Administration</x:v>
      </x:c>
      <x:c r="D296" s="40" t="str">
        <x:v>O. Government Document Requirements</x:v>
      </x:c>
      <x:c r="E296" s="40" t="str">
        <x:v>FR-O-009</x:v>
      </x:c>
      <x:c r="F296" s="40" t="str">
        <x:v>be able to record processing or action-needed outcomes.</x:v>
      </x:c>
      <x:c r="G296" s="40" t="str">
        <x:v>BR-O-001</x:v>
      </x:c>
      <x:c r="H296" s="40" t="str">
        <x:v>ADR-011 — Event and Task Outcome Reporting; ADR-019 — Philippine Content Packs and Official Source Governance</x:v>
      </x:c>
      <x:c r="I296" s="40" t="str">
        <x:v>AC-O-009</x:v>
      </x:c>
      <x:c r="J296" s="40" t="str">
        <x:v>No</x:v>
      </x:c>
      <x:c r="K296" s="40" t="str">
        <x:v>V1</x:v>
      </x:c>
      <x:c r="L296" s="40" t="str">
        <x:v>Domain test / Widget test</x:v>
      </x:c>
      <x:c r="M296" s="40"/>
      <x:c r="N296" s="40"/>
      <x:c r="O296" s="40" t="str">
        <x:v>VS-02, VS-03, VS-04, VS-09</x:v>
      </x:c>
      <x:c r="P296" s="40" t="str">
        <x:v>Not Started</x:v>
      </x:c>
      <x:c r="Q296" s="40"/>
    </x:row>
    <x:row r="297">
      <x:c r="A297" s="40" t="str">
        <x:v>VS-14</x:v>
      </x:c>
      <x:c r="B297" s="40" t="n">
        <x:v>14</x:v>
      </x:c>
      <x:c r="C297" s="40" t="str">
        <x:v>Wave 3 — Pathways and Life Administration</x:v>
      </x:c>
      <x:c r="D297" s="40" t="str">
        <x:v>O. Government Document Requirements</x:v>
      </x:c>
      <x:c r="E297" s="40" t="str">
        <x:v>FR-O-010</x:v>
      </x:c>
      <x:c r="F297" s="40" t="str">
        <x:v>be able to confirm a document was obtained.</x:v>
      </x:c>
      <x:c r="G297" s="40" t="str">
        <x:v>BR-O-003, BR-O-007, BR-O-010</x:v>
      </x:c>
      <x:c r="H297" s="40" t="str">
        <x:v>ADR-019 — Philippine Content Packs and Official Source Governance</x:v>
      </x:c>
      <x:c r="I297" s="40" t="str">
        <x:v>AC-O-010</x:v>
      </x:c>
      <x:c r="J297" s="40" t="str">
        <x:v>No</x:v>
      </x:c>
      <x:c r="K297" s="40" t="str">
        <x:v>V1</x:v>
      </x:c>
      <x:c r="L297" s="40" t="str">
        <x:v>Widget test</x:v>
      </x:c>
      <x:c r="M297" s="40"/>
      <x:c r="N297" s="40"/>
      <x:c r="O297" s="40" t="str">
        <x:v>VS-02, VS-03, VS-04, VS-09</x:v>
      </x:c>
      <x:c r="P297" s="40" t="str">
        <x:v>Not Started</x:v>
      </x:c>
      <x:c r="Q297" s="40"/>
    </x:row>
    <x:row r="298">
      <x:c r="A298" s="40" t="str">
        <x:v>VS-14</x:v>
      </x:c>
      <x:c r="B298" s="40" t="n">
        <x:v>14</x:v>
      </x:c>
      <x:c r="C298" s="40" t="str">
        <x:v>Wave 3 — Pathways and Life Administration</x:v>
      </x:c>
      <x:c r="D298" s="40" t="str">
        <x:v>O. Government Document Requirements</x:v>
      </x:c>
      <x:c r="E298" s="40" t="str">
        <x:v>FR-O-011</x:v>
      </x:c>
      <x:c r="F298" s="40" t="str">
        <x:v>Obtained records shall support optional expiration or renewal dates.</x:v>
      </x:c>
      <x:c r="G298" s="40" t="str">
        <x:v>BR-O-003, BR-O-008, BR-O-009</x:v>
      </x:c>
      <x:c r="H298" s="40" t="str">
        <x:v>ADR-019 — Philippine Content Packs and Official Source Governance</x:v>
      </x:c>
      <x:c r="I298" s="40" t="str">
        <x:v>AC-O-011</x:v>
      </x:c>
      <x:c r="J298" s="40" t="str">
        <x:v>Yes</x:v>
      </x:c>
      <x:c r="K298" s="40" t="str">
        <x:v>V1</x:v>
      </x:c>
      <x:c r="L298" s="40" t="str">
        <x:v>Domain test</x:v>
      </x:c>
      <x:c r="M298" s="40" t="str">
        <x:v>OPD-3-015</x:v>
      </x:c>
      <x:c r="N298" s="40" t="str">
        <x:v>OPD-3-015: Use a user-selected date with optional verified-content suggestion.</x:v>
      </x:c>
      <x:c r="O298" s="40" t="str">
        <x:v>VS-02, VS-03, VS-04, VS-09</x:v>
      </x:c>
      <x:c r="P298" s="40" t="str">
        <x:v>Not Started</x:v>
      </x:c>
      <x:c r="Q298" s="40"/>
    </x:row>
    <x:row r="299">
      <x:c r="A299" s="40" t="str">
        <x:v>VS-14</x:v>
      </x:c>
      <x:c r="B299" s="40" t="n">
        <x:v>14</x:v>
      </x:c>
      <x:c r="C299" s="40" t="str">
        <x:v>Wave 3 — Pathways and Life Administration</x:v>
      </x:c>
      <x:c r="D299" s="40" t="str">
        <x:v>O. Government Document Requirements</x:v>
      </x:c>
      <x:c r="E299" s="40" t="str">
        <x:v>FR-O-012</x:v>
      </x:c>
      <x:c r="F299" s="40" t="str">
        <x:v>derive Renewal Due attention from explicit dates.</x:v>
      </x:c>
      <x:c r="G299" s="40" t="str">
        <x:v>BR-O-008, BR-O-009</x:v>
      </x:c>
      <x:c r="H299" s="40" t="str">
        <x:v>ADR-019 — Philippine Content Packs and Official Source Governance</x:v>
      </x:c>
      <x:c r="I299" s="40" t="str">
        <x:v>AC-O-012</x:v>
      </x:c>
      <x:c r="J299" s="40" t="str">
        <x:v>No</x:v>
      </x:c>
      <x:c r="K299" s="40" t="str">
        <x:v>V1</x:v>
      </x:c>
      <x:c r="L299" s="40" t="str">
        <x:v>Domain test</x:v>
      </x:c>
      <x:c r="M299" s="40"/>
      <x:c r="N299" s="40"/>
      <x:c r="O299" s="40" t="str">
        <x:v>VS-02, VS-03, VS-04, VS-09</x:v>
      </x:c>
      <x:c r="P299" s="40" t="str">
        <x:v>Not Started</x:v>
      </x:c>
      <x:c r="Q299" s="40"/>
    </x:row>
    <x:row r="300">
      <x:c r="A300" s="40" t="str">
        <x:v>VS-14</x:v>
      </x:c>
      <x:c r="B300" s="40" t="n">
        <x:v>14</x:v>
      </x:c>
      <x:c r="C300" s="40" t="str">
        <x:v>Wave 3 — Pathways and Life Administration</x:v>
      </x:c>
      <x:c r="D300" s="40" t="str">
        <x:v>O. Government Document Requirements</x:v>
      </x:c>
      <x:c r="E300" s="40" t="str">
        <x:v>FR-O-013</x:v>
      </x:c>
      <x:c r="F300" s="40" t="str">
        <x:v>be able to store an optional masked reference.</x:v>
      </x:c>
      <x:c r="G300" s="40" t="str">
        <x:v>BR-O-001</x:v>
      </x:c>
      <x:c r="H300" s="40" t="str">
        <x:v>ADR-019 — Philippine Content Packs and Official Source Governance</x:v>
      </x:c>
      <x:c r="I300" s="40" t="str">
        <x:v>AC-O-013</x:v>
      </x:c>
      <x:c r="J300" s="40" t="str">
        <x:v>Yes</x:v>
      </x:c>
      <x:c r="K300" s="40" t="str">
        <x:v>V1</x:v>
      </x:c>
      <x:c r="L300" s="40" t="str">
        <x:v>Widget test</x:v>
      </x:c>
      <x:c r="M300" s="40" t="str">
        <x:v>OPD-3-014</x:v>
      </x:c>
      <x:c r="N300" s="40" t="str">
        <x:v>OPD-3-014: Use masked references only and no full numbers.</x:v>
      </x:c>
      <x:c r="O300" s="40" t="str">
        <x:v>VS-02, VS-03, VS-04, VS-09</x:v>
      </x:c>
      <x:c r="P300" s="40" t="str">
        <x:v>Not Started</x:v>
      </x:c>
      <x:c r="Q300" s="40"/>
    </x:row>
    <x:row r="301">
      <x:c r="A301" s="40" t="str">
        <x:v>VS-14</x:v>
      </x:c>
      <x:c r="B301" s="40" t="n">
        <x:v>14</x:v>
      </x:c>
      <x:c r="C301" s="40" t="str">
        <x:v>Wave 3 — Pathways and Life Administration</x:v>
      </x:c>
      <x:c r="D301" s="40" t="str">
        <x:v>O. Government Document Requirements</x:v>
      </x:c>
      <x:c r="E301" s="40" t="str">
        <x:v>FR-O-014</x:v>
      </x:c>
      <x:c r="F301" s="40" t="str">
        <x:v>Full document numbers shall not be required.</x:v>
      </x:c>
      <x:c r="G301" s="40" t="str">
        <x:v>BR-O-007, BR-O-010</x:v>
      </x:c>
      <x:c r="H301" s="40" t="str">
        <x:v>ADR-019 — Philippine Content Packs and Official Source Governance</x:v>
      </x:c>
      <x:c r="I301" s="40" t="str">
        <x:v>AC-O-014</x:v>
      </x:c>
      <x:c r="J301" s="40" t="str">
        <x:v>Yes</x:v>
      </x:c>
      <x:c r="K301" s="40" t="str">
        <x:v>V1</x:v>
      </x:c>
      <x:c r="L301" s="40" t="str">
        <x:v>Domain test</x:v>
      </x:c>
      <x:c r="M301" s="40" t="str">
        <x:v>OPD-3-014</x:v>
      </x:c>
      <x:c r="N301" s="40" t="str">
        <x:v>OPD-3-014: Use masked references only and no full numbers.</x:v>
      </x:c>
      <x:c r="O301" s="40" t="str">
        <x:v>VS-02, VS-03, VS-04, VS-09</x:v>
      </x:c>
      <x:c r="P301" s="40" t="str">
        <x:v>Not Started</x:v>
      </x:c>
      <x:c r="Q301" s="40"/>
    </x:row>
    <x:row r="302">
      <x:c r="A302" s="40" t="str">
        <x:v>VS-14</x:v>
      </x:c>
      <x:c r="B302" s="40" t="n">
        <x:v>14</x:v>
      </x:c>
      <x:c r="C302" s="40" t="str">
        <x:v>Wave 3 — Pathways and Life Administration</x:v>
      </x:c>
      <x:c r="D302" s="40" t="str">
        <x:v>O. Government Document Requirements</x:v>
      </x:c>
      <x:c r="E302" s="40" t="str">
        <x:v>FR-O-015</x:v>
      </x:c>
      <x:c r="F302" s="40" t="str">
        <x:v>Document images shall not be required or stored in V1.</x:v>
      </x:c>
      <x:c r="G302" s="40" t="str">
        <x:v>BR-O-007, BR-O-010</x:v>
      </x:c>
      <x:c r="H302" s="40" t="str">
        <x:v>ADR-019 — Philippine Content Packs and Official Source Governance</x:v>
      </x:c>
      <x:c r="I302" s="40" t="str">
        <x:v>AC-O-015</x:v>
      </x:c>
      <x:c r="J302" s="40" t="str">
        <x:v>Yes</x:v>
      </x:c>
      <x:c r="K302" s="40" t="str">
        <x:v>V1</x:v>
      </x:c>
      <x:c r="L302" s="40" t="str">
        <x:v>Domain test</x:v>
      </x:c>
      <x:c r="M302" s="40"/>
      <x:c r="N302" s="40"/>
      <x:c r="O302" s="40" t="str">
        <x:v>VS-02, VS-03, VS-04, VS-09</x:v>
      </x:c>
      <x:c r="P302" s="40" t="str">
        <x:v>Not Started</x:v>
      </x:c>
      <x:c r="Q302" s="40"/>
    </x:row>
    <x:row r="303">
      <x:c r="A303" s="40" t="str">
        <x:v>VS-14</x:v>
      </x:c>
      <x:c r="B303" s="40" t="n">
        <x:v>14</x:v>
      </x:c>
      <x:c r="C303" s="40" t="str">
        <x:v>Wave 3 — Pathways and Life Administration</x:v>
      </x:c>
      <x:c r="D303" s="40" t="str">
        <x:v>O. Government Document Requirements</x:v>
      </x:c>
      <x:c r="E303" s="40" t="str">
        <x:v>FR-O-016</x:v>
      </x:c>
      <x:c r="F303" s="40" t="str">
        <x:v>Content updates shall preserve user state and history.</x:v>
      </x:c>
      <x:c r="G303" s="40" t="str">
        <x:v>BR-O-001, BR-O-006, BR-O-009</x:v>
      </x:c>
      <x:c r="H303" s="40" t="str">
        <x:v>ADR-019 — Philippine Content Packs and Official Source Governance</x:v>
      </x:c>
      <x:c r="I303" s="40" t="str">
        <x:v>AC-O-016</x:v>
      </x:c>
      <x:c r="J303" s="40" t="str">
        <x:v>Yes</x:v>
      </x:c>
      <x:c r="K303" s="40" t="str">
        <x:v>V1</x:v>
      </x:c>
      <x:c r="L303" s="40" t="str">
        <x:v>Domain test</x:v>
      </x:c>
      <x:c r="M303" s="40"/>
      <x:c r="N303" s="40"/>
      <x:c r="O303" s="40" t="str">
        <x:v>VS-02, VS-03, VS-04, VS-09</x:v>
      </x:c>
      <x:c r="P303" s="40" t="str">
        <x:v>Not Started</x:v>
      </x:c>
      <x:c r="Q303" s="40"/>
    </x:row>
    <x:row r="304">
      <x:c r="A304" s="40" t="str">
        <x:v>VS-14</x:v>
      </x:c>
      <x:c r="B304" s="40" t="n">
        <x:v>14</x:v>
      </x:c>
      <x:c r="C304" s="40" t="str">
        <x:v>Wave 3 — Pathways and Life Administration</x:v>
      </x:c>
      <x:c r="D304" s="40" t="str">
        <x:v>O. Government Document Requirements</x:v>
      </x:c>
      <x:c r="E304" s="40" t="str">
        <x:v>FR-O-017</x:v>
      </x:c>
      <x:c r="F304" s="40" t="str">
        <x:v>provide content version context.</x:v>
      </x:c>
      <x:c r="G304" s="40" t="str">
        <x:v>BR-O-001, BR-O-006</x:v>
      </x:c>
      <x:c r="H304" s="40" t="str">
        <x:v>ADR-019 — Philippine Content Packs and Official Source Governance</x:v>
      </x:c>
      <x:c r="I304" s="40" t="str">
        <x:v>AC-O-017</x:v>
      </x:c>
      <x:c r="J304" s="40" t="str">
        <x:v>No</x:v>
      </x:c>
      <x:c r="K304" s="40" t="str">
        <x:v>V1</x:v>
      </x:c>
      <x:c r="L304" s="40" t="str">
        <x:v>Domain test</x:v>
      </x:c>
      <x:c r="M304" s="40"/>
      <x:c r="N304" s="40"/>
      <x:c r="O304" s="40" t="str">
        <x:v>VS-02, VS-03, VS-04, VS-09</x:v>
      </x:c>
      <x:c r="P304" s="40" t="str">
        <x:v>Not Started</x:v>
      </x:c>
      <x:c r="Q304" s="40"/>
    </x:row>
    <x:row r="305">
      <x:c r="A305" s="40" t="str">
        <x:v>VS-14</x:v>
      </x:c>
      <x:c r="B305" s="40" t="n">
        <x:v>14</x:v>
      </x:c>
      <x:c r="C305" s="40" t="str">
        <x:v>Wave 3 — Pathways and Life Administration</x:v>
      </x:c>
      <x:c r="D305" s="40" t="str">
        <x:v>O. Government Document Requirements</x:v>
      </x:c>
      <x:c r="E305" s="40" t="str">
        <x:v>FR-O-018</x:v>
      </x:c>
      <x:c r="F305" s="40" t="str">
        <x:v>be able to archive and restore requirements.</x:v>
      </x:c>
      <x:c r="G305" s="40" t="str">
        <x:v>BR-O-001</x:v>
      </x:c>
      <x:c r="H305" s="40" t="str">
        <x:v>ADR-017 — Local Backup, Export, Restore, and Disaster Recovery; ADR-019 — Philippine Content Packs and Official Source Governance</x:v>
      </x:c>
      <x:c r="I305" s="40" t="str">
        <x:v>AC-O-018</x:v>
      </x:c>
      <x:c r="J305" s="40" t="str">
        <x:v>Yes</x:v>
      </x:c>
      <x:c r="K305" s="40" t="str">
        <x:v>V1</x:v>
      </x:c>
      <x:c r="L305" s="40" t="str">
        <x:v>Database test / Widget test</x:v>
      </x:c>
      <x:c r="M305" s="40"/>
      <x:c r="N305" s="40"/>
      <x:c r="O305" s="40" t="str">
        <x:v>VS-02, VS-03, VS-04, VS-09</x:v>
      </x:c>
      <x:c r="P305" s="40" t="str">
        <x:v>Not Started</x:v>
      </x:c>
      <x:c r="Q305" s="40"/>
    </x:row>
    <x:row r="306">
      <x:c r="A306" s="40" t="str">
        <x:v>VS-14</x:v>
      </x:c>
      <x:c r="B306" s="40" t="n">
        <x:v>14</x:v>
      </x:c>
      <x:c r="C306" s="40" t="str">
        <x:v>Wave 3 — Pathways and Life Administration</x:v>
      </x:c>
      <x:c r="D306" s="40" t="str">
        <x:v>O. Government Document Requirements</x:v>
      </x:c>
      <x:c r="E306" s="40" t="str">
        <x:v>FR-O-019</x:v>
      </x:c>
      <x:c r="F306" s="40" t="str">
        <x:v>The feature shall operate offline.</x:v>
      </x:c>
      <x:c r="G306" s="40" t="str">
        <x:v>BR-O-010</x:v>
      </x:c>
      <x:c r="H306" s="40" t="str">
        <x:v>ADR-019 — Philippine Content Packs and Official Source Governance; ADR-006 — Local-First Operation with Background Synchronization</x:v>
      </x:c>
      <x:c r="I306" s="40" t="str">
        <x:v>AC-O-019</x:v>
      </x:c>
      <x:c r="J306" s="40" t="str">
        <x:v>Yes</x:v>
      </x:c>
      <x:c r="K306" s="40" t="str">
        <x:v>V1</x:v>
      </x:c>
      <x:c r="L306" s="40" t="str">
        <x:v>Domain test</x:v>
      </x:c>
      <x:c r="M306" s="40"/>
      <x:c r="N306" s="40"/>
      <x:c r="O306" s="40" t="str">
        <x:v>VS-02, VS-03, VS-04, VS-09</x:v>
      </x:c>
      <x:c r="P306" s="40" t="str">
        <x:v>Not Started</x:v>
      </x:c>
      <x:c r="Q306" s="40"/>
    </x:row>
    <x:row r="307">
      <x:c r="A307" s="40" t="str">
        <x:v>VS-14</x:v>
      </x:c>
      <x:c r="B307" s="40" t="n">
        <x:v>14</x:v>
      </x:c>
      <x:c r="C307" s="40" t="str">
        <x:v>Wave 3 — Pathways and Life Administration</x:v>
      </x:c>
      <x:c r="D307" s="40" t="str">
        <x:v>O. Government Document Requirements</x:v>
      </x:c>
      <x:c r="E307" s="40" t="str">
        <x:v>FR-O-020</x:v>
      </x:c>
      <x:c r="F307" s="40" t="str">
        <x:v>External official links shall not block local use.</x:v>
      </x:c>
      <x:c r="G307" s="40" t="str">
        <x:v>BR-O-001</x:v>
      </x:c>
      <x:c r="H307" s="40" t="str">
        <x:v>ADR-009 — Domain Ownership and Relationship Model; ADR-019 — Philippine Content Packs and Official Source Governance</x:v>
      </x:c>
      <x:c r="I307" s="40" t="str">
        <x:v>AC-O-020</x:v>
      </x:c>
      <x:c r="J307" s="40" t="str">
        <x:v>Yes</x:v>
      </x:c>
      <x:c r="K307" s="40" t="str">
        <x:v>V1</x:v>
      </x:c>
      <x:c r="L307" s="40" t="str">
        <x:v>Integration test / Manual review</x:v>
      </x:c>
      <x:c r="M307" s="40"/>
      <x:c r="N307" s="40"/>
      <x:c r="O307" s="40" t="str">
        <x:v>VS-02, VS-03, VS-04, VS-09</x:v>
      </x:c>
      <x:c r="P307" s="40" t="str">
        <x:v>Not Started</x:v>
      </x:c>
      <x:c r="Q307" s="40"/>
    </x:row>
    <x:row r="308">
      <x:c r="A308" s="40" t="str">
        <x:v>VS-15</x:v>
      </x:c>
      <x:c r="B308" s="40" t="n">
        <x:v>15</x:v>
      </x:c>
      <x:c r="C308" s="40" t="str">
        <x:v>Wave 3 — Pathways and Life Administration</x:v>
      </x:c>
      <x:c r="D308" s="40" t="str">
        <x:v>P. Maps and Locations</x:v>
      </x:c>
      <x:c r="E308" s="40" t="str">
        <x:v>FR-P-001</x:v>
      </x:c>
      <x:c r="F308" s="40" t="str">
        <x:v>be able to enter and save typed location text without granting location permission.</x:v>
      </x:c>
      <x:c r="G308" s="40" t="str">
        <x:v>BR-P-002, BR-P-003, BR-P-010</x:v>
      </x:c>
      <x:c r="H308" s="40" t="str">
        <x:v>ADR-021 — Security, Privacy, Permissions, and Sensitive Data</x:v>
      </x:c>
      <x:c r="I308" s="40" t="str">
        <x:v>AC-P-001</x:v>
      </x:c>
      <x:c r="J308" s="40" t="str">
        <x:v>Yes</x:v>
      </x:c>
      <x:c r="K308" s="40" t="str">
        <x:v>V1</x:v>
      </x:c>
      <x:c r="L308" s="40" t="str">
        <x:v>Widget test</x:v>
      </x:c>
      <x:c r="M308" s="40"/>
      <x:c r="N308" s="40"/>
      <x:c r="O308" s="40" t="str">
        <x:v>VS-02, VS-03, VS-04, VS-11, VS-12, VS-13, VS-14</x:v>
      </x:c>
      <x:c r="P308" s="40" t="str">
        <x:v>Not Started</x:v>
      </x:c>
      <x:c r="Q308" s="40"/>
    </x:row>
    <x:row r="309">
      <x:c r="A309" s="40" t="str">
        <x:v>VS-15</x:v>
      </x:c>
      <x:c r="B309" s="40" t="n">
        <x:v>15</x:v>
      </x:c>
      <x:c r="C309" s="40" t="str">
        <x:v>Wave 3 — Pathways and Life Administration</x:v>
      </x:c>
      <x:c r="D309" s="40" t="str">
        <x:v>P. Maps and Locations</x:v>
      </x:c>
      <x:c r="E309" s="40" t="str">
        <x:v>FR-P-002</x:v>
      </x:c>
      <x:c r="F309" s="40" t="str">
        <x:v>Map functionality shall remain contextual and shall not be added to permanent bottom navigation.</x:v>
      </x:c>
      <x:c r="G309" s="40" t="str">
        <x:v>BR-P-001, BR-P-003</x:v>
      </x:c>
      <x:c r="H309" s="40" t="str">
        <x:v>ADR-021 — Security, Privacy, Permissions, and Sensitive Data; ADR-024 — V1 Scope, Vertical Slices, Roadmap, and Release Plan</x:v>
      </x:c>
      <x:c r="I309" s="40" t="str">
        <x:v>AC-P-002</x:v>
      </x:c>
      <x:c r="J309" s="40" t="str">
        <x:v>Yes</x:v>
      </x:c>
      <x:c r="K309" s="40" t="str">
        <x:v>V1</x:v>
      </x:c>
      <x:c r="L309" s="40" t="str">
        <x:v>Domain test</x:v>
      </x:c>
      <x:c r="M309" s="40"/>
      <x:c r="N309" s="40"/>
      <x:c r="O309" s="40" t="str">
        <x:v>VS-02, VS-03, VS-04, VS-11, VS-12, VS-13, VS-14</x:v>
      </x:c>
      <x:c r="P309" s="40" t="str">
        <x:v>Not Started</x:v>
      </x:c>
      <x:c r="Q309" s="40"/>
    </x:row>
    <x:row r="310">
      <x:c r="A310" s="40" t="str">
        <x:v>VS-15</x:v>
      </x:c>
      <x:c r="B310" s="40" t="n">
        <x:v>15</x:v>
      </x:c>
      <x:c r="C310" s="40" t="str">
        <x:v>Wave 3 — Pathways and Life Administration</x:v>
      </x:c>
      <x:c r="D310" s="40" t="str">
        <x:v>P. Maps and Locations</x:v>
      </x:c>
      <x:c r="E310" s="40" t="str">
        <x:v>FR-P-003</x:v>
      </x:c>
      <x:c r="F310" s="40" t="str">
        <x:v>be able to hand a stored destination to a compatible Android maps application.</x:v>
      </x:c>
      <x:c r="G310" s="40" t="str">
        <x:v>BR-P-001</x:v>
      </x:c>
      <x:c r="H310" s="40" t="str">
        <x:v>ADR-021 — Security, Privacy, Permissions, and Sensitive Data; ADR-001 — Android-First Platform Strategy</x:v>
      </x:c>
      <x:c r="I310" s="40" t="str">
        <x:v>AC-P-003</x:v>
      </x:c>
      <x:c r="J310" s="40" t="str">
        <x:v>Yes</x:v>
      </x:c>
      <x:c r="K310" s="40" t="str">
        <x:v>V1</x:v>
      </x:c>
      <x:c r="L310" s="40" t="str">
        <x:v>Widget test / Integration test</x:v>
      </x:c>
      <x:c r="M310" s="40" t="str">
        <x:v>OPD-4-002, OPD-4-004</x:v>
      </x:c>
      <x:c r="N310" s="40" t="str">
        <x:v>OPD-4-002: Use Android application chooser. | OPD-4-004: Show the destination before external handoff.</x:v>
      </x:c>
      <x:c r="O310" s="40" t="str">
        <x:v>VS-02, VS-03, VS-04, VS-11, VS-12, VS-13, VS-14</x:v>
      </x:c>
      <x:c r="P310" s="40" t="str">
        <x:v>Not Started</x:v>
      </x:c>
      <x:c r="Q310" s="40"/>
    </x:row>
    <x:row r="311">
      <x:c r="A311" s="40" t="str">
        <x:v>VS-15</x:v>
      </x:c>
      <x:c r="B311" s="40" t="n">
        <x:v>15</x:v>
      </x:c>
      <x:c r="C311" s="40" t="str">
        <x:v>Wave 3 — Pathways and Life Administration</x:v>
      </x:c>
      <x:c r="D311" s="40" t="str">
        <x:v>P. Maps and Locations</x:v>
      </x:c>
      <x:c r="E311" s="40" t="str">
        <x:v>FR-P-004</x:v>
      </x:c>
      <x:c r="F311" s="40" t="str">
        <x:v>Current-location permission shall be requested only after the user selects a feature that needs it.</x:v>
      </x:c>
      <x:c r="G311" s="40" t="str">
        <x:v>BR-P-002, BR-P-003, BR-P-010</x:v>
      </x:c>
      <x:c r="H311" s="40" t="str">
        <x:v>ADR-021 — Security, Privacy, Permissions, and Sensitive Data</x:v>
      </x:c>
      <x:c r="I311" s="40" t="str">
        <x:v>AC-P-004</x:v>
      </x:c>
      <x:c r="J311" s="40" t="str">
        <x:v>Yes</x:v>
      </x:c>
      <x:c r="K311" s="40" t="str">
        <x:v>V1</x:v>
      </x:c>
      <x:c r="L311" s="40" t="str">
        <x:v>Widget test</x:v>
      </x:c>
      <x:c r="M311" s="40"/>
      <x:c r="N311" s="40"/>
      <x:c r="O311" s="40" t="str">
        <x:v>VS-02, VS-03, VS-04, VS-11, VS-12, VS-13, VS-14</x:v>
      </x:c>
      <x:c r="P311" s="40" t="str">
        <x:v>Not Started</x:v>
      </x:c>
      <x:c r="Q311" s="40"/>
    </x:row>
    <x:row r="312">
      <x:c r="A312" s="40" t="str">
        <x:v>VS-15</x:v>
      </x:c>
      <x:c r="B312" s="40" t="n">
        <x:v>15</x:v>
      </x:c>
      <x:c r="C312" s="40" t="str">
        <x:v>Wave 3 — Pathways and Life Administration</x:v>
      </x:c>
      <x:c r="D312" s="40" t="str">
        <x:v>P. Maps and Locations</x:v>
      </x:c>
      <x:c r="E312" s="40" t="str">
        <x:v>FR-P-005</x:v>
      </x:c>
      <x:c r="F312" s="40" t="str">
        <x:v>Denial or revocation of location permission shall not block core domain workflows.</x:v>
      </x:c>
      <x:c r="G312" s="40" t="str">
        <x:v>BR-P-002, BR-P-003, BR-P-004</x:v>
      </x:c>
      <x:c r="H312" s="40" t="str">
        <x:v>ADR-021 — Security, Privacy, Permissions, and Sensitive Data</x:v>
      </x:c>
      <x:c r="I312" s="40" t="str">
        <x:v>AC-P-005</x:v>
      </x:c>
      <x:c r="J312" s="40" t="str">
        <x:v>Yes</x:v>
      </x:c>
      <x:c r="K312" s="40" t="str">
        <x:v>V1</x:v>
      </x:c>
      <x:c r="L312" s="40" t="str">
        <x:v>Widget test</x:v>
      </x:c>
      <x:c r="M312" s="40"/>
      <x:c r="N312" s="40"/>
      <x:c r="O312" s="40" t="str">
        <x:v>VS-02, VS-03, VS-04, VS-11, VS-12, VS-13, VS-14</x:v>
      </x:c>
      <x:c r="P312" s="40" t="str">
        <x:v>Not Started</x:v>
      </x:c>
      <x:c r="Q312" s="40"/>
    </x:row>
    <x:row r="313">
      <x:c r="A313" s="40" t="str">
        <x:v>VS-15</x:v>
      </x:c>
      <x:c r="B313" s="40" t="n">
        <x:v>15</x:v>
      </x:c>
      <x:c r="C313" s="40" t="str">
        <x:v>Wave 3 — Pathways and Life Administration</x:v>
      </x:c>
      <x:c r="D313" s="40" t="str">
        <x:v>P. Maps and Locations</x:v>
      </x:c>
      <x:c r="E313" s="40" t="str">
        <x:v>FR-P-006</x:v>
      </x:c>
      <x:c r="F313" s="40" t="str">
        <x:v>be able to create, edit, and reuse private Saved Places locally.</x:v>
      </x:c>
      <x:c r="G313" s="40" t="str">
        <x:v>BR-P-007</x:v>
      </x:c>
      <x:c r="H313" s="40" t="str">
        <x:v>ADR-021 — Security, Privacy, Permissions, and Sensitive Data</x:v>
      </x:c>
      <x:c r="I313" s="40" t="str">
        <x:v>AC-P-006</x:v>
      </x:c>
      <x:c r="J313" s="40" t="str">
        <x:v>No</x:v>
      </x:c>
      <x:c r="K313" s="40" t="str">
        <x:v>V1.1</x:v>
      </x:c>
      <x:c r="L313" s="40" t="str">
        <x:v>Widget test</x:v>
      </x:c>
      <x:c r="M313" s="40" t="str">
        <x:v>OPD-4-001</x:v>
      </x:c>
      <x:c r="N313" s="40" t="str">
        <x:v>OPD-4-001: Keep Saved Places in V1.1; V1 stores location on the owning record.</x:v>
      </x:c>
      <x:c r="O313" s="40" t="str">
        <x:v>VS-02, VS-03, VS-04, VS-11, VS-12, VS-13, VS-14</x:v>
      </x:c>
      <x:c r="P313" s="40" t="str">
        <x:v>Not Started</x:v>
      </x:c>
      <x:c r="Q313" s="40"/>
    </x:row>
    <x:row r="314">
      <x:c r="A314" s="40" t="str">
        <x:v>VS-15</x:v>
      </x:c>
      <x:c r="B314" s="40" t="n">
        <x:v>15</x:v>
      </x:c>
      <x:c r="C314" s="40" t="str">
        <x:v>Wave 3 — Pathways and Life Administration</x:v>
      </x:c>
      <x:c r="D314" s="40" t="str">
        <x:v>P. Maps and Locations</x:v>
      </x:c>
      <x:c r="E314" s="40" t="str">
        <x:v>FR-P-007</x:v>
      </x:c>
      <x:c r="F314" s="40" t="str">
        <x:v>Location text, optional coordinates, and the owning domain record shall retain separate identities.</x:v>
      </x:c>
      <x:c r="G314" s="40" t="str">
        <x:v>BR-P-005, BR-P-006, BR-P-010</x:v>
      </x:c>
      <x:c r="H314" s="40" t="str">
        <x:v>ADR-009 — Domain Ownership and Relationship Model; ADR-021 — Security, Privacy, Permissions, and Sensitive Data</x:v>
      </x:c>
      <x:c r="I314" s="40" t="str">
        <x:v>AC-P-007</x:v>
      </x:c>
      <x:c r="J314" s="40" t="str">
        <x:v>Yes</x:v>
      </x:c>
      <x:c r="K314" s="40" t="str">
        <x:v>V1</x:v>
      </x:c>
      <x:c r="L314" s="40" t="str">
        <x:v>Domain test</x:v>
      </x:c>
      <x:c r="M314" s="40" t="str">
        <x:v>OPD-4-001, OPD-4-003</x:v>
      </x:c>
      <x:c r="N314" s="40" t="str">
        <x:v>OPD-4-001: Keep Saved Places in V1.1; V1 stores location on the owning record. | OPD-4-003: Store only when explicitly selected or confirmed.</x:v>
      </x:c>
      <x:c r="O314" s="40" t="str">
        <x:v>VS-02, VS-03, VS-04, VS-11, VS-12, VS-13, VS-14</x:v>
      </x:c>
      <x:c r="P314" s="40" t="str">
        <x:v>Not Started</x:v>
      </x:c>
      <x:c r="Q314" s="40"/>
    </x:row>
    <x:row r="315">
      <x:c r="A315" s="40" t="str">
        <x:v>VS-15</x:v>
      </x:c>
      <x:c r="B315" s="40" t="n">
        <x:v>15</x:v>
      </x:c>
      <x:c r="C315" s="40" t="str">
        <x:v>Wave 3 — Pathways and Life Administration</x:v>
      </x:c>
      <x:c r="D315" s="40" t="str">
        <x:v>P. Maps and Locations</x:v>
      </x:c>
      <x:c r="E315" s="40" t="str">
        <x:v>FR-P-008</x:v>
      </x:c>
      <x:c r="F315" s="40" t="str">
        <x:v>not require or collect background location for V1 location workflows.</x:v>
      </x:c>
      <x:c r="G315" s="40" t="str">
        <x:v>BR-P-002, BR-P-005, BR-P-010</x:v>
      </x:c>
      <x:c r="H315" s="40" t="str">
        <x:v>ADR-021 — Security, Privacy, Permissions, and Sensitive Data</x:v>
      </x:c>
      <x:c r="I315" s="40" t="str">
        <x:v>AC-P-008</x:v>
      </x:c>
      <x:c r="J315" s="40" t="str">
        <x:v>Yes</x:v>
      </x:c>
      <x:c r="K315" s="40" t="str">
        <x:v>V1</x:v>
      </x:c>
      <x:c r="L315" s="40" t="str">
        <x:v>Integration test</x:v>
      </x:c>
      <x:c r="M315" s="40"/>
      <x:c r="N315" s="40"/>
      <x:c r="O315" s="40" t="str">
        <x:v>VS-02, VS-03, VS-04, VS-11, VS-12, VS-13, VS-14</x:v>
      </x:c>
      <x:c r="P315" s="40" t="str">
        <x:v>Not Started</x:v>
      </x:c>
      <x:c r="Q315" s="40"/>
    </x:row>
    <x:row r="316">
      <x:c r="A316" s="40" t="str">
        <x:v>VS-15</x:v>
      </x:c>
      <x:c r="B316" s="40" t="n">
        <x:v>15</x:v>
      </x:c>
      <x:c r="C316" s="40" t="str">
        <x:v>Wave 3 — Pathways and Life Administration</x:v>
      </x:c>
      <x:c r="D316" s="40" t="str">
        <x:v>P. Maps and Locations</x:v>
      </x:c>
      <x:c r="E316" s="40" t="str">
        <x:v>FR-P-009</x:v>
      </x:c>
      <x:c r="F316" s="40" t="str">
        <x:v>Stored locations shall remain viewable and editable offline.</x:v>
      </x:c>
      <x:c r="G316" s="40" t="str">
        <x:v>BR-P-001, BR-P-002, BR-P-008</x:v>
      </x:c>
      <x:c r="H316" s="40" t="str">
        <x:v>ADR-021 — Security, Privacy, Permissions, and Sensitive Data; ADR-006 — Local-First Operation with Background Synchronization</x:v>
      </x:c>
      <x:c r="I316" s="40" t="str">
        <x:v>AC-P-009</x:v>
      </x:c>
      <x:c r="J316" s="40" t="str">
        <x:v>Yes</x:v>
      </x:c>
      <x:c r="K316" s="40" t="str">
        <x:v>V1</x:v>
      </x:c>
      <x:c r="L316" s="40" t="str">
        <x:v>Domain test</x:v>
      </x:c>
      <x:c r="M316" s="40"/>
      <x:c r="N316" s="40"/>
      <x:c r="O316" s="40" t="str">
        <x:v>VS-02, VS-03, VS-04, VS-11, VS-12, VS-13, VS-14</x:v>
      </x:c>
      <x:c r="P316" s="40" t="str">
        <x:v>Not Started</x:v>
      </x:c>
      <x:c r="Q316" s="40"/>
    </x:row>
    <x:row r="317">
      <x:c r="A317" s="40" t="str">
        <x:v>VS-15</x:v>
      </x:c>
      <x:c r="B317" s="40" t="n">
        <x:v>15</x:v>
      </x:c>
      <x:c r="C317" s="40" t="str">
        <x:v>Wave 3 — Pathways and Life Administration</x:v>
      </x:c>
      <x:c r="D317" s="40" t="str">
        <x:v>P. Maps and Locations</x:v>
      </x:c>
      <x:c r="E317" s="40" t="str">
        <x:v>FR-P-010</x:v>
      </x:c>
      <x:c r="F317" s="40" t="str">
        <x:v>Map use, location lookup, and destination arrival shall not change outcomes or Actual.</x:v>
      </x:c>
      <x:c r="G317" s="40" t="str">
        <x:v>BR-P-005, BR-P-006, BR-P-010</x:v>
      </x:c>
      <x:c r="H317" s="40" t="str">
        <x:v>ADR-005 — Confirmed-Source Progress and Read-Only Actuals; ADR-011 — Event and Task Outcome Reporting; ADR-021 — Security, Privacy, Permissions, and Sensitive Data</x:v>
      </x:c>
      <x:c r="I317" s="40" t="str">
        <x:v>AC-P-010</x:v>
      </x:c>
      <x:c r="J317" s="40" t="str">
        <x:v>Yes</x:v>
      </x:c>
      <x:c r="K317" s="40" t="str">
        <x:v>V1</x:v>
      </x:c>
      <x:c r="L317" s="40" t="str">
        <x:v>Domain test</x:v>
      </x:c>
      <x:c r="M317" s="40"/>
      <x:c r="N317" s="40"/>
      <x:c r="O317" s="40" t="str">
        <x:v>VS-02, VS-03, VS-04, VS-11, VS-12, VS-13, VS-14</x:v>
      </x:c>
      <x:c r="P317" s="40" t="str">
        <x:v>Not Started</x:v>
      </x:c>
      <x:c r="Q317" s="40"/>
    </x:row>
    <x:row r="318">
      <x:c r="A318" s="40" t="str">
        <x:v>VS-15</x:v>
      </x:c>
      <x:c r="B318" s="40" t="n">
        <x:v>15</x:v>
      </x:c>
      <x:c r="C318" s="40" t="str">
        <x:v>Wave 3 — Pathways and Life Administration</x:v>
      </x:c>
      <x:c r="D318" s="40" t="str">
        <x:v>P. Maps and Locations</x:v>
      </x:c>
      <x:c r="E318" s="40" t="str">
        <x:v>FR-P-011</x:v>
      </x:c>
      <x:c r="F318" s="40" t="str">
        <x:v>Rescheduled Calendar Events shall preserve original and replacement location history.</x:v>
      </x:c>
      <x:c r="G318" s="40" t="str">
        <x:v>BR-P-006, BR-P-009, BR-P-010</x:v>
      </x:c>
      <x:c r="H318" s="40" t="str">
        <x:v>ADR-011 — Event and Task Outcome Reporting; ADR-012 — Activity Ledger and Contribution Engine; ADR-021 — Security, Privacy, Permissions, and Sensitive Data</x:v>
      </x:c>
      <x:c r="I318" s="40" t="str">
        <x:v>AC-P-011</x:v>
      </x:c>
      <x:c r="J318" s="40" t="str">
        <x:v>Yes</x:v>
      </x:c>
      <x:c r="K318" s="40" t="str">
        <x:v>V1</x:v>
      </x:c>
      <x:c r="L318" s="40" t="str">
        <x:v>Integration test</x:v>
      </x:c>
      <x:c r="M318" s="40"/>
      <x:c r="N318" s="40"/>
      <x:c r="O318" s="40" t="str">
        <x:v>VS-02, VS-03, VS-04, VS-11, VS-12, VS-13, VS-14</x:v>
      </x:c>
      <x:c r="P318" s="40" t="str">
        <x:v>Not Started</x:v>
      </x:c>
      <x:c r="Q318" s="40"/>
    </x:row>
    <x:row r="319">
      <x:c r="A319" s="40" t="str">
        <x:v>VS-15</x:v>
      </x:c>
      <x:c r="B319" s="40" t="n">
        <x:v>15</x:v>
      </x:c>
      <x:c r="C319" s="40" t="str">
        <x:v>Wave 3 — Pathways and Life Administration</x:v>
      </x:c>
      <x:c r="D319" s="40" t="str">
        <x:v>P. Maps and Locations</x:v>
      </x:c>
      <x:c r="E319" s="40" t="str">
        <x:v>FR-P-012</x:v>
      </x:c>
      <x:c r="F319" s="40" t="str">
        <x:v>Location-related diagnostics shall avoid exposing precise personal location by default.</x:v>
      </x:c>
      <x:c r="G319" s="40" t="str">
        <x:v>BR-P-005, BR-P-006, BR-P-010</x:v>
      </x:c>
      <x:c r="H319" s="40" t="str">
        <x:v>ADR-021 — Security, Privacy, Permissions, and Sensitive Data; ADR-023 — Testing, Observability, Diagnostics, and Quality Strategy</x:v>
      </x:c>
      <x:c r="I319" s="40" t="str">
        <x:v>AC-P-012</x:v>
      </x:c>
      <x:c r="J319" s="40" t="str">
        <x:v>No</x:v>
      </x:c>
      <x:c r="K319" s="40" t="str">
        <x:v>V1</x:v>
      </x:c>
      <x:c r="L319" s="40" t="str">
        <x:v>Manual review</x:v>
      </x:c>
      <x:c r="M319" s="40"/>
      <x:c r="N319" s="40"/>
      <x:c r="O319" s="40" t="str">
        <x:v>VS-02, VS-03, VS-04, VS-11, VS-12, VS-13, VS-14</x:v>
      </x:c>
      <x:c r="P319" s="40" t="str">
        <x:v>Not Started</x:v>
      </x:c>
      <x:c r="Q319" s="40"/>
    </x:row>
    <x:row r="320">
      <x:c r="A320" s="40" t="str">
        <x:v>VS-15</x:v>
      </x:c>
      <x:c r="B320" s="40" t="n">
        <x:v>15</x:v>
      </x:c>
      <x:c r="C320" s="40" t="str">
        <x:v>Wave 3 — Pathways and Life Administration</x:v>
      </x:c>
      <x:c r="D320" s="40" t="str">
        <x:v>P. Maps and Locations</x:v>
      </x:c>
      <x:c r="E320" s="40" t="str">
        <x:v>FR-P-013</x:v>
      </x:c>
      <x:c r="F320" s="40" t="str">
        <x:v>When no compatible map provider is available, the app shall retain and expose a copyable location fallback.</x:v>
      </x:c>
      <x:c r="G320" s="40" t="str">
        <x:v>BR-P-005, BR-P-006, BR-P-010</x:v>
      </x:c>
      <x:c r="H320" s="40" t="str">
        <x:v>ADR-021 — Security, Privacy, Permissions, and Sensitive Data; ADR-019 — Philippine Content Packs and Official Source Governance</x:v>
      </x:c>
      <x:c r="I320" s="40" t="str">
        <x:v>AC-P-013</x:v>
      </x:c>
      <x:c r="J320" s="40" t="str">
        <x:v>No</x:v>
      </x:c>
      <x:c r="K320" s="40" t="str">
        <x:v>V1</x:v>
      </x:c>
      <x:c r="L320" s="40" t="str">
        <x:v>Domain test</x:v>
      </x:c>
      <x:c r="M320" s="40"/>
      <x:c r="N320" s="40"/>
      <x:c r="O320" s="40" t="str">
        <x:v>VS-02, VS-03, VS-04, VS-11, VS-12, VS-13, VS-14</x:v>
      </x:c>
      <x:c r="P320" s="40" t="str">
        <x:v>Not Started</x:v>
      </x:c>
      <x:c r="Q320" s="40"/>
    </x:row>
    <x:row r="321">
      <x:c r="A321" s="40" t="str">
        <x:v>VS-15</x:v>
      </x:c>
      <x:c r="B321" s="40" t="n">
        <x:v>15</x:v>
      </x:c>
      <x:c r="C321" s="40" t="str">
        <x:v>Wave 3 — Pathways and Life Administration</x:v>
      </x:c>
      <x:c r="D321" s="40" t="str">
        <x:v>P. Maps and Locations</x:v>
      </x:c>
      <x:c r="E321" s="40" t="str">
        <x:v>FR-P-014</x:v>
      </x:c>
      <x:c r="F321" s="40" t="str">
        <x:v>be able to select a Saved Place while preserving a snapshot of the location used by the owning record.</x:v>
      </x:c>
      <x:c r="G321" s="40" t="str">
        <x:v>BR-P-006, BR-P-007, BR-P-010</x:v>
      </x:c>
      <x:c r="H321" s="40" t="str">
        <x:v>ADR-009 — Domain Ownership and Relationship Model; ADR-021 — Security, Privacy, Permissions, and Sensitive Data; ADR-007 — Small Core V1 Scope</x:v>
      </x:c>
      <x:c r="I321" s="40" t="str">
        <x:v>AC-P-014</x:v>
      </x:c>
      <x:c r="J321" s="40" t="str">
        <x:v>No</x:v>
      </x:c>
      <x:c r="K321" s="40" t="str">
        <x:v>V1.1</x:v>
      </x:c>
      <x:c r="L321" s="40" t="str">
        <x:v>Widget test</x:v>
      </x:c>
      <x:c r="M321" s="40" t="str">
        <x:v>OPD-4-001</x:v>
      </x:c>
      <x:c r="N321" s="40" t="str">
        <x:v>OPD-4-001: Keep Saved Places in V1.1; V1 stores location on the owning record.</x:v>
      </x:c>
      <x:c r="O321" s="40" t="str">
        <x:v>VS-02, VS-03, VS-04, VS-11, VS-12, VS-13, VS-14</x:v>
      </x:c>
      <x:c r="P321" s="40" t="str">
        <x:v>Not Started</x:v>
      </x:c>
      <x:c r="Q321" s="40"/>
    </x:row>
    <x:row r="322">
      <x:c r="A322" s="40" t="str">
        <x:v>VS-15</x:v>
      </x:c>
      <x:c r="B322" s="40" t="n">
        <x:v>15</x:v>
      </x:c>
      <x:c r="C322" s="40" t="str">
        <x:v>Wave 3 — Pathways and Life Administration</x:v>
      </x:c>
      <x:c r="D322" s="40" t="str">
        <x:v>P. Maps and Locations</x:v>
      </x:c>
      <x:c r="E322" s="40" t="str">
        <x:v>FR-P-015</x:v>
      </x:c>
      <x:c r="F322" s="40" t="str">
        <x:v>not retain continuous route or movement history.</x:v>
      </x:c>
      <x:c r="G322" s="40" t="str">
        <x:v>BR-P-009</x:v>
      </x:c>
      <x:c r="H322" s="40" t="str">
        <x:v>ADR-021 — Security, Privacy, Permissions, and Sensitive Data</x:v>
      </x:c>
      <x:c r="I322" s="40" t="str">
        <x:v>AC-P-015</x:v>
      </x:c>
      <x:c r="J322" s="40" t="str">
        <x:v>Yes</x:v>
      </x:c>
      <x:c r="K322" s="40" t="str">
        <x:v>V1</x:v>
      </x:c>
      <x:c r="L322" s="40" t="str">
        <x:v>Domain test</x:v>
      </x:c>
      <x:c r="M322" s="40"/>
      <x:c r="N322" s="40"/>
      <x:c r="O322" s="40" t="str">
        <x:v>VS-02, VS-03, VS-04, VS-11, VS-12, VS-13, VS-14</x:v>
      </x:c>
      <x:c r="P322" s="40" t="str">
        <x:v>Not Started</x:v>
      </x:c>
      <x:c r="Q322" s="40"/>
    </x:row>
    <x:row r="323">
      <x:c r="A323" s="40" t="str">
        <x:v>VS-16</x:v>
      </x:c>
      <x:c r="B323" s="40" t="n">
        <x:v>16</x:v>
      </x:c>
      <x:c r="C323" s="40" t="str">
        <x:v>Wave 4 — Device Services and Reliability</x:v>
      </x:c>
      <x:c r="D323" s="40" t="str">
        <x:v>Q. Notifications and Reminders</x:v>
      </x:c>
      <x:c r="E323" s="40" t="str">
        <x:v>FR-Q-001</x:v>
      </x:c>
      <x:c r="F323" s="40" t="str">
        <x:v>Notification permission shall be requested only when the user enables a system-notification feature.</x:v>
      </x:c>
      <x:c r="G323" s="40" t="str">
        <x:v>BR-Q-001, BR-Q-008, BR-Q-009</x:v>
      </x:c>
      <x:c r="H323" s="40" t="str">
        <x:v>ADR-021 — Security, Privacy, Permissions, and Sensitive Data; ADR-022 — Notifications, Background Work, and Calendar Integration</x:v>
      </x:c>
      <x:c r="I323" s="40" t="str">
        <x:v>AC-Q-001</x:v>
      </x:c>
      <x:c r="J323" s="40" t="str">
        <x:v>Yes</x:v>
      </x:c>
      <x:c r="K323" s="40" t="str">
        <x:v>V1</x:v>
      </x:c>
      <x:c r="L323" s="40" t="str">
        <x:v>Widget test</x:v>
      </x:c>
      <x:c r="M323" s="40"/>
      <x:c r="N323" s="40"/>
      <x:c r="O323" s="40" t="str">
        <x:v>VS-02, VS-03, VS-04, VS-08</x:v>
      </x:c>
      <x:c r="P323" s="40" t="str">
        <x:v>Not Started</x:v>
      </x:c>
      <x:c r="Q323" s="40"/>
    </x:row>
    <x:row r="324">
      <x:c r="A324" s="40" t="str">
        <x:v>VS-16</x:v>
      </x:c>
      <x:c r="B324" s="40" t="n">
        <x:v>16</x:v>
      </x:c>
      <x:c r="C324" s="40" t="str">
        <x:v>Wave 4 — Device Services and Reliability</x:v>
      </x:c>
      <x:c r="D324" s="40" t="str">
        <x:v>Q. Notifications and Reminders</x:v>
      </x:c>
      <x:c r="E324" s="40" t="str">
        <x:v>FR-Q-002</x:v>
      </x:c>
      <x:c r="F324" s="40" t="str">
        <x:v>be able to create local reminders without creating an account.</x:v>
      </x:c>
      <x:c r="G324" s="40" t="str">
        <x:v>BR-Q-006, BR-Q-007, BR-Q-010</x:v>
      </x:c>
      <x:c r="H324" s="40" t="str">
        <x:v>ADR-022 — Notifications, Background Work, and Calendar Integration; ADR-002 — Guest-First Identity and Optional Accounts</x:v>
      </x:c>
      <x:c r="I324" s="40" t="str">
        <x:v>AC-Q-002</x:v>
      </x:c>
      <x:c r="J324" s="40" t="str">
        <x:v>Yes</x:v>
      </x:c>
      <x:c r="K324" s="40" t="str">
        <x:v>V1</x:v>
      </x:c>
      <x:c r="L324" s="40" t="str">
        <x:v>Widget test</x:v>
      </x:c>
      <x:c r="M324" s="40"/>
      <x:c r="N324" s="40"/>
      <x:c r="O324" s="40" t="str">
        <x:v>VS-02, VS-03, VS-04, VS-08</x:v>
      </x:c>
      <x:c r="P324" s="40" t="str">
        <x:v>Not Started</x:v>
      </x:c>
      <x:c r="Q324" s="40"/>
    </x:row>
    <x:row r="325">
      <x:c r="A325" s="40" t="str">
        <x:v>VS-16</x:v>
      </x:c>
      <x:c r="B325" s="40" t="n">
        <x:v>16</x:v>
      </x:c>
      <x:c r="C325" s="40" t="str">
        <x:v>Wave 4 — Device Services and Reliability</x:v>
      </x:c>
      <x:c r="D325" s="40" t="str">
        <x:v>Q. Notifications and Reminders</x:v>
      </x:c>
      <x:c r="E325" s="40" t="str">
        <x:v>FR-Q-003</x:v>
      </x:c>
      <x:c r="F325" s="40" t="str">
        <x:v>Reminder creation, delivery, dismissal, or opening shall not change source outcomes or Actual.</x:v>
      </x:c>
      <x:c r="G325" s="40" t="str">
        <x:v>BR-Q-002, BR-Q-004, BR-Q-006</x:v>
      </x:c>
      <x:c r="H325" s="40" t="str">
        <x:v>ADR-005 — Confirmed-Source Progress and Read-Only Actuals; ADR-011 — Event and Task Outcome Reporting; ADR-022 — Notifications, Background Work, and Calendar Integration</x:v>
      </x:c>
      <x:c r="I325" s="40" t="str">
        <x:v>AC-Q-003</x:v>
      </x:c>
      <x:c r="J325" s="40" t="str">
        <x:v>Yes</x:v>
      </x:c>
      <x:c r="K325" s="40" t="str">
        <x:v>V1</x:v>
      </x:c>
      <x:c r="L325" s="40" t="str">
        <x:v>Domain test</x:v>
      </x:c>
      <x:c r="M325" s="40"/>
      <x:c r="N325" s="40"/>
      <x:c r="O325" s="40" t="str">
        <x:v>VS-02, VS-03, VS-04, VS-08</x:v>
      </x:c>
      <x:c r="P325" s="40" t="str">
        <x:v>Not Started</x:v>
      </x:c>
      <x:c r="Q325" s="40"/>
    </x:row>
    <x:row r="326">
      <x:c r="A326" s="40" t="str">
        <x:v>VS-16</x:v>
      </x:c>
      <x:c r="B326" s="40" t="n">
        <x:v>16</x:v>
      </x:c>
      <x:c r="C326" s="40" t="str">
        <x:v>Wave 4 — Device Services and Reliability</x:v>
      </x:c>
      <x:c r="D326" s="40" t="str">
        <x:v>Q. Notifications and Reminders</x:v>
      </x:c>
      <x:c r="E326" s="40" t="str">
        <x:v>FR-Q-004</x:v>
      </x:c>
      <x:c r="F326" s="40" t="str">
        <x:v>Task reminders and Calendar Event reminders shall remain linked to their separate source records.</x:v>
      </x:c>
      <x:c r="G326" s="40" t="str">
        <x:v>BR-Q-003, BR-Q-007, BR-Q-010</x:v>
      </x:c>
      <x:c r="H326" s="40" t="str">
        <x:v>ADR-009 — Domain Ownership and Relationship Model; ADR-022 — Notifications, Background Work, and Calendar Integration</x:v>
      </x:c>
      <x:c r="I326" s="40" t="str">
        <x:v>AC-Q-004</x:v>
      </x:c>
      <x:c r="J326" s="40" t="str">
        <x:v>Yes</x:v>
      </x:c>
      <x:c r="K326" s="40" t="str">
        <x:v>V1</x:v>
      </x:c>
      <x:c r="L326" s="40" t="str">
        <x:v>Integration test</x:v>
      </x:c>
      <x:c r="M326" s="40"/>
      <x:c r="N326" s="40"/>
      <x:c r="O326" s="40" t="str">
        <x:v>VS-02, VS-03, VS-04, VS-08</x:v>
      </x:c>
      <x:c r="P326" s="40" t="str">
        <x:v>Not Started</x:v>
      </x:c>
      <x:c r="Q326" s="40"/>
    </x:row>
    <x:row r="327">
      <x:c r="A327" s="40" t="str">
        <x:v>VS-16</x:v>
      </x:c>
      <x:c r="B327" s="40" t="n">
        <x:v>16</x:v>
      </x:c>
      <x:c r="C327" s="40" t="str">
        <x:v>Wave 4 — Device Services and Reliability</x:v>
      </x:c>
      <x:c r="D327" s="40" t="str">
        <x:v>Q. Notifications and Reminders</x:v>
      </x:c>
      <x:c r="E327" s="40" t="str">
        <x:v>FR-Q-005</x:v>
      </x:c>
      <x:c r="F327" s="40" t="str">
        <x:v>Recurring Calendar Event occurrences shall support independently scheduled reminders.</x:v>
      </x:c>
      <x:c r="G327" s="40" t="str">
        <x:v>BR-Q-004, BR-Q-007, BR-Q-010</x:v>
      </x:c>
      <x:c r="H327" s="40" t="str">
        <x:v>ADR-022 — Notifications, Background Work, and Calendar Integration</x:v>
      </x:c>
      <x:c r="I327" s="40" t="str">
        <x:v>AC-Q-005</x:v>
      </x:c>
      <x:c r="J327" s="40" t="str">
        <x:v>Yes</x:v>
      </x:c>
      <x:c r="K327" s="40" t="str">
        <x:v>V1</x:v>
      </x:c>
      <x:c r="L327" s="40" t="str">
        <x:v>Integration test</x:v>
      </x:c>
      <x:c r="M327" s="40"/>
      <x:c r="N327" s="40"/>
      <x:c r="O327" s="40" t="str">
        <x:v>VS-02, VS-03, VS-04, VS-08</x:v>
      </x:c>
      <x:c r="P327" s="40" t="str">
        <x:v>Not Started</x:v>
      </x:c>
      <x:c r="Q327" s="40"/>
    </x:row>
    <x:row r="328">
      <x:c r="A328" s="40" t="str">
        <x:v>VS-16</x:v>
      </x:c>
      <x:c r="B328" s="40" t="n">
        <x:v>16</x:v>
      </x:c>
      <x:c r="C328" s="40" t="str">
        <x:v>Wave 4 — Device Services and Reliability</x:v>
      </x:c>
      <x:c r="D328" s="40" t="str">
        <x:v>Q. Notifications and Reminders</x:v>
      </x:c>
      <x:c r="E328" s="40" t="str">
        <x:v>FR-Q-006</x:v>
      </x:c>
      <x:c r="F328" s="40" t="str">
        <x:v>Ended report-required events may generate Awaiting Report reminders without assigning outcomes.</x:v>
      </x:c>
      <x:c r="G328" s="40" t="str">
        <x:v>BR-Q-006, BR-Q-007, BR-Q-010</x:v>
      </x:c>
      <x:c r="H328" s="40" t="str">
        <x:v>ADR-011 — Event and Task Outcome Reporting; ADR-018 — Guest-to-Account Migration and Account Lifecycle; ADR-022 — Notifications, Background Work, and Calendar Integration</x:v>
      </x:c>
      <x:c r="I328" s="40" t="str">
        <x:v>AC-Q-006</x:v>
      </x:c>
      <x:c r="J328" s="40" t="str">
        <x:v>Yes</x:v>
      </x:c>
      <x:c r="K328" s="40" t="str">
        <x:v>V1</x:v>
      </x:c>
      <x:c r="L328" s="40" t="str">
        <x:v>Domain test</x:v>
      </x:c>
      <x:c r="M328" s="40"/>
      <x:c r="N328" s="40"/>
      <x:c r="O328" s="40" t="str">
        <x:v>VS-02, VS-03, VS-04, VS-08</x:v>
      </x:c>
      <x:c r="P328" s="40" t="str">
        <x:v>Not Started</x:v>
      </x:c>
      <x:c r="Q328" s="40"/>
    </x:row>
    <x:row r="329">
      <x:c r="A329" s="40" t="str">
        <x:v>VS-16</x:v>
      </x:c>
      <x:c r="B329" s="40" t="n">
        <x:v>16</x:v>
      </x:c>
      <x:c r="C329" s="40" t="str">
        <x:v>Wave 4 — Device Services and Reliability</x:v>
      </x:c>
      <x:c r="D329" s="40" t="str">
        <x:v>Q. Notifications and Reminders</x:v>
      </x:c>
      <x:c r="E329" s="40" t="str">
        <x:v>FR-Q-007</x:v>
      </x:c>
      <x:c r="F329" s="40" t="str">
        <x:v>Weekly Plans may generate Review Due reminders without completing the review.</x:v>
      </x:c>
      <x:c r="G329" s="40" t="str">
        <x:v>BR-Q-006, BR-Q-007, BR-Q-010</x:v>
      </x:c>
      <x:c r="H329" s="40" t="str">
        <x:v>ADR-010 — Weekly Planning Lifecycle; ADR-022 — Notifications, Background Work, and Calendar Integration</x:v>
      </x:c>
      <x:c r="I329" s="40" t="str">
        <x:v>AC-Q-007</x:v>
      </x:c>
      <x:c r="J329" s="40" t="str">
        <x:v>Yes</x:v>
      </x:c>
      <x:c r="K329" s="40" t="str">
        <x:v>V1</x:v>
      </x:c>
      <x:c r="L329" s="40" t="str">
        <x:v>Domain test</x:v>
      </x:c>
      <x:c r="M329" s="40"/>
      <x:c r="N329" s="40"/>
      <x:c r="O329" s="40" t="str">
        <x:v>VS-02, VS-03, VS-04, VS-08</x:v>
      </x:c>
      <x:c r="P329" s="40" t="str">
        <x:v>Not Started</x:v>
      </x:c>
      <x:c r="Q329" s="40"/>
    </x:row>
    <x:row r="330">
      <x:c r="A330" s="40" t="str">
        <x:v>VS-16</x:v>
      </x:c>
      <x:c r="B330" s="40" t="n">
        <x:v>16</x:v>
      </x:c>
      <x:c r="C330" s="40" t="str">
        <x:v>Wave 4 — Device Services and Reliability</x:v>
      </x:c>
      <x:c r="D330" s="40" t="str">
        <x:v>Q. Notifications and Reminders</x:v>
      </x:c>
      <x:c r="E330" s="40" t="str">
        <x:v>FR-Q-008</x:v>
      </x:c>
      <x:c r="F330" s="40" t="str">
        <x:v>be able to configure quiet hours for reminder delivery.</x:v>
      </x:c>
      <x:c r="G330" s="40" t="str">
        <x:v>BR-Q-002, BR-Q-004, BR-Q-008</x:v>
      </x:c>
      <x:c r="H330" s="40" t="str">
        <x:v>ADR-022 — Notifications, Background Work, and Calendar Integration</x:v>
      </x:c>
      <x:c r="I330" s="40" t="str">
        <x:v>AC-Q-008</x:v>
      </x:c>
      <x:c r="J330" s="40" t="str">
        <x:v>Yes</x:v>
      </x:c>
      <x:c r="K330" s="40" t="str">
        <x:v>V1</x:v>
      </x:c>
      <x:c r="L330" s="40" t="str">
        <x:v>Widget test</x:v>
      </x:c>
      <x:c r="M330" s="40" t="str">
        <x:v>OPD-4-005</x:v>
      </x:c>
      <x:c r="N330" s="40" t="str">
        <x:v>OPD-4-005: Off by default.</x:v>
      </x:c>
      <x:c r="O330" s="40" t="str">
        <x:v>VS-02, VS-03, VS-04, VS-08</x:v>
      </x:c>
      <x:c r="P330" s="40" t="str">
        <x:v>Not Started</x:v>
      </x:c>
      <x:c r="Q330" s="40"/>
    </x:row>
    <x:row r="331">
      <x:c r="A331" s="40" t="str">
        <x:v>VS-16</x:v>
      </x:c>
      <x:c r="B331" s="40" t="n">
        <x:v>16</x:v>
      </x:c>
      <x:c r="C331" s="40" t="str">
        <x:v>Wave 4 — Device Services and Reliability</x:v>
      </x:c>
      <x:c r="D331" s="40" t="str">
        <x:v>Q. Notifications and Reminders</x:v>
      </x:c>
      <x:c r="E331" s="40" t="str">
        <x:v>FR-Q-009</x:v>
      </x:c>
      <x:c r="F331" s="40" t="str">
        <x:v>Notification previews shall support privacy-safe content levels.</x:v>
      </x:c>
      <x:c r="G331" s="40" t="str">
        <x:v>BR-Q-001, BR-Q-009</x:v>
      </x:c>
      <x:c r="H331" s="40" t="str">
        <x:v>ADR-021 — Security, Privacy, Permissions, and Sensitive Data; ADR-022 — Notifications, Background Work, and Calendar Integration</x:v>
      </x:c>
      <x:c r="I331" s="40" t="str">
        <x:v>AC-Q-009</x:v>
      </x:c>
      <x:c r="J331" s="40" t="str">
        <x:v>Yes</x:v>
      </x:c>
      <x:c r="K331" s="40" t="str">
        <x:v>V1</x:v>
      </x:c>
      <x:c r="L331" s="40" t="str">
        <x:v>Widget test</x:v>
      </x:c>
      <x:c r="M331" s="40" t="str">
        <x:v>OPD-4-006</x:v>
      </x:c>
      <x:c r="N331" s="40" t="str">
        <x:v>OPD-4-006: Use generic privacy-safe text until user opts into detail.</x:v>
      </x:c>
      <x:c r="O331" s="40" t="str">
        <x:v>VS-02, VS-03, VS-04, VS-08</x:v>
      </x:c>
      <x:c r="P331" s="40" t="str">
        <x:v>Not Started</x:v>
      </x:c>
      <x:c r="Q331" s="40"/>
    </x:row>
    <x:row r="332">
      <x:c r="A332" s="40" t="str">
        <x:v>VS-16</x:v>
      </x:c>
      <x:c r="B332" s="40" t="n">
        <x:v>16</x:v>
      </x:c>
      <x:c r="C332" s="40" t="str">
        <x:v>Wave 4 — Device Services and Reliability</x:v>
      </x:c>
      <x:c r="D332" s="40" t="str">
        <x:v>Q. Notifications and Reminders</x:v>
      </x:c>
      <x:c r="E332" s="40" t="str">
        <x:v>FR-Q-010</x:v>
      </x:c>
      <x:c r="F332" s="40" t="str">
        <x:v>Applicable reminder schedules shall recover after device restart or app update.</x:v>
      </x:c>
      <x:c r="G332" s="40" t="str">
        <x:v>BR-Q-002, BR-Q-004, BR-Q-010</x:v>
      </x:c>
      <x:c r="H332" s="40" t="str">
        <x:v>ADR-022 — Notifications, Background Work, and Calendar Integration</x:v>
      </x:c>
      <x:c r="I332" s="40" t="str">
        <x:v>AC-Q-010</x:v>
      </x:c>
      <x:c r="J332" s="40" t="str">
        <x:v>No</x:v>
      </x:c>
      <x:c r="K332" s="40" t="str">
        <x:v>V1</x:v>
      </x:c>
      <x:c r="L332" s="40" t="str">
        <x:v>Integration test</x:v>
      </x:c>
      <x:c r="M332" s="40" t="str">
        <x:v>OPD-4-007</x:v>
      </x:c>
      <x:c r="N332" s="40" t="str">
        <x:v>OPD-4-007: Do not replay expired reminders; use in-app attention states.</x:v>
      </x:c>
      <x:c r="O332" s="40" t="str">
        <x:v>VS-02, VS-03, VS-04, VS-08</x:v>
      </x:c>
      <x:c r="P332" s="40" t="str">
        <x:v>Not Started</x:v>
      </x:c>
      <x:c r="Q332" s="40"/>
    </x:row>
    <x:row r="333">
      <x:c r="A333" s="40" t="str">
        <x:v>VS-16</x:v>
      </x:c>
      <x:c r="B333" s="40" t="n">
        <x:v>16</x:v>
      </x:c>
      <x:c r="C333" s="40" t="str">
        <x:v>Wave 4 — Device Services and Reliability</x:v>
      </x:c>
      <x:c r="D333" s="40" t="str">
        <x:v>Q. Notifications and Reminders</x:v>
      </x:c>
      <x:c r="E333" s="40" t="str">
        <x:v>FR-Q-011</x:v>
      </x:c>
      <x:c r="F333" s="40" t="str">
        <x:v>Reminder scheduling and recovery shall prevent duplicate active reminders.</x:v>
      </x:c>
      <x:c r="G333" s="40" t="str">
        <x:v>BR-Q-006, BR-Q-007, BR-Q-010</x:v>
      </x:c>
      <x:c r="H333" s="40" t="str">
        <x:v>ADR-022 — Notifications, Background Work, and Calendar Integration</x:v>
      </x:c>
      <x:c r="I333" s="40" t="str">
        <x:v>AC-Q-011</x:v>
      </x:c>
      <x:c r="J333" s="40" t="str">
        <x:v>Yes</x:v>
      </x:c>
      <x:c r="K333" s="40" t="str">
        <x:v>V1</x:v>
      </x:c>
      <x:c r="L333" s="40" t="str">
        <x:v>Domain test / Integration test</x:v>
      </x:c>
      <x:c r="M333" s="40"/>
      <x:c r="N333" s="40"/>
      <x:c r="O333" s="40" t="str">
        <x:v>VS-02, VS-03, VS-04, VS-08</x:v>
      </x:c>
      <x:c r="P333" s="40" t="str">
        <x:v>Not Started</x:v>
      </x:c>
      <x:c r="Q333" s="40"/>
    </x:row>
    <x:row r="334">
      <x:c r="A334" s="40" t="str">
        <x:v>VS-16</x:v>
      </x:c>
      <x:c r="B334" s="40" t="n">
        <x:v>16</x:v>
      </x:c>
      <x:c r="C334" s="40" t="str">
        <x:v>Wave 4 — Device Services and Reliability</x:v>
      </x:c>
      <x:c r="D334" s="40" t="str">
        <x:v>Q. Notifications and Reminders</x:v>
      </x:c>
      <x:c r="E334" s="40" t="str">
        <x:v>FR-Q-012</x:v>
      </x:c>
      <x:c r="F334" s="40" t="str">
        <x:v>Permission denial shall not alter Tasks, events, reports, targets, Actual, or Scheduled Potential.</x:v>
      </x:c>
      <x:c r="G334" s="40" t="str">
        <x:v>BR-Q-001, BR-Q-002</x:v>
      </x:c>
      <x:c r="H334" s="40" t="str">
        <x:v>ADR-005 — Confirmed-Source Progress and Read-Only Actuals; ADR-011 — Event and Task Outcome Reporting; ADR-021 — Security, Privacy, Permissions, and Sensitive Data; ADR-022 — Notifications, Background Work, and Calendar Integration</x:v>
      </x:c>
      <x:c r="I334" s="40" t="str">
        <x:v>AC-Q-012</x:v>
      </x:c>
      <x:c r="J334" s="40" t="str">
        <x:v>Yes</x:v>
      </x:c>
      <x:c r="K334" s="40" t="str">
        <x:v>V1</x:v>
      </x:c>
      <x:c r="L334" s="40" t="str">
        <x:v>Domain test / Widget test</x:v>
      </x:c>
      <x:c r="M334" s="40"/>
      <x:c r="N334" s="40"/>
      <x:c r="O334" s="40" t="str">
        <x:v>VS-02, VS-03, VS-04, VS-08</x:v>
      </x:c>
      <x:c r="P334" s="40" t="str">
        <x:v>Not Started</x:v>
      </x:c>
      <x:c r="Q334" s="40"/>
    </x:row>
    <x:row r="335">
      <x:c r="A335" s="40" t="str">
        <x:v>VS-16</x:v>
      </x:c>
      <x:c r="B335" s="40" t="n">
        <x:v>16</x:v>
      </x:c>
      <x:c r="C335" s="40" t="str">
        <x:v>Wave 4 — Device Services and Reliability</x:v>
      </x:c>
      <x:c r="D335" s="40" t="str">
        <x:v>Q. Notifications and Reminders</x:v>
      </x:c>
      <x:c r="E335" s="40" t="str">
        <x:v>FR-Q-013</x:v>
      </x:c>
      <x:c r="F335" s="40" t="str">
        <x:v>Reminder definitions shall be stored locally and remain available offline.</x:v>
      </x:c>
      <x:c r="G335" s="40" t="str">
        <x:v>BR-Q-002, BR-Q-004</x:v>
      </x:c>
      <x:c r="H335" s="40" t="str">
        <x:v>ADR-022 — Notifications, Background Work, and Calendar Integration; ADR-006 — Local-First Operation with Background Synchronization; ADR-013 — Local Drift Database Architecture</x:v>
      </x:c>
      <x:c r="I335" s="40" t="str">
        <x:v>AC-Q-013</x:v>
      </x:c>
      <x:c r="J335" s="40" t="str">
        <x:v>Yes</x:v>
      </x:c>
      <x:c r="K335" s="40" t="str">
        <x:v>V1</x:v>
      </x:c>
      <x:c r="L335" s="40" t="str">
        <x:v>Database test</x:v>
      </x:c>
      <x:c r="M335" s="40"/>
      <x:c r="N335" s="40"/>
      <x:c r="O335" s="40" t="str">
        <x:v>VS-02, VS-03, VS-04, VS-08</x:v>
      </x:c>
      <x:c r="P335" s="40" t="str">
        <x:v>Not Started</x:v>
      </x:c>
      <x:c r="Q335" s="40"/>
    </x:row>
    <x:row r="336">
      <x:c r="A336" s="40" t="str">
        <x:v>VS-16</x:v>
      </x:c>
      <x:c r="B336" s="40" t="n">
        <x:v>16</x:v>
      </x:c>
      <x:c r="C336" s="40" t="str">
        <x:v>Wave 4 — Device Services and Reliability</x:v>
      </x:c>
      <x:c r="D336" s="40" t="str">
        <x:v>Q. Notifications and Reminders</x:v>
      </x:c>
      <x:c r="E336" s="40" t="str">
        <x:v>FR-Q-014</x:v>
      </x:c>
      <x:c r="F336" s="40" t="str">
        <x:v>Future reminders shall be reconciled after relevant date, time, or timezone changes.</x:v>
      </x:c>
      <x:c r="G336" s="40" t="str">
        <x:v>BR-Q-006, BR-Q-007, BR-Q-010</x:v>
      </x:c>
      <x:c r="H336" s="40" t="str">
        <x:v>ADR-022 — Notifications, Background Work, and Calendar Integration</x:v>
      </x:c>
      <x:c r="I336" s="40" t="str">
        <x:v>AC-Q-014</x:v>
      </x:c>
      <x:c r="J336" s="40" t="str">
        <x:v>No</x:v>
      </x:c>
      <x:c r="K336" s="40" t="str">
        <x:v>V1</x:v>
      </x:c>
      <x:c r="L336" s="40" t="str">
        <x:v>Domain test</x:v>
      </x:c>
      <x:c r="M336" s="40" t="str">
        <x:v>OPD-4-007</x:v>
      </x:c>
      <x:c r="N336" s="40" t="str">
        <x:v>OPD-4-007: Do not replay expired reminders; use in-app attention states.</x:v>
      </x:c>
      <x:c r="O336" s="40" t="str">
        <x:v>VS-02, VS-03, VS-04, VS-08</x:v>
      </x:c>
      <x:c r="P336" s="40" t="str">
        <x:v>Not Started</x:v>
      </x:c>
      <x:c r="Q336" s="40"/>
    </x:row>
    <x:row r="337">
      <x:c r="A337" s="40" t="str">
        <x:v>VS-16</x:v>
      </x:c>
      <x:c r="B337" s="40" t="n">
        <x:v>16</x:v>
      </x:c>
      <x:c r="C337" s="40" t="str">
        <x:v>Wave 4 — Device Services and Reliability</x:v>
      </x:c>
      <x:c r="D337" s="40" t="str">
        <x:v>Q. Notifications and Reminders</x:v>
      </x:c>
      <x:c r="E337" s="40" t="str">
        <x:v>FR-Q-015</x:v>
      </x:c>
      <x:c r="F337" s="40" t="str">
        <x:v>Reminder preferences and quiet hours shall be private to the Local Profile.</x:v>
      </x:c>
      <x:c r="G337" s="40" t="str">
        <x:v>BR-Q-004, BR-Q-008, BR-Q-009</x:v>
      </x:c>
      <x:c r="H337" s="40" t="str">
        <x:v>ADR-022 — Notifications, Background Work, and Calendar Integration; ADR-003 — Private Single-User Data Model</x:v>
      </x:c>
      <x:c r="I337" s="40" t="str">
        <x:v>AC-Q-015</x:v>
      </x:c>
      <x:c r="J337" s="40" t="str">
        <x:v>Yes</x:v>
      </x:c>
      <x:c r="K337" s="40" t="str">
        <x:v>V1</x:v>
      </x:c>
      <x:c r="L337" s="40" t="str">
        <x:v>Domain test</x:v>
      </x:c>
      <x:c r="M337" s="40" t="str">
        <x:v>OPD-4-005</x:v>
      </x:c>
      <x:c r="N337" s="40" t="str">
        <x:v>OPD-4-005: Off by default.</x:v>
      </x:c>
      <x:c r="O337" s="40" t="str">
        <x:v>VS-02, VS-03, VS-04, VS-08</x:v>
      </x:c>
      <x:c r="P337" s="40" t="str">
        <x:v>Not Started</x:v>
      </x:c>
      <x:c r="Q337" s="40"/>
    </x:row>
    <x:row r="338">
      <x:c r="A338" s="40" t="str">
        <x:v>VS-16</x:v>
      </x:c>
      <x:c r="B338" s="40" t="n">
        <x:v>16</x:v>
      </x:c>
      <x:c r="C338" s="40" t="str">
        <x:v>Wave 4 — Device Services and Reliability</x:v>
      </x:c>
      <x:c r="D338" s="40" t="str">
        <x:v>Q. Notifications and Reminders</x:v>
      </x:c>
      <x:c r="E338" s="40" t="str">
        <x:v>FR-Q-016</x:v>
      </x:c>
      <x:c r="F338" s="40" t="str">
        <x:v>Obsolete reminders shall be cancelled when their source is cancelled, rescheduled, deleted, or archived as applicable.</x:v>
      </x:c>
      <x:c r="G338" s="40" t="str">
        <x:v>BR-Q-003, BR-Q-005, BR-Q-010</x:v>
      </x:c>
      <x:c r="H338" s="40" t="str">
        <x:v>ADR-011 — Event and Task Outcome Reporting; ADR-022 — Notifications, Background Work, and Calendar Integration</x:v>
      </x:c>
      <x:c r="I338" s="40" t="str">
        <x:v>AC-Q-016</x:v>
      </x:c>
      <x:c r="J338" s="40" t="str">
        <x:v>No</x:v>
      </x:c>
      <x:c r="K338" s="40" t="str">
        <x:v>V1</x:v>
      </x:c>
      <x:c r="L338" s="40" t="str">
        <x:v>Domain test</x:v>
      </x:c>
      <x:c r="M338" s="40"/>
      <x:c r="N338" s="40"/>
      <x:c r="O338" s="40" t="str">
        <x:v>VS-02, VS-03, VS-04, VS-08</x:v>
      </x:c>
      <x:c r="P338" s="40" t="str">
        <x:v>Not Started</x:v>
      </x:c>
      <x:c r="Q338" s="40"/>
    </x:row>
    <x:row r="339">
      <x:c r="A339" s="40" t="str">
        <x:v>VS-17</x:v>
      </x:c>
      <x:c r="B339" s="40" t="n">
        <x:v>17</x:v>
      </x:c>
      <x:c r="C339" s="40" t="str">
        <x:v>Wave 4 — Device Services and Reliability</x:v>
      </x:c>
      <x:c r="D339" s="40" t="str">
        <x:v>R. BetterCalendar Import</x:v>
      </x:c>
      <x:c r="E339" s="40" t="str">
        <x:v>FR-R-001</x:v>
      </x:c>
      <x:c r="F339" s="40" t="str">
        <x:v>Guest and signed-in users shall be able to select a BetterCalendar JSON backup without requiring account creation.</x:v>
      </x:c>
      <x:c r="G339" s="40" t="str">
        <x:v>BR-R-001, BR-R-002</x:v>
      </x:c>
      <x:c r="H339" s="40" t="str">
        <x:v>ADR-014 — External Data Import and BetterCalendar Migration; ADR-017 — Local Backup, Export, Restore, and Disaster Recovery; ADR-002 — Guest-First Identity and Optional Accounts</x:v>
      </x:c>
      <x:c r="I339" s="40" t="str">
        <x:v>AC-R-001</x:v>
      </x:c>
      <x:c r="J339" s="40" t="str">
        <x:v>Yes</x:v>
      </x:c>
      <x:c r="K339" s="40" t="str">
        <x:v>V1</x:v>
      </x:c>
      <x:c r="L339" s="40" t="str">
        <x:v>Database test / Widget test / Integration test</x:v>
      </x:c>
      <x:c r="M339" s="40"/>
      <x:c r="N339" s="40"/>
      <x:c r="O339" s="40" t="str">
        <x:v>VS-02, VS-03, VS-04, VS-05, VS-11</x:v>
      </x:c>
      <x:c r="P339" s="40" t="str">
        <x:v>Not Started</x:v>
      </x:c>
      <x:c r="Q339" s="40"/>
    </x:row>
    <x:row r="340">
      <x:c r="A340" s="40" t="str">
        <x:v>VS-17</x:v>
      </x:c>
      <x:c r="B340" s="40" t="n">
        <x:v>17</x:v>
      </x:c>
      <x:c r="C340" s="40" t="str">
        <x:v>Wave 4 — Device Services and Reliability</x:v>
      </x:c>
      <x:c r="D340" s="40" t="str">
        <x:v>R. BetterCalendar Import</x:v>
      </x:c>
      <x:c r="E340" s="40" t="str">
        <x:v>FR-R-002</x:v>
      </x:c>
      <x:c r="F340" s="40" t="str">
        <x:v>validate JSON structure, source version, and recognized top-level fields before import.</x:v>
      </x:c>
      <x:c r="G340" s="40" t="str">
        <x:v>BR-R-005, BR-R-008, BR-R-009</x:v>
      </x:c>
      <x:c r="H340" s="40" t="str">
        <x:v>ADR-014 — External Data Import and BetterCalendar Migration</x:v>
      </x:c>
      <x:c r="I340" s="40" t="str">
        <x:v>AC-R-002</x:v>
      </x:c>
      <x:c r="J340" s="40" t="str">
        <x:v>Yes</x:v>
      </x:c>
      <x:c r="K340" s="40" t="str">
        <x:v>V1</x:v>
      </x:c>
      <x:c r="L340" s="40" t="str">
        <x:v>Integration test</x:v>
      </x:c>
      <x:c r="M340" s="40" t="str">
        <x:v>OPD-4-009</x:v>
      </x:c>
      <x:c r="N340" s="40" t="str">
        <x:v>OPD-4-009: Preserve as source metadata requiring review; do not map directly to outcomes.</x:v>
      </x:c>
      <x:c r="O340" s="40" t="str">
        <x:v>VS-02, VS-03, VS-04, VS-05, VS-11</x:v>
      </x:c>
      <x:c r="P340" s="40" t="str">
        <x:v>Not Started</x:v>
      </x:c>
      <x:c r="Q340" s="40"/>
    </x:row>
    <x:row r="341">
      <x:c r="A341" s="40" t="str">
        <x:v>VS-17</x:v>
      </x:c>
      <x:c r="B341" s="40" t="n">
        <x:v>17</x:v>
      </x:c>
      <x:c r="C341" s="40" t="str">
        <x:v>Wave 4 — Device Services and Reliability</x:v>
      </x:c>
      <x:c r="D341" s="40" t="str">
        <x:v>R. BetterCalendar Import</x:v>
      </x:c>
      <x:c r="E341" s="40" t="str">
        <x:v>FR-R-003</x:v>
      </x:c>
      <x:c r="F341" s="40" t="str">
        <x:v>The importer shall recognize supported contacts, events, tasks, settings, appVersion, and exportDate content.</x:v>
      </x:c>
      <x:c r="G341" s="40" t="str">
        <x:v>BR-R-004</x:v>
      </x:c>
      <x:c r="H341" s="40" t="str">
        <x:v>ADR-014 — External Data Import and BetterCalendar Migration</x:v>
      </x:c>
      <x:c r="I341" s="40" t="str">
        <x:v>AC-R-003</x:v>
      </x:c>
      <x:c r="J341" s="40" t="str">
        <x:v>Yes</x:v>
      </x:c>
      <x:c r="K341" s="40" t="str">
        <x:v>V1</x:v>
      </x:c>
      <x:c r="L341" s="40" t="str">
        <x:v>Integration test</x:v>
      </x:c>
      <x:c r="M341" s="40" t="str">
        <x:v>OPD-4-012</x:v>
      </x:c>
      <x:c r="N341" s="40" t="str">
        <x:v>OPD-4-012: Import only explicitly supported non-sensitive preferences.</x:v>
      </x:c>
      <x:c r="O341" s="40" t="str">
        <x:v>VS-02, VS-03, VS-04, VS-05, VS-11</x:v>
      </x:c>
      <x:c r="P341" s="40" t="str">
        <x:v>Not Started</x:v>
      </x:c>
      <x:c r="Q341" s="40"/>
    </x:row>
    <x:row r="342">
      <x:c r="A342" s="40" t="str">
        <x:v>VS-17</x:v>
      </x:c>
      <x:c r="B342" s="40" t="n">
        <x:v>17</x:v>
      </x:c>
      <x:c r="C342" s="40" t="str">
        <x:v>Wave 4 — Device Services and Reliability</x:v>
      </x:c>
      <x:c r="D342" s="40" t="str">
        <x:v>R. BetterCalendar Import</x:v>
      </x:c>
      <x:c r="E342" s="40" t="str">
        <x:v>FR-R-004</x:v>
      </x:c>
      <x:c r="F342" s="40" t="str">
        <x:v>present an import preview with counts, warnings, duplicates, unsupported fields, and category selections.</x:v>
      </x:c>
      <x:c r="G342" s="40" t="str">
        <x:v>BR-R-005, BR-R-008, BR-R-009</x:v>
      </x:c>
      <x:c r="H342" s="40" t="str">
        <x:v>ADR-014 — External Data Import and BetterCalendar Migration</x:v>
      </x:c>
      <x:c r="I342" s="40" t="str">
        <x:v>AC-R-004</x:v>
      </x:c>
      <x:c r="J342" s="40" t="str">
        <x:v>Yes</x:v>
      </x:c>
      <x:c r="K342" s="40" t="str">
        <x:v>V1</x:v>
      </x:c>
      <x:c r="L342" s="40" t="str">
        <x:v>Domain test / Widget test / Integration test</x:v>
      </x:c>
      <x:c r="M342" s="40"/>
      <x:c r="N342" s="40"/>
      <x:c r="O342" s="40" t="str">
        <x:v>VS-02, VS-03, VS-04, VS-05, VS-11</x:v>
      </x:c>
      <x:c r="P342" s="40" t="str">
        <x:v>Not Started</x:v>
      </x:c>
      <x:c r="Q342" s="40"/>
    </x:row>
    <x:row r="343">
      <x:c r="A343" s="40" t="str">
        <x:v>VS-17</x:v>
      </x:c>
      <x:c r="B343" s="40" t="n">
        <x:v>17</x:v>
      </x:c>
      <x:c r="C343" s="40" t="str">
        <x:v>Wave 4 — Device Services and Reliability</x:v>
      </x:c>
      <x:c r="D343" s="40" t="str">
        <x:v>R. BetterCalendar Import</x:v>
      </x:c>
      <x:c r="E343" s="40" t="str">
        <x:v>FR-R-005</x:v>
      </x:c>
      <x:c r="F343" s="40" t="str">
        <x:v>Duplicate Task representations with the same source ID and eventType TASK shall be imported as one Task.</x:v>
      </x:c>
      <x:c r="G343" s="40" t="str">
        <x:v>BR-R-005, BR-R-007</x:v>
      </x:c>
      <x:c r="H343" s="40" t="str">
        <x:v>ADR-014 — External Data Import and BetterCalendar Migration</x:v>
      </x:c>
      <x:c r="I343" s="40" t="str">
        <x:v>AC-R-005</x:v>
      </x:c>
      <x:c r="J343" s="40" t="str">
        <x:v>Yes</x:v>
      </x:c>
      <x:c r="K343" s="40" t="str">
        <x:v>V1</x:v>
      </x:c>
      <x:c r="L343" s="40" t="str">
        <x:v>Domain test / Integration test</x:v>
      </x:c>
      <x:c r="M343" s="40" t="str">
        <x:v>OPD-4-009</x:v>
      </x:c>
      <x:c r="N343" s="40" t="str">
        <x:v>OPD-4-009: Preserve as source metadata requiring review; do not map directly to outcomes.</x:v>
      </x:c>
      <x:c r="O343" s="40" t="str">
        <x:v>VS-02, VS-03, VS-04, VS-05, VS-11</x:v>
      </x:c>
      <x:c r="P343" s="40" t="str">
        <x:v>Not Started</x:v>
      </x:c>
      <x:c r="Q343" s="40"/>
    </x:row>
    <x:row r="344">
      <x:c r="A344" s="40" t="str">
        <x:v>VS-17</x:v>
      </x:c>
      <x:c r="B344" s="40" t="n">
        <x:v>17</x:v>
      </x:c>
      <x:c r="C344" s="40" t="str">
        <x:v>Wave 4 — Device Services and Reliability</x:v>
      </x:c>
      <x:c r="D344" s="40" t="str">
        <x:v>R. BetterCalendar Import</x:v>
      </x:c>
      <x:c r="E344" s="40" t="str">
        <x:v>FR-R-006</x:v>
      </x:c>
      <x:c r="F344" s="40" t="str">
        <x:v>Imported Tasks and Calendar Events shall remain separate domain entities.</x:v>
      </x:c>
      <x:c r="G344" s="40" t="str">
        <x:v>BR-R-001, BR-R-004, BR-R-007</x:v>
      </x:c>
      <x:c r="H344" s="40" t="str">
        <x:v>ADR-004 — Separation of Tasks and Calendar Events; ADR-014 — External Data Import and BetterCalendar Migration</x:v>
      </x:c>
      <x:c r="I344" s="40" t="str">
        <x:v>AC-R-006</x:v>
      </x:c>
      <x:c r="J344" s="40" t="str">
        <x:v>Yes</x:v>
      </x:c>
      <x:c r="K344" s="40" t="str">
        <x:v>V1</x:v>
      </x:c>
      <x:c r="L344" s="40" t="str">
        <x:v>Integration test</x:v>
      </x:c>
      <x:c r="M344" s="40"/>
      <x:c r="N344" s="40"/>
      <x:c r="O344" s="40" t="str">
        <x:v>VS-02, VS-03, VS-04, VS-05, VS-11</x:v>
      </x:c>
      <x:c r="P344" s="40" t="str">
        <x:v>Not Started</x:v>
      </x:c>
      <x:c r="Q344" s="40"/>
    </x:row>
    <x:row r="345">
      <x:c r="A345" s="40" t="str">
        <x:v>VS-17</x:v>
      </x:c>
      <x:c r="B345" s="40" t="n">
        <x:v>17</x:v>
      </x:c>
      <x:c r="C345" s="40" t="str">
        <x:v>Wave 4 — Device Services and Reliability</x:v>
      </x:c>
      <x:c r="D345" s="40" t="str">
        <x:v>R. BetterCalendar Import</x:v>
      </x:c>
      <x:c r="E345" s="40" t="str">
        <x:v>FR-R-007</x:v>
      </x:c>
      <x:c r="F345" s="40" t="str">
        <x:v>Import shall not create Actual or Activity Ledger contributions from imported schedule or completion fields alone.</x:v>
      </x:c>
      <x:c r="G345" s="40" t="str">
        <x:v>BR-R-001, BR-R-007, BR-R-009</x:v>
      </x:c>
      <x:c r="H345" s="40" t="str">
        <x:v>ADR-005 — Confirmed-Source Progress and Read-Only Actuals; ADR-012 — Activity Ledger and Contribution Engine; ADR-014 — External Data Import and BetterCalendar Migration</x:v>
      </x:c>
      <x:c r="I345" s="40" t="str">
        <x:v>AC-R-007</x:v>
      </x:c>
      <x:c r="J345" s="40" t="str">
        <x:v>Yes</x:v>
      </x:c>
      <x:c r="K345" s="40" t="str">
        <x:v>V1</x:v>
      </x:c>
      <x:c r="L345" s="40" t="str">
        <x:v>Domain test / Database test / Integration test</x:v>
      </x:c>
      <x:c r="M345" s="40" t="str">
        <x:v>OPD-4-009</x:v>
      </x:c>
      <x:c r="N345" s="40" t="str">
        <x:v>OPD-4-009: Preserve as source metadata requiring review; do not map directly to outcomes.</x:v>
      </x:c>
      <x:c r="O345" s="40" t="str">
        <x:v>VS-02, VS-03, VS-04, VS-05, VS-11</x:v>
      </x:c>
      <x:c r="P345" s="40" t="str">
        <x:v>Not Started</x:v>
      </x:c>
      <x:c r="Q345" s="40"/>
    </x:row>
    <x:row r="346">
      <x:c r="A346" s="40" t="str">
        <x:v>VS-17</x:v>
      </x:c>
      <x:c r="B346" s="40" t="n">
        <x:v>17</x:v>
      </x:c>
      <x:c r="C346" s="40" t="str">
        <x:v>Wave 4 — Device Services and Reliability</x:v>
      </x:c>
      <x:c r="D346" s="40" t="str">
        <x:v>R. BetterCalendar Import</x:v>
      </x:c>
      <x:c r="E346" s="40" t="str">
        <x:v>FR-R-008</x:v>
      </x:c>
      <x:c r="F346" s="40" t="str">
        <x:v>Imported scheduled Calendar Events shall not receive happened outcomes from elapsed source dates.</x:v>
      </x:c>
      <x:c r="G346" s="40" t="str">
        <x:v>BR-R-001, BR-R-004, BR-R-007</x:v>
      </x:c>
      <x:c r="H346" s="40" t="str">
        <x:v>ADR-011 — Event and Task Outcome Reporting; ADR-014 — External Data Import and BetterCalendar Migration</x:v>
      </x:c>
      <x:c r="I346" s="40" t="str">
        <x:v>AC-R-008</x:v>
      </x:c>
      <x:c r="J346" s="40" t="str">
        <x:v>Yes</x:v>
      </x:c>
      <x:c r="K346" s="40" t="str">
        <x:v>V1</x:v>
      </x:c>
      <x:c r="L346" s="40" t="str">
        <x:v>Domain test / Integration test</x:v>
      </x:c>
      <x:c r="M346" s="40" t="str">
        <x:v>OPD-4-009, OPD-4-013</x:v>
      </x:c>
      <x:c r="N346" s="40" t="str">
        <x:v>OPD-4-009: Preserve as source metadata requiring review; do not map directly to outcomes. | OPD-4-013: Allow rollback until imported records receive dependent edits.</x:v>
      </x:c>
      <x:c r="O346" s="40" t="str">
        <x:v>VS-02, VS-03, VS-04, VS-05, VS-11</x:v>
      </x:c>
      <x:c r="P346" s="40" t="str">
        <x:v>Not Started</x:v>
      </x:c>
      <x:c r="Q346" s="40"/>
    </x:row>
    <x:row r="347">
      <x:c r="A347" s="40" t="str">
        <x:v>VS-17</x:v>
      </x:c>
      <x:c r="B347" s="40" t="n">
        <x:v>17</x:v>
      </x:c>
      <x:c r="C347" s="40" t="str">
        <x:v>Wave 4 — Device Services and Reliability</x:v>
      </x:c>
      <x:c r="D347" s="40" t="str">
        <x:v>R. BetterCalendar Import</x:v>
      </x:c>
      <x:c r="E347" s="40" t="str">
        <x:v>FR-R-009</x:v>
      </x:c>
      <x:c r="F347" s="40" t="str">
        <x:v>Every imported record shall retain import-batch and source provenance sufficient for deduplication and support.</x:v>
      </x:c>
      <x:c r="G347" s="40" t="str">
        <x:v>BR-R-006, BR-R-007, BR-R-009</x:v>
      </x:c>
      <x:c r="H347" s="40" t="str">
        <x:v>ADR-014 — External Data Import and BetterCalendar Migration; ADR-023 — Testing, Observability, Diagnostics, and Quality Strategy</x:v>
      </x:c>
      <x:c r="I347" s="40" t="str">
        <x:v>AC-R-009</x:v>
      </x:c>
      <x:c r="J347" s="40" t="str">
        <x:v>No</x:v>
      </x:c>
      <x:c r="K347" s="40" t="str">
        <x:v>V1</x:v>
      </x:c>
      <x:c r="L347" s="40" t="str">
        <x:v>Domain test / Integration test</x:v>
      </x:c>
      <x:c r="M347" s="40" t="str">
        <x:v>OPD-4-009, OPD-4-011</x:v>
      </x:c>
      <x:c r="N347" s="40" t="str">
        <x:v>OPD-4-009: Preserve as source metadata requiring review; do not map directly to outcomes. | OPD-4-011: Default to Skip Existing when stable source identity matches.</x:v>
      </x:c>
      <x:c r="O347" s="40" t="str">
        <x:v>VS-02, VS-03, VS-04, VS-05, VS-11</x:v>
      </x:c>
      <x:c r="P347" s="40" t="str">
        <x:v>Not Started</x:v>
      </x:c>
      <x:c r="Q347" s="40"/>
    </x:row>
    <x:row r="348">
      <x:c r="A348" s="40" t="str">
        <x:v>VS-17</x:v>
      </x:c>
      <x:c r="B348" s="40" t="n">
        <x:v>17</x:v>
      </x:c>
      <x:c r="C348" s="40" t="str">
        <x:v>Wave 4 — Device Services and Reliability</x:v>
      </x:c>
      <x:c r="D348" s="40" t="str">
        <x:v>R. BetterCalendar Import</x:v>
      </x:c>
      <x:c r="E348" s="40" t="str">
        <x:v>FR-R-010</x:v>
      </x:c>
      <x:c r="F348" s="40" t="str">
        <x:v>Imported Contacts shall remain private records belonging to the Local Profile.</x:v>
      </x:c>
      <x:c r="G348" s="40" t="str">
        <x:v>BR-R-004, BR-R-007</x:v>
      </x:c>
      <x:c r="H348" s="40" t="str">
        <x:v>ADR-014 — External Data Import and BetterCalendar Migration</x:v>
      </x:c>
      <x:c r="I348" s="40" t="str">
        <x:v>AC-R-010</x:v>
      </x:c>
      <x:c r="J348" s="40" t="str">
        <x:v>Yes</x:v>
      </x:c>
      <x:c r="K348" s="40" t="str">
        <x:v>V1</x:v>
      </x:c>
      <x:c r="L348" s="40" t="str">
        <x:v>Integration test</x:v>
      </x:c>
      <x:c r="M348" s="40" t="str">
        <x:v>OPD-4-013</x:v>
      </x:c>
      <x:c r="N348" s="40" t="str">
        <x:v>OPD-4-013: Allow rollback until imported records receive dependent edits.</x:v>
      </x:c>
      <x:c r="O348" s="40" t="str">
        <x:v>VS-02, VS-03, VS-04, VS-05, VS-11</x:v>
      </x:c>
      <x:c r="P348" s="40" t="str">
        <x:v>Not Started</x:v>
      </x:c>
      <x:c r="Q348" s="40"/>
    </x:row>
    <x:row r="349">
      <x:c r="A349" s="40" t="str">
        <x:v>VS-17</x:v>
      </x:c>
      <x:c r="B349" s="40" t="n">
        <x:v>17</x:v>
      </x:c>
      <x:c r="C349" s="40" t="str">
        <x:v>Wave 4 — Device Services and Reliability</x:v>
      </x:c>
      <x:c r="D349" s="40" t="str">
        <x:v>R. BetterCalendar Import</x:v>
      </x:c>
      <x:c r="E349" s="40" t="str">
        <x:v>FR-R-011</x:v>
      </x:c>
      <x:c r="F349" s="40" t="str">
        <x:v>Supported recurrence information shall map into Next Transfer recurrence without merging occurrence identities.</x:v>
      </x:c>
      <x:c r="G349" s="40" t="str">
        <x:v>BR-R-002</x:v>
      </x:c>
      <x:c r="H349" s="40" t="str">
        <x:v>ADR-014 — External Data Import and BetterCalendar Migration</x:v>
      </x:c>
      <x:c r="I349" s="40" t="str">
        <x:v>AC-R-011</x:v>
      </x:c>
      <x:c r="J349" s="40" t="str">
        <x:v>Yes</x:v>
      </x:c>
      <x:c r="K349" s="40" t="str">
        <x:v>V1</x:v>
      </x:c>
      <x:c r="L349" s="40" t="str">
        <x:v>Domain test</x:v>
      </x:c>
      <x:c r="M349" s="40"/>
      <x:c r="N349" s="40"/>
      <x:c r="O349" s="40" t="str">
        <x:v>VS-02, VS-03, VS-04, VS-05, VS-11</x:v>
      </x:c>
      <x:c r="P349" s="40" t="str">
        <x:v>Not Started</x:v>
      </x:c>
      <x:c r="Q349" s="40"/>
    </x:row>
    <x:row r="350">
      <x:c r="A350" s="40" t="str">
        <x:v>VS-17</x:v>
      </x:c>
      <x:c r="B350" s="40" t="n">
        <x:v>17</x:v>
      </x:c>
      <x:c r="C350" s="40" t="str">
        <x:v>Wave 4 — Device Services and Reliability</x:v>
      </x:c>
      <x:c r="D350" s="40" t="str">
        <x:v>R. BetterCalendar Import</x:v>
      </x:c>
      <x:c r="E350" s="40" t="str">
        <x:v>FR-R-012</x:v>
      </x:c>
      <x:c r="F350" s="40" t="str">
        <x:v>Unsupported source fields shall be listed in the import report and shall not be silently reclassified.</x:v>
      </x:c>
      <x:c r="G350" s="40" t="str">
        <x:v>BR-R-005, BR-R-008, BR-R-009</x:v>
      </x:c>
      <x:c r="H350" s="40" t="str">
        <x:v>ADR-011 — Event and Task Outcome Reporting; ADR-014 — External Data Import and BetterCalendar Migration</x:v>
      </x:c>
      <x:c r="I350" s="40" t="str">
        <x:v>AC-R-012</x:v>
      </x:c>
      <x:c r="J350" s="40" t="str">
        <x:v>Yes</x:v>
      </x:c>
      <x:c r="K350" s="40" t="str">
        <x:v>V1</x:v>
      </x:c>
      <x:c r="L350" s="40" t="str">
        <x:v>Integration test</x:v>
      </x:c>
      <x:c r="M350" s="40" t="str">
        <x:v>OPD-4-009, OPD-4-010</x:v>
      </x:c>
      <x:c r="N350" s="40" t="str">
        <x:v>OPD-4-009: Preserve as source metadata requiring review; do not map directly to outcomes. | OPD-4-010: Retain a privacy-safe manifest, not full unknown payload duplication.</x:v>
      </x:c>
      <x:c r="O350" s="40" t="str">
        <x:v>VS-02, VS-03, VS-04, VS-05, VS-11</x:v>
      </x:c>
      <x:c r="P350" s="40" t="str">
        <x:v>Not Started</x:v>
      </x:c>
      <x:c r="Q350" s="40"/>
    </x:row>
    <x:row r="351">
      <x:c r="A351" s="40" t="str">
        <x:v>VS-17</x:v>
      </x:c>
      <x:c r="B351" s="40" t="n">
        <x:v>17</x:v>
      </x:c>
      <x:c r="C351" s="40" t="str">
        <x:v>Wave 4 — Device Services and Reliability</x:v>
      </x:c>
      <x:c r="D351" s="40" t="str">
        <x:v>R. BetterCalendar Import</x:v>
      </x:c>
      <x:c r="E351" s="40" t="str">
        <x:v>FR-R-013</x:v>
      </x:c>
      <x:c r="F351" s="40" t="str">
        <x:v>be able to select supported import categories when dependency rules permit partial import.</x:v>
      </x:c>
      <x:c r="G351" s="40" t="str">
        <x:v>BR-R-002, BR-R-005, BR-R-009</x:v>
      </x:c>
      <x:c r="H351" s="40" t="str">
        <x:v>ADR-014 — External Data Import and BetterCalendar Migration</x:v>
      </x:c>
      <x:c r="I351" s="40" t="str">
        <x:v>AC-R-013</x:v>
      </x:c>
      <x:c r="J351" s="40" t="str">
        <x:v>No</x:v>
      </x:c>
      <x:c r="K351" s="40" t="str">
        <x:v>V1</x:v>
      </x:c>
      <x:c r="L351" s="40" t="str">
        <x:v>Widget test / Integration test</x:v>
      </x:c>
      <x:c r="M351" s="40" t="str">
        <x:v>OPD-4-012</x:v>
      </x:c>
      <x:c r="N351" s="40" t="str">
        <x:v>OPD-4-012: Import only explicitly supported non-sensitive preferences.</x:v>
      </x:c>
      <x:c r="O351" s="40" t="str">
        <x:v>VS-02, VS-03, VS-04, VS-05, VS-11</x:v>
      </x:c>
      <x:c r="P351" s="40" t="str">
        <x:v>Not Started</x:v>
      </x:c>
      <x:c r="Q351" s="40"/>
    </x:row>
    <x:row r="352">
      <x:c r="A352" s="40" t="str">
        <x:v>VS-17</x:v>
      </x:c>
      <x:c r="B352" s="40" t="n">
        <x:v>17</x:v>
      </x:c>
      <x:c r="C352" s="40" t="str">
        <x:v>Wave 4 — Device Services and Reliability</x:v>
      </x:c>
      <x:c r="D352" s="40" t="str">
        <x:v>R. BetterCalendar Import</x:v>
      </x:c>
      <x:c r="E352" s="40" t="str">
        <x:v>FR-R-014</x:v>
      </x:c>
      <x:c r="F352" s="40" t="str">
        <x:v>A recoverable checkpoint shall be created before import changes live local data.</x:v>
      </x:c>
      <x:c r="G352" s="40" t="str">
        <x:v>BR-R-005, BR-R-009, BR-R-010</x:v>
      </x:c>
      <x:c r="H352" s="40" t="str">
        <x:v>ADR-014 — External Data Import and BetterCalendar Migration</x:v>
      </x:c>
      <x:c r="I352" s="40" t="str">
        <x:v>AC-R-014</x:v>
      </x:c>
      <x:c r="J352" s="40" t="str">
        <x:v>No</x:v>
      </x:c>
      <x:c r="K352" s="40" t="str">
        <x:v>V1</x:v>
      </x:c>
      <x:c r="L352" s="40" t="str">
        <x:v>Integration test</x:v>
      </x:c>
      <x:c r="M352" s="40"/>
      <x:c r="N352" s="40"/>
      <x:c r="O352" s="40" t="str">
        <x:v>VS-02, VS-03, VS-04, VS-05, VS-11</x:v>
      </x:c>
      <x:c r="P352" s="40" t="str">
        <x:v>Not Started</x:v>
      </x:c>
      <x:c r="Q352" s="40"/>
    </x:row>
    <x:row r="353">
      <x:c r="A353" s="40" t="str">
        <x:v>VS-17</x:v>
      </x:c>
      <x:c r="B353" s="40" t="n">
        <x:v>17</x:v>
      </x:c>
      <x:c r="C353" s="40" t="str">
        <x:v>Wave 4 — Device Services and Reliability</x:v>
      </x:c>
      <x:c r="D353" s="40" t="str">
        <x:v>R. BetterCalendar Import</x:v>
      </x:c>
      <x:c r="E353" s="40" t="str">
        <x:v>FR-R-015</x:v>
      </x:c>
      <x:c r="F353" s="40" t="str">
        <x:v>Import retries shall not duplicate previously committed records from the same batch or source identity.</x:v>
      </x:c>
      <x:c r="G353" s="40" t="str">
        <x:v>BR-R-001, BR-R-005, BR-R-009</x:v>
      </x:c>
      <x:c r="H353" s="40" t="str">
        <x:v>ADR-009 — Domain Ownership and Relationship Model; ADR-014 — External Data Import and BetterCalendar Migration</x:v>
      </x:c>
      <x:c r="I353" s="40" t="str">
        <x:v>AC-R-015</x:v>
      </x:c>
      <x:c r="J353" s="40" t="str">
        <x:v>Yes</x:v>
      </x:c>
      <x:c r="K353" s="40" t="str">
        <x:v>V1</x:v>
      </x:c>
      <x:c r="L353" s="40" t="str">
        <x:v>Domain test / Integration test</x:v>
      </x:c>
      <x:c r="M353" s="40" t="str">
        <x:v>OPD-4-011</x:v>
      </x:c>
      <x:c r="N353" s="40" t="str">
        <x:v>OPD-4-011: Default to Skip Existing when stable source identity matches.</x:v>
      </x:c>
      <x:c r="O353" s="40" t="str">
        <x:v>VS-02, VS-03, VS-04, VS-05, VS-11</x:v>
      </x:c>
      <x:c r="P353" s="40" t="str">
        <x:v>Not Started</x:v>
      </x:c>
      <x:c r="Q353" s="40"/>
    </x:row>
    <x:row r="354">
      <x:c r="A354" s="40" t="str">
        <x:v>VS-17</x:v>
      </x:c>
      <x:c r="B354" s="40" t="n">
        <x:v>17</x:v>
      </x:c>
      <x:c r="C354" s="40" t="str">
        <x:v>Wave 4 — Device Services and Reliability</x:v>
      </x:c>
      <x:c r="D354" s="40" t="str">
        <x:v>R. BetterCalendar Import</x:v>
      </x:c>
      <x:c r="E354" s="40" t="str">
        <x:v>FR-R-016</x:v>
      </x:c>
      <x:c r="F354" s="40" t="str">
        <x:v>Existing local records shall not be overwritten solely because titles or visible fields match imported records.</x:v>
      </x:c>
      <x:c r="G354" s="40" t="str">
        <x:v>BR-R-007, BR-R-008</x:v>
      </x:c>
      <x:c r="H354" s="40" t="str">
        <x:v>ADR-014 — External Data Import and BetterCalendar Migration; ADR-013 — Local Drift Database Architecture</x:v>
      </x:c>
      <x:c r="I354" s="40" t="str">
        <x:v>AC-R-016</x:v>
      </x:c>
      <x:c r="J354" s="40" t="str">
        <x:v>Yes</x:v>
      </x:c>
      <x:c r="K354" s="40" t="str">
        <x:v>V1</x:v>
      </x:c>
      <x:c r="L354" s="40" t="str">
        <x:v>Database test / Integration test</x:v>
      </x:c>
      <x:c r="M354" s="40" t="str">
        <x:v>OPD-4-009, OPD-4-013</x:v>
      </x:c>
      <x:c r="N354" s="40" t="str">
        <x:v>OPD-4-009: Preserve as source metadata requiring review; do not map directly to outcomes. | OPD-4-013: Allow rollback until imported records receive dependent edits.</x:v>
      </x:c>
      <x:c r="O354" s="40" t="str">
        <x:v>VS-02, VS-03, VS-04, VS-05, VS-11</x:v>
      </x:c>
      <x:c r="P354" s="40" t="str">
        <x:v>Not Started</x:v>
      </x:c>
      <x:c r="Q354" s="40"/>
    </x:row>
    <x:row r="355">
      <x:c r="A355" s="40" t="str">
        <x:v>VS-17</x:v>
      </x:c>
      <x:c r="B355" s="40" t="n">
        <x:v>17</x:v>
      </x:c>
      <x:c r="C355" s="40" t="str">
        <x:v>Wave 4 — Device Services and Reliability</x:v>
      </x:c>
      <x:c r="D355" s="40" t="str">
        <x:v>R. BetterCalendar Import</x:v>
      </x:c>
      <x:c r="E355" s="40" t="str">
        <x:v>FR-R-017</x:v>
      </x:c>
      <x:c r="F355" s="40" t="str">
        <x:v>Only explicitly supported and safe BetterCalendar settings shall be eligible for import.</x:v>
      </x:c>
      <x:c r="G355" s="40" t="str">
        <x:v>BR-R-001, BR-R-005, BR-R-009</x:v>
      </x:c>
      <x:c r="H355" s="40" t="str">
        <x:v>ADR-014 — External Data Import and BetterCalendar Migration</x:v>
      </x:c>
      <x:c r="I355" s="40" t="str">
        <x:v>AC-R-017</x:v>
      </x:c>
      <x:c r="J355" s="40" t="str">
        <x:v>No</x:v>
      </x:c>
      <x:c r="K355" s="40" t="str">
        <x:v>V1</x:v>
      </x:c>
      <x:c r="L355" s="40" t="str">
        <x:v>Integration test</x:v>
      </x:c>
      <x:c r="M355" s="40" t="str">
        <x:v>OPD-4-012</x:v>
      </x:c>
      <x:c r="N355" s="40" t="str">
        <x:v>OPD-4-012: Import only explicitly supported non-sensitive preferences.</x:v>
      </x:c>
      <x:c r="O355" s="40" t="str">
        <x:v>VS-02, VS-03, VS-04, VS-05, VS-11</x:v>
      </x:c>
      <x:c r="P355" s="40" t="str">
        <x:v>Not Started</x:v>
      </x:c>
      <x:c r="Q355" s="40"/>
    </x:row>
    <x:row r="356">
      <x:c r="A356" s="40" t="str">
        <x:v>VS-17</x:v>
      </x:c>
      <x:c r="B356" s="40" t="n">
        <x:v>17</x:v>
      </x:c>
      <x:c r="C356" s="40" t="str">
        <x:v>Wave 4 — Device Services and Reliability</x:v>
      </x:c>
      <x:c r="D356" s="40" t="str">
        <x:v>R. BetterCalendar Import</x:v>
      </x:c>
      <x:c r="E356" s="40" t="str">
        <x:v>FR-R-018</x:v>
      </x:c>
      <x:c r="F356" s="40" t="str">
        <x:v>Validation, preview, commit, and supported rollback shall operate offline using Drift.</x:v>
      </x:c>
      <x:c r="G356" s="40" t="str">
        <x:v>BR-R-003, BR-R-010</x:v>
      </x:c>
      <x:c r="H356" s="40" t="str">
        <x:v>ADR-014 — External Data Import and BetterCalendar Migration; ADR-006 — Local-First Operation with Background Synchronization; ADR-013 — Local Drift Database Architecture</x:v>
      </x:c>
      <x:c r="I356" s="40" t="str">
        <x:v>AC-R-018</x:v>
      </x:c>
      <x:c r="J356" s="40" t="str">
        <x:v>Yes</x:v>
      </x:c>
      <x:c r="K356" s="40" t="str">
        <x:v>V1</x:v>
      </x:c>
      <x:c r="L356" s="40" t="str">
        <x:v>Database test / Widget test</x:v>
      </x:c>
      <x:c r="M356" s="40"/>
      <x:c r="N356" s="40"/>
      <x:c r="O356" s="40" t="str">
        <x:v>VS-02, VS-03, VS-04, VS-05, VS-11</x:v>
      </x:c>
      <x:c r="P356" s="40" t="str">
        <x:v>Not Started</x:v>
      </x:c>
      <x:c r="Q356" s="40"/>
    </x:row>
    <x:row r="357">
      <x:c r="A357" s="40" t="str">
        <x:v>VS-17</x:v>
      </x:c>
      <x:c r="B357" s="40" t="n">
        <x:v>17</x:v>
      </x:c>
      <x:c r="C357" s="40" t="str">
        <x:v>Wave 4 — Device Services and Reliability</x:v>
      </x:c>
      <x:c r="D357" s="40" t="str">
        <x:v>R. BetterCalendar Import</x:v>
      </x:c>
      <x:c r="E357" s="40" t="str">
        <x:v>FR-R-019</x:v>
      </x:c>
      <x:c r="F357" s="40" t="str">
        <x:v>Import shall not silently overwrite existing reports, ledger history, or user-edited records.</x:v>
      </x:c>
      <x:c r="G357" s="40" t="str">
        <x:v>BR-R-002, BR-R-005, BR-R-009</x:v>
      </x:c>
      <x:c r="H357" s="40" t="str">
        <x:v>ADR-011 — Event and Task Outcome Reporting; ADR-012 — Activity Ledger and Contribution Engine; ADR-014 — External Data Import and BetterCalendar Migration</x:v>
      </x:c>
      <x:c r="I357" s="40" t="str">
        <x:v>AC-R-019</x:v>
      </x:c>
      <x:c r="J357" s="40" t="str">
        <x:v>Yes</x:v>
      </x:c>
      <x:c r="K357" s="40" t="str">
        <x:v>V1</x:v>
      </x:c>
      <x:c r="L357" s="40" t="str">
        <x:v>Database test / Integration test</x:v>
      </x:c>
      <x:c r="M357" s="40"/>
      <x:c r="N357" s="40"/>
      <x:c r="O357" s="40" t="str">
        <x:v>VS-02, VS-03, VS-04, VS-05, VS-11</x:v>
      </x:c>
      <x:c r="P357" s="40" t="str">
        <x:v>Not Started</x:v>
      </x:c>
      <x:c r="Q357" s="40"/>
    </x:row>
    <x:row r="358">
      <x:c r="A358" s="40" t="str">
        <x:v>VS-17</x:v>
      </x:c>
      <x:c r="B358" s="40" t="n">
        <x:v>17</x:v>
      </x:c>
      <x:c r="C358" s="40" t="str">
        <x:v>Wave 4 — Device Services and Reliability</x:v>
      </x:c>
      <x:c r="D358" s="40" t="str">
        <x:v>R. BetterCalendar Import</x:v>
      </x:c>
      <x:c r="E358" s="40" t="str">
        <x:v>FR-R-020</x:v>
      </x:c>
      <x:c r="F358" s="40" t="str">
        <x:v>provide an import summary distinguishing imported, skipped, deduplicated, unsupported, and failed records.</x:v>
      </x:c>
      <x:c r="G358" s="40" t="str">
        <x:v>BR-R-007, BR-R-008, BR-R-009</x:v>
      </x:c>
      <x:c r="H358" s="40" t="str">
        <x:v>ADR-014 — External Data Import and BetterCalendar Migration; ADR-023 — Testing, Observability, Diagnostics, and Quality Strategy</x:v>
      </x:c>
      <x:c r="I358" s="40" t="str">
        <x:v>AC-R-020</x:v>
      </x:c>
      <x:c r="J358" s="40" t="str">
        <x:v>No</x:v>
      </x:c>
      <x:c r="K358" s="40" t="str">
        <x:v>V1</x:v>
      </x:c>
      <x:c r="L358" s="40" t="str">
        <x:v>Domain test / Integration test</x:v>
      </x:c>
      <x:c r="M358" s="40" t="str">
        <x:v>OPD-4-013, OPD-4-010</x:v>
      </x:c>
      <x:c r="N358" s="40" t="str">
        <x:v>OPD-4-013: Allow rollback until imported records receive dependent edits. | OPD-4-010: Retain a privacy-safe manifest, not full unknown payload duplication.</x:v>
      </x:c>
      <x:c r="O358" s="40" t="str">
        <x:v>VS-02, VS-03, VS-04, VS-05, VS-11</x:v>
      </x:c>
      <x:c r="P358" s="40" t="str">
        <x:v>Not Started</x:v>
      </x:c>
      <x:c r="Q358" s="40"/>
    </x:row>
    <x:row r="359">
      <x:c r="A359" s="40" t="str">
        <x:v>VS-18</x:v>
      </x:c>
      <x:c r="B359" s="40" t="n">
        <x:v>18</x:v>
      </x:c>
      <x:c r="C359" s="40" t="str">
        <x:v>Wave 4 — Device Services and Reliability</x:v>
      </x:c>
      <x:c r="D359" s="40" t="str">
        <x:v>S. Backup, Export, and Restore</x:v>
      </x:c>
      <x:c r="E359" s="40" t="str">
        <x:v>FR-S-001</x:v>
      </x:c>
      <x:c r="F359" s="40" t="str">
        <x:v>clearly distinguish backup, export, restore, external import, and synchronization.</x:v>
      </x:c>
      <x:c r="G359" s="40" t="str">
        <x:v>BR-S-001, BR-S-009, BR-S-010</x:v>
      </x:c>
      <x:c r="H359" s="40" t="str">
        <x:v>ADR-014 — External Data Import and BetterCalendar Migration; ADR-017 — Local Backup, Export, Restore, and Disaster Recovery; ADR-016 — Offline Outbox Synchronization and Conflict Resolution</x:v>
      </x:c>
      <x:c r="I359" s="40" t="str">
        <x:v>AC-S-001</x:v>
      </x:c>
      <x:c r="J359" s="40" t="str">
        <x:v>Yes</x:v>
      </x:c>
      <x:c r="K359" s="40" t="str">
        <x:v>V1</x:v>
      </x:c>
      <x:c r="L359" s="40" t="str">
        <x:v>Database test / Integration test</x:v>
      </x:c>
      <x:c r="M359" s="40"/>
      <x:c r="N359" s="40"/>
      <x:c r="O359" s="40" t="str">
        <x:v>VS-02, VS-03 through VS-17</x:v>
      </x:c>
      <x:c r="P359" s="40" t="str">
        <x:v>Not Started</x:v>
      </x:c>
      <x:c r="Q359" s="40"/>
    </x:row>
    <x:row r="360">
      <x:c r="A360" s="40" t="str">
        <x:v>VS-18</x:v>
      </x:c>
      <x:c r="B360" s="40" t="n">
        <x:v>18</x:v>
      </x:c>
      <x:c r="C360" s="40" t="str">
        <x:v>Wave 4 — Device Services and Reliability</x:v>
      </x:c>
      <x:c r="D360" s="40" t="str">
        <x:v>S. Backup, Export, and Restore</x:v>
      </x:c>
      <x:c r="E360" s="40" t="str">
        <x:v>FR-S-002</x:v>
      </x:c>
      <x:c r="F360" s="40" t="str">
        <x:v>Guest users shall be able to create and restore native local backups.</x:v>
      </x:c>
      <x:c r="G360" s="40" t="str">
        <x:v>BR-S-002, BR-S-005, BR-S-007</x:v>
      </x:c>
      <x:c r="H360" s="40" t="str">
        <x:v>ADR-017 — Local Backup, Export, Restore, and Disaster Recovery; ADR-002 — Guest-First Identity and Optional Accounts</x:v>
      </x:c>
      <x:c r="I360" s="40" t="str">
        <x:v>AC-S-002</x:v>
      </x:c>
      <x:c r="J360" s="40" t="str">
        <x:v>Yes</x:v>
      </x:c>
      <x:c r="K360" s="40" t="str">
        <x:v>V1</x:v>
      </x:c>
      <x:c r="L360" s="40" t="str">
        <x:v>Database test / Widget test</x:v>
      </x:c>
      <x:c r="M360" s="40" t="str">
        <x:v>OPD-4-015</x:v>
      </x:c>
      <x:c r="N360" s="40" t="str">
        <x:v>OPD-4-015: Support Merge and Replace Local Profile with stronger safeguards for Replace.</x:v>
      </x:c>
      <x:c r="O360" s="40" t="str">
        <x:v>VS-02, VS-03 through VS-17</x:v>
      </x:c>
      <x:c r="P360" s="40" t="str">
        <x:v>Not Started</x:v>
      </x:c>
      <x:c r="Q360" s="40"/>
    </x:row>
    <x:row r="361">
      <x:c r="A361" s="40" t="str">
        <x:v>VS-18</x:v>
      </x:c>
      <x:c r="B361" s="40" t="n">
        <x:v>18</x:v>
      </x:c>
      <x:c r="C361" s="40" t="str">
        <x:v>Wave 4 — Device Services and Reliability</x:v>
      </x:c>
      <x:c r="D361" s="40" t="str">
        <x:v>S. Backup, Export, and Restore</x:v>
      </x:c>
      <x:c r="E361" s="40" t="str">
        <x:v>FR-S-003</x:v>
      </x:c>
      <x:c r="F361" s="40" t="str">
        <x:v>Native backup shall preserve domain identities and relationships required for full recovery.</x:v>
      </x:c>
      <x:c r="G361" s="40" t="str">
        <x:v>BR-S-003, BR-S-009, BR-S-010</x:v>
      </x:c>
      <x:c r="H361" s="40" t="str">
        <x:v>ADR-009 — Domain Ownership and Relationship Model; ADR-017 — Local Backup, Export, Restore, and Disaster Recovery</x:v>
      </x:c>
      <x:c r="I361" s="40" t="str">
        <x:v>AC-S-003</x:v>
      </x:c>
      <x:c r="J361" s="40" t="str">
        <x:v>Yes</x:v>
      </x:c>
      <x:c r="K361" s="40" t="str">
        <x:v>V1</x:v>
      </x:c>
      <x:c r="L361" s="40" t="str">
        <x:v>Database test / Integration test</x:v>
      </x:c>
      <x:c r="M361" s="40" t="str">
        <x:v>OPD-4-014</x:v>
      </x:c>
      <x:c r="N361" s="40" t="str">
        <x:v>OPD-4-014: Portable .ntbackup files use user-passphrase encryption. Device-bound platform protection may protect temporary local recovery checkpoints, but it must not replace portable disaster-recovery protection.</x:v>
      </x:c>
      <x:c r="O361" s="40" t="str">
        <x:v>VS-02, VS-03 through VS-17</x:v>
      </x:c>
      <x:c r="P361" s="40" t="str">
        <x:v>Not Started</x:v>
      </x:c>
      <x:c r="Q361" s="40"/>
    </x:row>
    <x:row r="362">
      <x:c r="A362" s="40" t="str">
        <x:v>VS-18</x:v>
      </x:c>
      <x:c r="B362" s="40" t="n">
        <x:v>18</x:v>
      </x:c>
      <x:c r="C362" s="40" t="str">
        <x:v>Wave 4 — Device Services and Reliability</x:v>
      </x:c>
      <x:c r="D362" s="40" t="str">
        <x:v>S. Backup, Export, and Restore</x:v>
      </x:c>
      <x:c r="E362" s="40" t="str">
        <x:v>FR-S-004</x:v>
      </x:c>
      <x:c r="F362" s="40" t="str">
        <x:v>Native backup shall preserve reports, Activity Ledger entries, reversals, replacements, and source lineage.</x:v>
      </x:c>
      <x:c r="G362" s="40" t="str">
        <x:v>BR-S-003, BR-S-009, BR-S-010</x:v>
      </x:c>
      <x:c r="H362" s="40" t="str">
        <x:v>ADR-011 — Event and Task Outcome Reporting; ADR-012 — Activity Ledger and Contribution Engine; ADR-017 — Local Backup, Export, Restore, and Disaster Recovery</x:v>
      </x:c>
      <x:c r="I362" s="40" t="str">
        <x:v>AC-S-004</x:v>
      </x:c>
      <x:c r="J362" s="40" t="str">
        <x:v>Yes</x:v>
      </x:c>
      <x:c r="K362" s="40" t="str">
        <x:v>V1</x:v>
      </x:c>
      <x:c r="L362" s="40" t="str">
        <x:v>Database test</x:v>
      </x:c>
      <x:c r="M362" s="40" t="str">
        <x:v>OPD-4-014</x:v>
      </x:c>
      <x:c r="N362" s="40" t="str">
        <x:v>OPD-4-014: Portable .ntbackup files use user-passphrase encryption. Device-bound platform protection may protect temporary local recovery checkpoints, but it must not replace portable disaster-recovery protection.</x:v>
      </x:c>
      <x:c r="O362" s="40" t="str">
        <x:v>VS-02, VS-03 through VS-17</x:v>
      </x:c>
      <x:c r="P362" s="40" t="str">
        <x:v>Not Started</x:v>
      </x:c>
      <x:c r="Q362" s="40"/>
    </x:row>
    <x:row r="363">
      <x:c r="A363" s="40" t="str">
        <x:v>VS-18</x:v>
      </x:c>
      <x:c r="B363" s="40" t="n">
        <x:v>18</x:v>
      </x:c>
      <x:c r="C363" s="40" t="str">
        <x:v>Wave 4 — Device Services and Reliability</x:v>
      </x:c>
      <x:c r="D363" s="40" t="str">
        <x:v>S. Backup, Export, and Restore</x:v>
      </x:c>
      <x:c r="E363" s="40" t="str">
        <x:v>FR-S-005</x:v>
      </x:c>
      <x:c r="F363" s="40" t="str">
        <x:v>Native backup shall preserve recurrence occurrence identities and Task–Event links.</x:v>
      </x:c>
      <x:c r="G363" s="40" t="str">
        <x:v>BR-S-003, BR-S-009, BR-S-010</x:v>
      </x:c>
      <x:c r="H363" s="40" t="str">
        <x:v>ADR-009 — Domain Ownership and Relationship Model; ADR-017 — Local Backup, Export, Restore, and Disaster Recovery</x:v>
      </x:c>
      <x:c r="I363" s="40" t="str">
        <x:v>AC-S-005</x:v>
      </x:c>
      <x:c r="J363" s="40" t="str">
        <x:v>Yes</x:v>
      </x:c>
      <x:c r="K363" s="40" t="str">
        <x:v>V1</x:v>
      </x:c>
      <x:c r="L363" s="40" t="str">
        <x:v>Database test</x:v>
      </x:c>
      <x:c r="M363" s="40" t="str">
        <x:v>OPD-4-014</x:v>
      </x:c>
      <x:c r="N363" s="40" t="str">
        <x:v>OPD-4-014: Portable .ntbackup files use user-passphrase encryption. Device-bound platform protection may protect temporary local recovery checkpoints, but it must not replace portable disaster-recovery protection.</x:v>
      </x:c>
      <x:c r="O363" s="40" t="str">
        <x:v>VS-02, VS-03 through VS-17</x:v>
      </x:c>
      <x:c r="P363" s="40" t="str">
        <x:v>Not Started</x:v>
      </x:c>
      <x:c r="Q363" s="40"/>
    </x:row>
    <x:row r="364">
      <x:c r="A364" s="40" t="str">
        <x:v>VS-18</x:v>
      </x:c>
      <x:c r="B364" s="40" t="n">
        <x:v>18</x:v>
      </x:c>
      <x:c r="C364" s="40" t="str">
        <x:v>Wave 4 — Device Services and Reliability</x:v>
      </x:c>
      <x:c r="D364" s="40" t="str">
        <x:v>S. Backup, Export, and Restore</x:v>
      </x:c>
      <x:c r="E364" s="40" t="str">
        <x:v>FR-S-006</x:v>
      </x:c>
      <x:c r="F364" s="40" t="str">
        <x:v>Backup files shall support approved protection appropriate to their sensitivity.</x:v>
      </x:c>
      <x:c r="G364" s="40" t="str">
        <x:v>BR-S-003, BR-S-009, BR-S-010</x:v>
      </x:c>
      <x:c r="H364" s="40" t="str">
        <x:v>ADR-017 — Local Backup, Export, Restore, and Disaster Recovery</x:v>
      </x:c>
      <x:c r="I364" s="40" t="str">
        <x:v>AC-S-006</x:v>
      </x:c>
      <x:c r="J364" s="40" t="str">
        <x:v>Yes</x:v>
      </x:c>
      <x:c r="K364" s="40" t="str">
        <x:v>V1</x:v>
      </x:c>
      <x:c r="L364" s="40" t="str">
        <x:v>Database test</x:v>
      </x:c>
      <x:c r="M364" s="40" t="str">
        <x:v>OPD-4-014</x:v>
      </x:c>
      <x:c r="N364" s="40" t="str">
        <x:v>OPD-4-014: Portable .ntbackup files use user-passphrase encryption. Device-bound platform protection may protect temporary local recovery checkpoints, but it must not replace portable disaster-recovery protection.</x:v>
      </x:c>
      <x:c r="O364" s="40" t="str">
        <x:v>VS-02, VS-03 through VS-17</x:v>
      </x:c>
      <x:c r="P364" s="40" t="str">
        <x:v>Not Started</x:v>
      </x:c>
      <x:c r="Q364" s="40"/>
    </x:row>
    <x:row r="365">
      <x:c r="A365" s="40" t="str">
        <x:v>VS-18</x:v>
      </x:c>
      <x:c r="B365" s="40" t="n">
        <x:v>18</x:v>
      </x:c>
      <x:c r="C365" s="40" t="str">
        <x:v>Wave 4 — Device Services and Reliability</x:v>
      </x:c>
      <x:c r="D365" s="40" t="str">
        <x:v>S. Backup, Export, and Restore</x:v>
      </x:c>
      <x:c r="E365" s="40" t="str">
        <x:v>FR-S-007</x:v>
      </x:c>
      <x:c r="F365" s="40" t="str">
        <x:v>User-readable export shall state that it is not necessarily a restorable native backup.</x:v>
      </x:c>
      <x:c r="G365" s="40" t="str">
        <x:v>BR-S-001, BR-S-003, BR-S-010</x:v>
      </x:c>
      <x:c r="H365" s="40" t="str">
        <x:v>ADR-017 — Local Backup, Export, Restore, and Disaster Recovery</x:v>
      </x:c>
      <x:c r="I365" s="40" t="str">
        <x:v>AC-S-007</x:v>
      </x:c>
      <x:c r="J365" s="40" t="str">
        <x:v>Yes</x:v>
      </x:c>
      <x:c r="K365" s="40" t="str">
        <x:v>V1</x:v>
      </x:c>
      <x:c r="L365" s="40" t="str">
        <x:v>Database test / Integration test</x:v>
      </x:c>
      <x:c r="M365" s="40" t="str">
        <x:v>OPD-4-014, OPD-4-016</x:v>
      </x:c>
      <x:c r="N365" s="40" t="str">
        <x:v>OPD-4-014: Portable .ntbackup files use user-passphrase encryption. Device-bound platform protection may protect temporary local recovery checkpoints, but it must not replace portable disaster-recovery protection. | OPD-4-016: Use structured JSON plus selected CSV summaries.</x:v>
      </x:c>
      <x:c r="O365" s="40" t="str">
        <x:v>VS-02, VS-03 through VS-17</x:v>
      </x:c>
      <x:c r="P365" s="40" t="str">
        <x:v>Not Started</x:v>
      </x:c>
      <x:c r="Q365" s="40"/>
    </x:row>
    <x:row r="366">
      <x:c r="A366" s="40" t="str">
        <x:v>VS-18</x:v>
      </x:c>
      <x:c r="B366" s="40" t="n">
        <x:v>18</x:v>
      </x:c>
      <x:c r="C366" s="40" t="str">
        <x:v>Wave 4 — Device Services and Reliability</x:v>
      </x:c>
      <x:c r="D366" s="40" t="str">
        <x:v>S. Backup, Export, and Restore</x:v>
      </x:c>
      <x:c r="E366" s="40" t="str">
        <x:v>FR-S-008</x:v>
      </x:c>
      <x:c r="F366" s="40" t="str">
        <x:v>Restore shall validate format, integrity, version compatibility, and included categories before commit.</x:v>
      </x:c>
      <x:c r="G366" s="40" t="str">
        <x:v>BR-S-004, BR-S-007, BR-S-010</x:v>
      </x:c>
      <x:c r="H366" s="40" t="str">
        <x:v>ADR-017 — Local Backup, Export, Restore, and Disaster Recovery</x:v>
      </x:c>
      <x:c r="I366" s="40" t="str">
        <x:v>AC-S-008</x:v>
      </x:c>
      <x:c r="J366" s="40" t="str">
        <x:v>Yes</x:v>
      </x:c>
      <x:c r="K366" s="40" t="str">
        <x:v>V1</x:v>
      </x:c>
      <x:c r="L366" s="40" t="str">
        <x:v>Database test</x:v>
      </x:c>
      <x:c r="M366" s="40"/>
      <x:c r="N366" s="40"/>
      <x:c r="O366" s="40" t="str">
        <x:v>VS-02, VS-03 through VS-17</x:v>
      </x:c>
      <x:c r="P366" s="40" t="str">
        <x:v>Not Started</x:v>
      </x:c>
      <x:c r="Q366" s="40"/>
    </x:row>
    <x:row r="367">
      <x:c r="A367" s="40" t="str">
        <x:v>VS-18</x:v>
      </x:c>
      <x:c r="B367" s="40" t="n">
        <x:v>18</x:v>
      </x:c>
      <x:c r="C367" s="40" t="str">
        <x:v>Wave 4 — Device Services and Reliability</x:v>
      </x:c>
      <x:c r="D367" s="40" t="str">
        <x:v>S. Backup, Export, and Restore</x:v>
      </x:c>
      <x:c r="E367" s="40" t="str">
        <x:v>FR-S-009</x:v>
      </x:c>
      <x:c r="F367" s="40" t="str">
        <x:v>Restore shall present a preview of affected data before modifying live local records.</x:v>
      </x:c>
      <x:c r="G367" s="40" t="str">
        <x:v>BR-S-004, BR-S-005, BR-S-010</x:v>
      </x:c>
      <x:c r="H367" s="40" t="str">
        <x:v>ADR-017 — Local Backup, Export, Restore, and Disaster Recovery; ADR-013 — Local Drift Database Architecture</x:v>
      </x:c>
      <x:c r="I367" s="40" t="str">
        <x:v>AC-S-009</x:v>
      </x:c>
      <x:c r="J367" s="40" t="str">
        <x:v>Yes</x:v>
      </x:c>
      <x:c r="K367" s="40" t="str">
        <x:v>V1</x:v>
      </x:c>
      <x:c r="L367" s="40" t="str">
        <x:v>Database test / Widget test</x:v>
      </x:c>
      <x:c r="M367" s="40" t="str">
        <x:v>OPD-4-015</x:v>
      </x:c>
      <x:c r="N367" s="40" t="str">
        <x:v>OPD-4-015: Support Merge and Replace Local Profile with stronger safeguards for Replace.</x:v>
      </x:c>
      <x:c r="O367" s="40" t="str">
        <x:v>VS-02, VS-03 through VS-17</x:v>
      </x:c>
      <x:c r="P367" s="40" t="str">
        <x:v>Not Started</x:v>
      </x:c>
      <x:c r="Q367" s="40"/>
    </x:row>
    <x:row r="368">
      <x:c r="A368" s="40" t="str">
        <x:v>VS-18</x:v>
      </x:c>
      <x:c r="B368" s="40" t="n">
        <x:v>18</x:v>
      </x:c>
      <x:c r="C368" s="40" t="str">
        <x:v>Wave 4 — Device Services and Reliability</x:v>
      </x:c>
      <x:c r="D368" s="40" t="str">
        <x:v>S. Backup, Export, and Restore</x:v>
      </x:c>
      <x:c r="E368" s="40" t="str">
        <x:v>FR-S-010</x:v>
      </x:c>
      <x:c r="F368" s="40" t="str">
        <x:v>Restore shall not silently overwrite newer local data.</x:v>
      </x:c>
      <x:c r="G368" s="40" t="str">
        <x:v>BR-S-005, BR-S-007, BR-S-010</x:v>
      </x:c>
      <x:c r="H368" s="40" t="str">
        <x:v>ADR-017 — Local Backup, Export, Restore, and Disaster Recovery</x:v>
      </x:c>
      <x:c r="I368" s="40" t="str">
        <x:v>AC-S-010</x:v>
      </x:c>
      <x:c r="J368" s="40" t="str">
        <x:v>Yes</x:v>
      </x:c>
      <x:c r="K368" s="40" t="str">
        <x:v>V1</x:v>
      </x:c>
      <x:c r="L368" s="40" t="str">
        <x:v>Database test</x:v>
      </x:c>
      <x:c r="M368" s="40" t="str">
        <x:v>OPD-4-015</x:v>
      </x:c>
      <x:c r="N368" s="40" t="str">
        <x:v>OPD-4-015: Support Merge and Replace Local Profile with stronger safeguards for Replace.</x:v>
      </x:c>
      <x:c r="O368" s="40" t="str">
        <x:v>VS-02, VS-03 through VS-17</x:v>
      </x:c>
      <x:c r="P368" s="40" t="str">
        <x:v>Not Started</x:v>
      </x:c>
      <x:c r="Q368" s="40"/>
    </x:row>
    <x:row r="369">
      <x:c r="A369" s="40" t="str">
        <x:v>VS-18</x:v>
      </x:c>
      <x:c r="B369" s="40" t="n">
        <x:v>18</x:v>
      </x:c>
      <x:c r="C369" s="40" t="str">
        <x:v>Wave 4 — Device Services and Reliability</x:v>
      </x:c>
      <x:c r="D369" s="40" t="str">
        <x:v>S. Backup, Export, and Restore</x:v>
      </x:c>
      <x:c r="E369" s="40" t="str">
        <x:v>FR-S-011</x:v>
      </x:c>
      <x:c r="F369" s="40" t="str">
        <x:v>A recoverable copy of current local data shall be created before destructive restore behavior.</x:v>
      </x:c>
      <x:c r="G369" s="40" t="str">
        <x:v>BR-S-004, BR-S-005, BR-S-006</x:v>
      </x:c>
      <x:c r="H369" s="40" t="str">
        <x:v>ADR-017 — Local Backup, Export, Restore, and Disaster Recovery</x:v>
      </x:c>
      <x:c r="I369" s="40" t="str">
        <x:v>AC-S-011</x:v>
      </x:c>
      <x:c r="J369" s="40" t="str">
        <x:v>Yes</x:v>
      </x:c>
      <x:c r="K369" s="40" t="str">
        <x:v>V1</x:v>
      </x:c>
      <x:c r="L369" s="40" t="str">
        <x:v>Database test</x:v>
      </x:c>
      <x:c r="M369" s="40" t="str">
        <x:v>OPD-4-015</x:v>
      </x:c>
      <x:c r="N369" s="40" t="str">
        <x:v>OPD-4-015: Support Merge and Replace Local Profile with stronger safeguards for Replace.</x:v>
      </x:c>
      <x:c r="O369" s="40" t="str">
        <x:v>VS-02, VS-03 through VS-17</x:v>
      </x:c>
      <x:c r="P369" s="40" t="str">
        <x:v>Not Started</x:v>
      </x:c>
      <x:c r="Q369" s="40"/>
    </x:row>
    <x:row r="370">
      <x:c r="A370" s="40" t="str">
        <x:v>VS-18</x:v>
      </x:c>
      <x:c r="B370" s="40" t="n">
        <x:v>18</x:v>
      </x:c>
      <x:c r="C370" s="40" t="str">
        <x:v>Wave 4 — Device Services and Reliability</x:v>
      </x:c>
      <x:c r="D370" s="40" t="str">
        <x:v>S. Backup, Export, and Restore</x:v>
      </x:c>
      <x:c r="E370" s="40" t="str">
        <x:v>FR-S-012</x:v>
      </x:c>
      <x:c r="F370" s="40" t="str">
        <x:v>Restore modes shall preserve relationship integrity and prevent invalid partial recovery.</x:v>
      </x:c>
      <x:c r="G370" s="40" t="str">
        <x:v>BR-S-004, BR-S-006, BR-S-007</x:v>
      </x:c>
      <x:c r="H370" s="40" t="str">
        <x:v>ADR-009 — Domain Ownership and Relationship Model; ADR-017 — Local Backup, Export, Restore, and Disaster Recovery</x:v>
      </x:c>
      <x:c r="I370" s="40" t="str">
        <x:v>AC-S-012</x:v>
      </x:c>
      <x:c r="J370" s="40" t="str">
        <x:v>Yes</x:v>
      </x:c>
      <x:c r="K370" s="40" t="str">
        <x:v>V1</x:v>
      </x:c>
      <x:c r="L370" s="40" t="str">
        <x:v>Database test / Integration test</x:v>
      </x:c>
      <x:c r="M370" s="40" t="str">
        <x:v>OPD-4-015, OPD-4-017</x:v>
      </x:c>
      <x:c r="N370" s="40" t="str">
        <x:v>OPD-4-015: Support Merge and Replace Local Profile with stronger safeguards for Replace. | OPD-4-017: Allow only dependency-safe domain packages.</x:v>
      </x:c>
      <x:c r="O370" s="40" t="str">
        <x:v>VS-02, VS-03 through VS-17</x:v>
      </x:c>
      <x:c r="P370" s="40" t="str">
        <x:v>Not Started</x:v>
      </x:c>
      <x:c r="Q370" s="40"/>
    </x:row>
    <x:row r="371">
      <x:c r="A371" s="40" t="str">
        <x:v>VS-18</x:v>
      </x:c>
      <x:c r="B371" s="40" t="n">
        <x:v>18</x:v>
      </x:c>
      <x:c r="C371" s="40" t="str">
        <x:v>Wave 4 — Device Services and Reliability</x:v>
      </x:c>
      <x:c r="D371" s="40" t="str">
        <x:v>S. Backup, Export, and Restore</x:v>
      </x:c>
      <x:c r="E371" s="40" t="str">
        <x:v>FR-S-013</x:v>
      </x:c>
      <x:c r="F371" s="40" t="str">
        <x:v>Restore and retry operations shall prevent duplicate stable records and ledger effects.</x:v>
      </x:c>
      <x:c r="G371" s="40" t="str">
        <x:v>BR-S-007, BR-S-008, BR-S-010</x:v>
      </x:c>
      <x:c r="H371" s="40" t="str">
        <x:v>ADR-012 — Activity Ledger and Contribution Engine; ADR-017 — Local Backup, Export, Restore, and Disaster Recovery; ADR-023 — Testing, Observability, Diagnostics, and Quality Strategy</x:v>
      </x:c>
      <x:c r="I371" s="40" t="str">
        <x:v>AC-S-013</x:v>
      </x:c>
      <x:c r="J371" s="40" t="str">
        <x:v>Yes</x:v>
      </x:c>
      <x:c r="K371" s="40" t="str">
        <x:v>V1</x:v>
      </x:c>
      <x:c r="L371" s="40" t="str">
        <x:v>Domain test / Database test</x:v>
      </x:c>
      <x:c r="M371" s="40"/>
      <x:c r="N371" s="40"/>
      <x:c r="O371" s="40" t="str">
        <x:v>VS-02, VS-03 through VS-17</x:v>
      </x:c>
      <x:c r="P371" s="40" t="str">
        <x:v>Not Started</x:v>
      </x:c>
      <x:c r="Q371" s="40"/>
    </x:row>
    <x:row r="372">
      <x:c r="A372" s="40" t="str">
        <x:v>VS-18</x:v>
      </x:c>
      <x:c r="B372" s="40" t="n">
        <x:v>18</x:v>
      </x:c>
      <x:c r="C372" s="40" t="str">
        <x:v>Wave 4 — Device Services and Reliability</x:v>
      </x:c>
      <x:c r="D372" s="40" t="str">
        <x:v>S. Backup, Export, and Restore</x:v>
      </x:c>
      <x:c r="E372" s="40" t="str">
        <x:v>FR-S-014</x:v>
      </x:c>
      <x:c r="F372" s="40" t="str">
        <x:v>Derived projections shall be rebuilt from restored canonical records rather than imported as editable Actual.</x:v>
      </x:c>
      <x:c r="G372" s="40" t="str">
        <x:v>BR-S-003, BR-S-008</x:v>
      </x:c>
      <x:c r="H372" s="40" t="str">
        <x:v>ADR-005 — Confirmed-Source Progress and Read-Only Actuals; ADR-012 — Activity Ledger and Contribution Engine; ADR-017 — Local Backup, Export, Restore, and Disaster Recovery</x:v>
      </x:c>
      <x:c r="I372" s="40" t="str">
        <x:v>AC-S-014</x:v>
      </x:c>
      <x:c r="J372" s="40" t="str">
        <x:v>Yes</x:v>
      </x:c>
      <x:c r="K372" s="40" t="str">
        <x:v>V1</x:v>
      </x:c>
      <x:c r="L372" s="40" t="str">
        <x:v>Domain test / Database test / Integration test</x:v>
      </x:c>
      <x:c r="M372" s="40"/>
      <x:c r="N372" s="40"/>
      <x:c r="O372" s="40" t="str">
        <x:v>VS-02, VS-03 through VS-17</x:v>
      </x:c>
      <x:c r="P372" s="40" t="str">
        <x:v>Not Started</x:v>
      </x:c>
      <x:c r="Q372" s="40"/>
    </x:row>
    <x:row r="373">
      <x:c r="A373" s="40" t="str">
        <x:v>VS-18</x:v>
      </x:c>
      <x:c r="B373" s="40" t="n">
        <x:v>18</x:v>
      </x:c>
      <x:c r="C373" s="40" t="str">
        <x:v>Wave 4 — Device Services and Reliability</x:v>
      </x:c>
      <x:c r="D373" s="40" t="str">
        <x:v>S. Backup, Export, and Restore</x:v>
      </x:c>
      <x:c r="E373" s="40" t="str">
        <x:v>FR-S-015</x:v>
      </x:c>
      <x:c r="F373" s="40" t="str">
        <x:v>Unsupported or incompatible backups shall be rejected without changing local data.</x:v>
      </x:c>
      <x:c r="G373" s="40" t="str">
        <x:v>BR-S-002, BR-S-005</x:v>
      </x:c>
      <x:c r="H373" s="40" t="str">
        <x:v>ADR-017 — Local Backup, Export, Restore, and Disaster Recovery</x:v>
      </x:c>
      <x:c r="I373" s="40" t="str">
        <x:v>AC-S-015</x:v>
      </x:c>
      <x:c r="J373" s="40" t="str">
        <x:v>Yes</x:v>
      </x:c>
      <x:c r="K373" s="40" t="str">
        <x:v>V1</x:v>
      </x:c>
      <x:c r="L373" s="40" t="str">
        <x:v>Database test</x:v>
      </x:c>
      <x:c r="M373" s="40"/>
      <x:c r="N373" s="40"/>
      <x:c r="O373" s="40" t="str">
        <x:v>VS-02, VS-03 through VS-17</x:v>
      </x:c>
      <x:c r="P373" s="40" t="str">
        <x:v>Not Started</x:v>
      </x:c>
      <x:c r="Q373" s="40"/>
    </x:row>
    <x:row r="374">
      <x:c r="A374" s="40" t="str">
        <x:v>VS-18</x:v>
      </x:c>
      <x:c r="B374" s="40" t="n">
        <x:v>18</x:v>
      </x:c>
      <x:c r="C374" s="40" t="str">
        <x:v>Wave 4 — Device Services and Reliability</x:v>
      </x:c>
      <x:c r="D374" s="40" t="str">
        <x:v>S. Backup, Export, and Restore</x:v>
      </x:c>
      <x:c r="E374" s="40" t="str">
        <x:v>FR-S-016</x:v>
      </x:c>
      <x:c r="F374" s="40" t="str">
        <x:v>Partial or failed restore shall produce a detailed recovery result rather than silent omission.</x:v>
      </x:c>
      <x:c r="G374" s="40" t="str">
        <x:v>BR-S-006, BR-S-007, BR-S-010</x:v>
      </x:c>
      <x:c r="H374" s="40" t="str">
        <x:v>ADR-017 — Local Backup, Export, Restore, and Disaster Recovery</x:v>
      </x:c>
      <x:c r="I374" s="40" t="str">
        <x:v>AC-S-016</x:v>
      </x:c>
      <x:c r="J374" s="40" t="str">
        <x:v>Yes</x:v>
      </x:c>
      <x:c r="K374" s="40" t="str">
        <x:v>V1</x:v>
      </x:c>
      <x:c r="L374" s="40" t="str">
        <x:v>Database test / Integration test</x:v>
      </x:c>
      <x:c r="M374" s="40" t="str">
        <x:v>OPD-4-017</x:v>
      </x:c>
      <x:c r="N374" s="40" t="str">
        <x:v>OPD-4-017: Allow only dependency-safe domain packages.</x:v>
      </x:c>
      <x:c r="O374" s="40" t="str">
        <x:v>VS-02, VS-03 through VS-17</x:v>
      </x:c>
      <x:c r="P374" s="40" t="str">
        <x:v>Not Started</x:v>
      </x:c>
      <x:c r="Q374" s="40"/>
    </x:row>
    <x:row r="375">
      <x:c r="A375" s="40" t="str">
        <x:v>VS-18</x:v>
      </x:c>
      <x:c r="B375" s="40" t="n">
        <x:v>18</x:v>
      </x:c>
      <x:c r="C375" s="40" t="str">
        <x:v>Wave 4 — Device Services and Reliability</x:v>
      </x:c>
      <x:c r="D375" s="40" t="str">
        <x:v>S. Backup, Export, and Restore</x:v>
      </x:c>
      <x:c r="E375" s="40" t="str">
        <x:v>FR-S-017</x:v>
      </x:c>
      <x:c r="F375" s="40" t="str">
        <x:v>Backup, export, restore preview, and restore shall operate offline.</x:v>
      </x:c>
      <x:c r="G375" s="40" t="str">
        <x:v>BR-S-001, BR-S-009, BR-S-010</x:v>
      </x:c>
      <x:c r="H375" s="40" t="str">
        <x:v>ADR-017 — Local Backup, Export, Restore, and Disaster Recovery; ADR-006 — Local-First Operation with Background Synchronization</x:v>
      </x:c>
      <x:c r="I375" s="40" t="str">
        <x:v>AC-S-017</x:v>
      </x:c>
      <x:c r="J375" s="40" t="str">
        <x:v>Yes</x:v>
      </x:c>
      <x:c r="K375" s="40" t="str">
        <x:v>V1</x:v>
      </x:c>
      <x:c r="L375" s="40" t="str">
        <x:v>Database test / Widget test / Integration test</x:v>
      </x:c>
      <x:c r="M375" s="40"/>
      <x:c r="N375" s="40"/>
      <x:c r="O375" s="40" t="str">
        <x:v>VS-02, VS-03 through VS-17</x:v>
      </x:c>
      <x:c r="P375" s="40" t="str">
        <x:v>Not Started</x:v>
      </x:c>
      <x:c r="Q375" s="40"/>
    </x:row>
    <x:row r="376">
      <x:c r="A376" s="40" t="str">
        <x:v>VS-18</x:v>
      </x:c>
      <x:c r="B376" s="40" t="n">
        <x:v>18</x:v>
      </x:c>
      <x:c r="C376" s="40" t="str">
        <x:v>Wave 4 — Device Services and Reliability</x:v>
      </x:c>
      <x:c r="D376" s="40" t="str">
        <x:v>S. Backup, Export, and Restore</x:v>
      </x:c>
      <x:c r="E376" s="40" t="str">
        <x:v>FR-S-018</x:v>
      </x:c>
      <x:c r="F376" s="40" t="str">
        <x:v>not modify or delete the selected source backup or export file.</x:v>
      </x:c>
      <x:c r="G376" s="40" t="str">
        <x:v>BR-S-001, BR-S-009, BR-S-010</x:v>
      </x:c>
      <x:c r="H376" s="40" t="str">
        <x:v>ADR-017 — Local Backup, Export, Restore, and Disaster Recovery</x:v>
      </x:c>
      <x:c r="I376" s="40" t="str">
        <x:v>AC-S-018</x:v>
      </x:c>
      <x:c r="J376" s="40" t="str">
        <x:v>Yes</x:v>
      </x:c>
      <x:c r="K376" s="40" t="str">
        <x:v>V1</x:v>
      </x:c>
      <x:c r="L376" s="40" t="str">
        <x:v>Database test / Integration test</x:v>
      </x:c>
      <x:c r="M376" s="40" t="str">
        <x:v>OPD-4-016</x:v>
      </x:c>
      <x:c r="N376" s="40" t="str">
        <x:v>OPD-4-016: Use structured JSON plus selected CSV summaries.</x:v>
      </x:c>
      <x:c r="O376" s="40" t="str">
        <x:v>VS-02, VS-03 through VS-17</x:v>
      </x:c>
      <x:c r="P376" s="40" t="str">
        <x:v>Not Started</x:v>
      </x:c>
      <x:c r="Q376" s="40"/>
    </x:row>
    <x:row r="377">
      <x:c r="A377" s="40" t="str">
        <x:v>VS-18</x:v>
      </x:c>
      <x:c r="B377" s="40" t="n">
        <x:v>18</x:v>
      </x:c>
      <x:c r="C377" s="40" t="str">
        <x:v>Wave 4 — Device Services and Reliability</x:v>
      </x:c>
      <x:c r="D377" s="40" t="str">
        <x:v>S. Backup, Export, and Restore</x:v>
      </x:c>
      <x:c r="E377" s="40" t="str">
        <x:v>FR-S-019</x:v>
      </x:c>
      <x:c r="F377" s="40" t="str">
        <x:v>Native backup shall include integrity and compatibility metadata sufficient for safe restore decisions.</x:v>
      </x:c>
      <x:c r="G377" s="40" t="str">
        <x:v>BR-S-003, BR-S-004, BR-S-010</x:v>
      </x:c>
      <x:c r="H377" s="40" t="str">
        <x:v>ADR-017 — Local Backup, Export, Restore, and Disaster Recovery</x:v>
      </x:c>
      <x:c r="I377" s="40" t="str">
        <x:v>AC-S-019</x:v>
      </x:c>
      <x:c r="J377" s="40" t="str">
        <x:v>Yes</x:v>
      </x:c>
      <x:c r="K377" s="40" t="str">
        <x:v>V1</x:v>
      </x:c>
      <x:c r="L377" s="40" t="str">
        <x:v>Database test</x:v>
      </x:c>
      <x:c r="M377" s="40" t="str">
        <x:v>OPD-4-014</x:v>
      </x:c>
      <x:c r="N377" s="40" t="str">
        <x:v>OPD-4-014: Portable .ntbackup files use user-passphrase encryption. Device-bound platform protection may protect temporary local recovery checkpoints, but it must not replace portable disaster-recovery protection.</x:v>
      </x:c>
      <x:c r="O377" s="40" t="str">
        <x:v>VS-02, VS-03 through VS-17</x:v>
      </x:c>
      <x:c r="P377" s="40" t="str">
        <x:v>Not Started</x:v>
      </x:c>
      <x:c r="Q377" s="40"/>
    </x:row>
    <x:row r="378">
      <x:c r="A378" s="40" t="str">
        <x:v>VS-18</x:v>
      </x:c>
      <x:c r="B378" s="40" t="n">
        <x:v>18</x:v>
      </x:c>
      <x:c r="C378" s="40" t="str">
        <x:v>Wave 4 — Device Services and Reliability</x:v>
      </x:c>
      <x:c r="D378" s="40" t="str">
        <x:v>S. Backup, Export, and Restore</x:v>
      </x:c>
      <x:c r="E378" s="40" t="str">
        <x:v>FR-S-020</x:v>
      </x:c>
      <x:c r="F378" s="40" t="str">
        <x:v>Users may configure scheduled local backup reminders or automatic backups when an approved destination remains available.</x:v>
      </x:c>
      <x:c r="G378" s="40" t="str">
        <x:v>BR-S-002, BR-S-009, BR-S-010</x:v>
      </x:c>
      <x:c r="H378" s="40" t="str">
        <x:v>ADR-017 — Local Backup, Export, Restore, and Disaster Recovery; ADR-022 — Notifications, Background Work, and Calendar Integration; ADR-007 — Small Core V1 Scope</x:v>
      </x:c>
      <x:c r="I378" s="40" t="str">
        <x:v>AC-S-020</x:v>
      </x:c>
      <x:c r="J378" s="40" t="str">
        <x:v>No</x:v>
      </x:c>
      <x:c r="K378" s="40" t="str">
        <x:v>V1.1</x:v>
      </x:c>
      <x:c r="L378" s="40" t="str">
        <x:v>Database test</x:v>
      </x:c>
      <x:c r="M378" s="40" t="str">
        <x:v>OPD-4-018</x:v>
      </x:c>
      <x:c r="N378" s="40" t="str">
        <x:v>OPD-4-018: Defer automatic backup to V1.1.</x:v>
      </x:c>
      <x:c r="O378" s="40" t="str">
        <x:v>VS-02, VS-03 through VS-17</x:v>
      </x:c>
      <x:c r="P378" s="40" t="str">
        <x:v>Not Started</x:v>
      </x:c>
      <x:c r="Q378" s="40"/>
    </x:row>
    <x:row r="379">
      <x:c r="A379" s="40" t="str">
        <x:v>VS-19</x:v>
      </x:c>
      <x:c r="B379" s="40" t="n">
        <x:v>19</x:v>
      </x:c>
      <x:c r="C379" s="40" t="str">
        <x:v>Wave 4 — Device Services and Reliability</x:v>
      </x:c>
      <x:c r="D379" s="40" t="str">
        <x:v>T. Account and Synchronization</x:v>
      </x:c>
      <x:c r="E379" s="40" t="str">
        <x:v>FR-T-001</x:v>
      </x:c>
      <x:c r="F379" s="40" t="str">
        <x:v>be able to use the complete core application without creating an account.</x:v>
      </x:c>
      <x:c r="G379" s="40" t="str">
        <x:v>BR-T-001</x:v>
      </x:c>
      <x:c r="H379" s="40" t="str">
        <x:v>ADR-016 — Offline Outbox Synchronization and Conflict Resolution; ADR-018 — Guest-to-Account Migration and Account Lifecycle; ADR-002 — Guest-First Identity and Optional Accounts</x:v>
      </x:c>
      <x:c r="I379" s="40" t="str">
        <x:v>AC-T-001</x:v>
      </x:c>
      <x:c r="J379" s="40" t="str">
        <x:v>Yes</x:v>
      </x:c>
      <x:c r="K379" s="40" t="str">
        <x:v>V1</x:v>
      </x:c>
      <x:c r="L379" s="40" t="str">
        <x:v>Widget test</x:v>
      </x:c>
      <x:c r="M379" s="40"/>
      <x:c r="N379" s="40"/>
      <x:c r="O379" s="40" t="str">
        <x:v>VS-01 through VS-18</x:v>
      </x:c>
      <x:c r="P379" s="40" t="str">
        <x:v>Not Started</x:v>
      </x:c>
      <x:c r="Q379" s="40"/>
    </x:row>
    <x:row r="380">
      <x:c r="A380" s="40" t="str">
        <x:v>VS-19</x:v>
      </x:c>
      <x:c r="B380" s="40" t="n">
        <x:v>19</x:v>
      </x:c>
      <x:c r="C380" s="40" t="str">
        <x:v>Wave 4 — Device Services and Reliability</x:v>
      </x:c>
      <x:c r="D380" s="40" t="str">
        <x:v>T. Account and Synchronization</x:v>
      </x:c>
      <x:c r="E380" s="40" t="str">
        <x:v>FR-T-002</x:v>
      </x:c>
      <x:c r="F380" s="40" t="str">
        <x:v>be able to link an existing guest Local Profile to an optional account.</x:v>
      </x:c>
      <x:c r="G380" s="40" t="str">
        <x:v>BR-T-001, BR-T-006, BR-T-007</x:v>
      </x:c>
      <x:c r="H380" s="40" t="str">
        <x:v>ADR-009 — Domain Ownership and Relationship Model; ADR-016 — Offline Outbox Synchronization and Conflict Resolution; ADR-018 — Guest-to-Account Migration and Account Lifecycle; ADR-002 — Guest-First Identity and Optional Accounts</x:v>
      </x:c>
      <x:c r="I380" s="40" t="str">
        <x:v>AC-T-002</x:v>
      </x:c>
      <x:c r="J380" s="40" t="str">
        <x:v>Yes</x:v>
      </x:c>
      <x:c r="K380" s="40" t="str">
        <x:v>V1</x:v>
      </x:c>
      <x:c r="L380" s="40" t="str">
        <x:v>Widget test</x:v>
      </x:c>
      <x:c r="M380" s="40" t="str">
        <x:v>OPD-4-020, OPD-4-021</x:v>
      </x:c>
      <x:c r="N380" s="40" t="str">
        <x:v>OPD-4-020: Retain Local Profile and transition to local-only operation. | OPD-4-021: Delete cloud data only; local deletion remains separate.</x:v>
      </x:c>
      <x:c r="O380" s="40" t="str">
        <x:v>VS-01 through VS-18</x:v>
      </x:c>
      <x:c r="P380" s="40" t="str">
        <x:v>Not Started</x:v>
      </x:c>
      <x:c r="Q380" s="40"/>
    </x:row>
    <x:row r="381">
      <x:c r="A381" s="40" t="str">
        <x:v>VS-19</x:v>
      </x:c>
      <x:c r="B381" s="40" t="n">
        <x:v>19</x:v>
      </x:c>
      <x:c r="C381" s="40" t="str">
        <x:v>Wave 4 — Device Services and Reliability</x:v>
      </x:c>
      <x:c r="D381" s="40" t="str">
        <x:v>T. Account and Synchronization</x:v>
      </x:c>
      <x:c r="E381" s="40" t="str">
        <x:v>FR-T-003</x:v>
      </x:c>
      <x:c r="F381" s="40" t="str">
        <x:v>Account linking shall retain the existing Local Profile rather than creating a replacement profile silently.</x:v>
      </x:c>
      <x:c r="G381" s="40" t="str">
        <x:v>BR-T-001, BR-T-005, BR-T-007</x:v>
      </x:c>
      <x:c r="H381" s="40" t="str">
        <x:v>ADR-012 — Activity Ledger and Contribution Engine; ADR-009 — Domain Ownership and Relationship Model; ADR-016 — Offline Outbox Synchronization and Conflict Resolution; ADR-018 — Guest-to-Account Migration and Account Lifecycle</x:v>
      </x:c>
      <x:c r="I381" s="40" t="str">
        <x:v>AC-T-003</x:v>
      </x:c>
      <x:c r="J381" s="40" t="str">
        <x:v>Yes</x:v>
      </x:c>
      <x:c r="K381" s="40" t="str">
        <x:v>V1</x:v>
      </x:c>
      <x:c r="L381" s="40" t="str">
        <x:v>Integration test</x:v>
      </x:c>
      <x:c r="M381" s="40" t="str">
        <x:v>OPD-4-020, OPD-4-021, OPD-4-022</x:v>
      </x:c>
      <x:c r="N381" s="40" t="str">
        <x:v>OPD-4-020: Retain Local Profile and transition to local-only operation. | OPD-4-021: Delete cloud data only; local deletion remains separate. | OPD-4-022: Require preview when local data already exists.</x:v>
      </x:c>
      <x:c r="O381" s="40" t="str">
        <x:v>VS-01 through VS-18</x:v>
      </x:c>
      <x:c r="P381" s="40" t="str">
        <x:v>Not Started</x:v>
      </x:c>
      <x:c r="Q381" s="40"/>
    </x:row>
    <x:row r="382">
      <x:c r="A382" s="40" t="str">
        <x:v>VS-19</x:v>
      </x:c>
      <x:c r="B382" s="40" t="n">
        <x:v>19</x:v>
      </x:c>
      <x:c r="C382" s="40" t="str">
        <x:v>Wave 4 — Device Services and Reliability</x:v>
      </x:c>
      <x:c r="D382" s="40" t="str">
        <x:v>T. Account and Synchronization</x:v>
      </x:c>
      <x:c r="E382" s="40" t="str">
        <x:v>FR-T-004</x:v>
      </x:c>
      <x:c r="F382" s="40" t="str">
        <x:v>Drift-backed local state shall become usable before synchronization completes.</x:v>
      </x:c>
      <x:c r="G382" s="40" t="str">
        <x:v>BR-T-006, BR-T-007, BR-T-010</x:v>
      </x:c>
      <x:c r="H382" s="40" t="str">
        <x:v>ADR-016 — Offline Outbox Synchronization and Conflict Resolution; ADR-018 — Guest-to-Account Migration and Account Lifecycle; ADR-006 — Local-First Operation with Background Synchronization; ADR-013 — Local Drift Database Architecture</x:v>
      </x:c>
      <x:c r="I382" s="40" t="str">
        <x:v>AC-T-004</x:v>
      </x:c>
      <x:c r="J382" s="40" t="str">
        <x:v>Yes</x:v>
      </x:c>
      <x:c r="K382" s="40" t="str">
        <x:v>V1</x:v>
      </x:c>
      <x:c r="L382" s="40" t="str">
        <x:v>Database test / Integration test</x:v>
      </x:c>
      <x:c r="M382" s="40"/>
      <x:c r="N382" s="40"/>
      <x:c r="O382" s="40" t="str">
        <x:v>VS-01 through VS-18</x:v>
      </x:c>
      <x:c r="P382" s="40" t="str">
        <x:v>Not Started</x:v>
      </x:c>
      <x:c r="Q382" s="40"/>
    </x:row>
    <x:row r="383">
      <x:c r="A383" s="40" t="str">
        <x:v>VS-19</x:v>
      </x:c>
      <x:c r="B383" s="40" t="n">
        <x:v>19</x:v>
      </x:c>
      <x:c r="C383" s="40" t="str">
        <x:v>Wave 4 — Device Services and Reliability</x:v>
      </x:c>
      <x:c r="D383" s="40" t="str">
        <x:v>T. Account and Synchronization</x:v>
      </x:c>
      <x:c r="E383" s="40" t="str">
        <x:v>FR-T-005</x:v>
      </x:c>
      <x:c r="F383" s="40" t="str">
        <x:v>Offline local changes shall enter a durable synchronization outbox.</x:v>
      </x:c>
      <x:c r="G383" s="40" t="str">
        <x:v>BR-T-003, BR-T-007, BR-T-010</x:v>
      </x:c>
      <x:c r="H383" s="40" t="str">
        <x:v>ADR-016 — Offline Outbox Synchronization and Conflict Resolution; ADR-018 — Guest-to-Account Migration and Account Lifecycle; ADR-006 — Local-First Operation with Background Synchronization</x:v>
      </x:c>
      <x:c r="I383" s="40" t="str">
        <x:v>AC-T-005</x:v>
      </x:c>
      <x:c r="J383" s="40" t="str">
        <x:v>Yes</x:v>
      </x:c>
      <x:c r="K383" s="40" t="str">
        <x:v>V1</x:v>
      </x:c>
      <x:c r="L383" s="40" t="str">
        <x:v>Database test / Integration test</x:v>
      </x:c>
      <x:c r="M383" s="40"/>
      <x:c r="N383" s="40"/>
      <x:c r="O383" s="40" t="str">
        <x:v>VS-01 through VS-18</x:v>
      </x:c>
      <x:c r="P383" s="40" t="str">
        <x:v>Not Started</x:v>
      </x:c>
      <x:c r="Q383" s="40"/>
    </x:row>
    <x:row r="384">
      <x:c r="A384" s="40" t="str">
        <x:v>VS-19</x:v>
      </x:c>
      <x:c r="B384" s="40" t="n">
        <x:v>19</x:v>
      </x:c>
      <x:c r="C384" s="40" t="str">
        <x:v>Wave 4 — Device Services and Reliability</x:v>
      </x:c>
      <x:c r="D384" s="40" t="str">
        <x:v>T. Account and Synchronization</x:v>
      </x:c>
      <x:c r="E384" s="40" t="str">
        <x:v>FR-T-006</x:v>
      </x:c>
      <x:c r="F384" s="40" t="str">
        <x:v>First sync to an empty cloud account shall upload the existing Local Profile without duplicating it.</x:v>
      </x:c>
      <x:c r="G384" s="40" t="str">
        <x:v>BR-T-001, BR-T-005, BR-T-007</x:v>
      </x:c>
      <x:c r="H384" s="40" t="str">
        <x:v>ADR-016 — Offline Outbox Synchronization and Conflict Resolution; ADR-018 — Guest-to-Account Migration and Account Lifecycle</x:v>
      </x:c>
      <x:c r="I384" s="40" t="str">
        <x:v>AC-T-006</x:v>
      </x:c>
      <x:c r="J384" s="40" t="str">
        <x:v>Yes</x:v>
      </x:c>
      <x:c r="K384" s="40" t="str">
        <x:v>V1</x:v>
      </x:c>
      <x:c r="L384" s="40" t="str">
        <x:v>Integration test</x:v>
      </x:c>
      <x:c r="M384" s="40" t="str">
        <x:v>OPD-4-019, OPD-4-020, OPD-4-021</x:v>
      </x:c>
      <x:c r="N384" s="40" t="str">
        <x:v>OPD-4-019: Never auto-select cloud-wins. | OPD-4-020: Retain Local Profile and transition to local-only operation. | OPD-4-021: Delete cloud data only; local deletion remains separate.</x:v>
      </x:c>
      <x:c r="O384" s="40" t="str">
        <x:v>VS-01 through VS-18</x:v>
      </x:c>
      <x:c r="P384" s="40" t="str">
        <x:v>Not Started</x:v>
      </x:c>
      <x:c r="Q384" s="40"/>
    </x:row>
    <x:row r="385">
      <x:c r="A385" s="40" t="str">
        <x:v>VS-19</x:v>
      </x:c>
      <x:c r="B385" s="40" t="n">
        <x:v>19</x:v>
      </x:c>
      <x:c r="C385" s="40" t="str">
        <x:v>Wave 4 — Device Services and Reliability</x:v>
      </x:c>
      <x:c r="D385" s="40" t="str">
        <x:v>T. Account and Synchronization</x:v>
      </x:c>
      <x:c r="E385" s="40" t="str">
        <x:v>FR-T-007</x:v>
      </x:c>
      <x:c r="F385" s="40" t="str">
        <x:v>First sync with existing cloud data shall present a safe reconciliation before applying destructive choices.</x:v>
      </x:c>
      <x:c r="G385" s="40" t="str">
        <x:v>BR-T-005, BR-T-007, BR-T-008</x:v>
      </x:c>
      <x:c r="H385" s="40" t="str">
        <x:v>ADR-016 — Offline Outbox Synchronization and Conflict Resolution; ADR-018 — Guest-to-Account Migration and Account Lifecycle</x:v>
      </x:c>
      <x:c r="I385" s="40" t="str">
        <x:v>AC-T-007</x:v>
      </x:c>
      <x:c r="J385" s="40" t="str">
        <x:v>Yes</x:v>
      </x:c>
      <x:c r="K385" s="40" t="str">
        <x:v>V1</x:v>
      </x:c>
      <x:c r="L385" s="40" t="str">
        <x:v>Integration test</x:v>
      </x:c>
      <x:c r="M385" s="40" t="str">
        <x:v>OPD-4-019</x:v>
      </x:c>
      <x:c r="N385" s="40" t="str">
        <x:v>OPD-4-019: Never auto-select cloud-wins.</x:v>
      </x:c>
      <x:c r="O385" s="40" t="str">
        <x:v>VS-01 through VS-18</x:v>
      </x:c>
      <x:c r="P385" s="40" t="str">
        <x:v>Not Started</x:v>
      </x:c>
      <x:c r="Q385" s="40"/>
    </x:row>
    <x:row r="386">
      <x:c r="A386" s="40" t="str">
        <x:v>VS-19</x:v>
      </x:c>
      <x:c r="B386" s="40" t="n">
        <x:v>19</x:v>
      </x:c>
      <x:c r="C386" s="40" t="str">
        <x:v>Wave 4 — Device Services and Reliability</x:v>
      </x:c>
      <x:c r="D386" s="40" t="str">
        <x:v>T. Account and Synchronization</x:v>
      </x:c>
      <x:c r="E386" s="40" t="str">
        <x:v>FR-T-008</x:v>
      </x:c>
      <x:c r="F386" s="40" t="str">
        <x:v>Remote synchronization shall not silently overwrite newer or pending local records.</x:v>
      </x:c>
      <x:c r="G386" s="40" t="str">
        <x:v>BR-T-005, BR-T-007, BR-T-010</x:v>
      </x:c>
      <x:c r="H386" s="40" t="str">
        <x:v>ADR-016 — Offline Outbox Synchronization and Conflict Resolution; ADR-018 — Guest-to-Account Migration and Account Lifecycle; ADR-013 — Local Drift Database Architecture</x:v>
      </x:c>
      <x:c r="I386" s="40" t="str">
        <x:v>AC-T-008</x:v>
      </x:c>
      <x:c r="J386" s="40" t="str">
        <x:v>Yes</x:v>
      </x:c>
      <x:c r="K386" s="40" t="str">
        <x:v>V1</x:v>
      </x:c>
      <x:c r="L386" s="40" t="str">
        <x:v>Database test / Integration test</x:v>
      </x:c>
      <x:c r="M386" s="40"/>
      <x:c r="N386" s="40"/>
      <x:c r="O386" s="40" t="str">
        <x:v>VS-01 through VS-18</x:v>
      </x:c>
      <x:c r="P386" s="40" t="str">
        <x:v>Not Started</x:v>
      </x:c>
      <x:c r="Q386" s="40"/>
    </x:row>
    <x:row r="387">
      <x:c r="A387" s="40" t="str">
        <x:v>VS-19</x:v>
      </x:c>
      <x:c r="B387" s="40" t="n">
        <x:v>19</x:v>
      </x:c>
      <x:c r="C387" s="40" t="str">
        <x:v>Wave 4 — Device Services and Reliability</x:v>
      </x:c>
      <x:c r="D387" s="40" t="str">
        <x:v>T. Account and Synchronization</x:v>
      </x:c>
      <x:c r="E387" s="40" t="str">
        <x:v>FR-T-009</x:v>
      </x:c>
      <x:c r="F387" s="40" t="str">
        <x:v>Supabase data access shall enforce private single-user ownership through Row Level Security.</x:v>
      </x:c>
      <x:c r="G387" s="40" t="str">
        <x:v>BR-T-006</x:v>
      </x:c>
      <x:c r="H387" s="40" t="str">
        <x:v>ADR-009 — Domain Ownership and Relationship Model; ADR-016 — Offline Outbox Synchronization and Conflict Resolution; ADR-018 — Guest-to-Account Migration and Account Lifecycle; ADR-015 — Supabase PostgreSQL Schema and Row Level Security</x:v>
      </x:c>
      <x:c r="I387" s="40" t="str">
        <x:v>AC-T-009</x:v>
      </x:c>
      <x:c r="J387" s="40" t="str">
        <x:v>Yes</x:v>
      </x:c>
      <x:c r="K387" s="40" t="str">
        <x:v>V1</x:v>
      </x:c>
      <x:c r="L387" s="40" t="str">
        <x:v>RLS test</x:v>
      </x:c>
      <x:c r="M387" s="40"/>
      <x:c r="N387" s="40"/>
      <x:c r="O387" s="40" t="str">
        <x:v>VS-01 through VS-18</x:v>
      </x:c>
      <x:c r="P387" s="40" t="str">
        <x:v>Not Started</x:v>
      </x:c>
      <x:c r="Q387" s="40"/>
    </x:row>
    <x:row r="388">
      <x:c r="A388" s="40" t="str">
        <x:v>VS-19</x:v>
      </x:c>
      <x:c r="B388" s="40" t="n">
        <x:v>19</x:v>
      </x:c>
      <x:c r="C388" s="40" t="str">
        <x:v>Wave 4 — Device Services and Reliability</x:v>
      </x:c>
      <x:c r="D388" s="40" t="str">
        <x:v>T. Account and Synchronization</x:v>
      </x:c>
      <x:c r="E388" s="40" t="str">
        <x:v>FR-T-010</x:v>
      </x:c>
      <x:c r="F388" s="40" t="str">
        <x:v>Session expiration shall preserve local access and queue new local changes.</x:v>
      </x:c>
      <x:c r="G388" s="40" t="str">
        <x:v>BR-T-005, BR-T-006, BR-T-007</x:v>
      </x:c>
      <x:c r="H388" s="40" t="str">
        <x:v>ADR-016 — Offline Outbox Synchronization and Conflict Resolution; ADR-018 — Guest-to-Account Migration and Account Lifecycle</x:v>
      </x:c>
      <x:c r="I388" s="40" t="str">
        <x:v>AC-T-010</x:v>
      </x:c>
      <x:c r="J388" s="40" t="str">
        <x:v>Yes</x:v>
      </x:c>
      <x:c r="K388" s="40" t="str">
        <x:v>V1</x:v>
      </x:c>
      <x:c r="L388" s="40" t="str">
        <x:v>Domain test</x:v>
      </x:c>
      <x:c r="M388" s="40"/>
      <x:c r="N388" s="40"/>
      <x:c r="O388" s="40" t="str">
        <x:v>VS-01 through VS-18</x:v>
      </x:c>
      <x:c r="P388" s="40" t="str">
        <x:v>Not Started</x:v>
      </x:c>
      <x:c r="Q388" s="40"/>
    </x:row>
    <x:row r="389">
      <x:c r="A389" s="40" t="str">
        <x:v>VS-19</x:v>
      </x:c>
      <x:c r="B389" s="40" t="n">
        <x:v>19</x:v>
      </x:c>
      <x:c r="C389" s="40" t="str">
        <x:v>Wave 4 — Device Services and Reliability</x:v>
      </x:c>
      <x:c r="D389" s="40" t="str">
        <x:v>T. Account and Synchronization</x:v>
      </x:c>
      <x:c r="E389" s="40" t="str">
        <x:v>FR-T-011</x:v>
      </x:c>
      <x:c r="F389" s="40" t="str">
        <x:v>Signing out shall not automatically erase the Local Profile or its data.</x:v>
      </x:c>
      <x:c r="G389" s="40" t="str">
        <x:v>BR-T-001, BR-T-006, BR-T-007</x:v>
      </x:c>
      <x:c r="H389" s="40" t="str">
        <x:v>ADR-016 — Offline Outbox Synchronization and Conflict Resolution; ADR-018 — Guest-to-Account Migration and Account Lifecycle</x:v>
      </x:c>
      <x:c r="I389" s="40" t="str">
        <x:v>AC-T-011</x:v>
      </x:c>
      <x:c r="J389" s="40" t="str">
        <x:v>Yes</x:v>
      </x:c>
      <x:c r="K389" s="40" t="str">
        <x:v>V1</x:v>
      </x:c>
      <x:c r="L389" s="40" t="str">
        <x:v>Domain test</x:v>
      </x:c>
      <x:c r="M389" s="40" t="str">
        <x:v>OPD-4-020</x:v>
      </x:c>
      <x:c r="N389" s="40" t="str">
        <x:v>OPD-4-020: Retain Local Profile and transition to local-only operation.</x:v>
      </x:c>
      <x:c r="O389" s="40" t="str">
        <x:v>VS-01 through VS-18</x:v>
      </x:c>
      <x:c r="P389" s="40" t="str">
        <x:v>Not Started</x:v>
      </x:c>
      <x:c r="Q389" s="40"/>
    </x:row>
    <x:row r="390">
      <x:c r="A390" s="40" t="str">
        <x:v>VS-19</x:v>
      </x:c>
      <x:c r="B390" s="40" t="n">
        <x:v>19</x:v>
      </x:c>
      <x:c r="C390" s="40" t="str">
        <x:v>Wave 4 — Device Services and Reliability</x:v>
      </x:c>
      <x:c r="D390" s="40" t="str">
        <x:v>T. Account and Synchronization</x:v>
      </x:c>
      <x:c r="E390" s="40" t="str">
        <x:v>FR-T-012</x:v>
      </x:c>
      <x:c r="F390" s="40" t="str">
        <x:v>Sign out, stop synchronization, unlink account, delete cloud data, and delete local data shall remain distinct user actions.</x:v>
      </x:c>
      <x:c r="G390" s="40" t="str">
        <x:v>BR-T-005, BR-T-006, BR-T-007</x:v>
      </x:c>
      <x:c r="H390" s="40" t="str">
        <x:v>ADR-009 — Domain Ownership and Relationship Model; ADR-016 — Offline Outbox Synchronization and Conflict Resolution; ADR-018 — Guest-to-Account Migration and Account Lifecycle</x:v>
      </x:c>
      <x:c r="I390" s="40" t="str">
        <x:v>AC-T-012</x:v>
      </x:c>
      <x:c r="J390" s="40" t="str">
        <x:v>No</x:v>
      </x:c>
      <x:c r="K390" s="40" t="str">
        <x:v>V1</x:v>
      </x:c>
      <x:c r="L390" s="40" t="str">
        <x:v>Integration test</x:v>
      </x:c>
      <x:c r="M390" s="40" t="str">
        <x:v>OPD-4-021, OPD-4-024</x:v>
      </x:c>
      <x:c r="N390" s="40" t="str">
        <x:v>OPD-4-021: Delete cloud data only; local deletion remains separate. | OPD-4-024: Private reflections are Extra Private and local-only by default. They may enter cloud synchronization only after a future explicit per-category opt-in exists; until then they remain local-only.</x:v>
      </x:c>
      <x:c r="O390" s="40" t="str">
        <x:v>VS-01 through VS-18</x:v>
      </x:c>
      <x:c r="P390" s="40" t="str">
        <x:v>Not Started</x:v>
      </x:c>
      <x:c r="Q390" s="40"/>
    </x:row>
    <x:row r="391">
      <x:c r="A391" s="40" t="str">
        <x:v>VS-19</x:v>
      </x:c>
      <x:c r="B391" s="40" t="n">
        <x:v>19</x:v>
      </x:c>
      <x:c r="C391" s="40" t="str">
        <x:v>Wave 4 — Device Services and Reliability</x:v>
      </x:c>
      <x:c r="D391" s="40" t="str">
        <x:v>T. Account and Synchronization</x:v>
      </x:c>
      <x:c r="E391" s="40" t="str">
        <x:v>FR-T-013</x:v>
      </x:c>
      <x:c r="F391" s="40" t="str">
        <x:v>Cloud-account deletion shall require explicit confirmation and disclose its effect on cloud and local data.</x:v>
      </x:c>
      <x:c r="G391" s="40" t="str">
        <x:v>BR-T-005, BR-T-006, BR-T-007</x:v>
      </x:c>
      <x:c r="H391" s="40" t="str">
        <x:v>ADR-016 — Offline Outbox Synchronization and Conflict Resolution; ADR-018 — Guest-to-Account Migration and Account Lifecycle</x:v>
      </x:c>
      <x:c r="I391" s="40" t="str">
        <x:v>AC-T-013</x:v>
      </x:c>
      <x:c r="J391" s="40" t="str">
        <x:v>Yes</x:v>
      </x:c>
      <x:c r="K391" s="40" t="str">
        <x:v>V1</x:v>
      </x:c>
      <x:c r="L391" s="40" t="str">
        <x:v>Domain test</x:v>
      </x:c>
      <x:c r="M391" s="40" t="str">
        <x:v>OPD-4-021, OPD-4-022</x:v>
      </x:c>
      <x:c r="N391" s="40" t="str">
        <x:v>OPD-4-021: Delete cloud data only; local deletion remains separate. | OPD-4-022: Require preview when local data already exists.</x:v>
      </x:c>
      <x:c r="O391" s="40" t="str">
        <x:v>VS-01 through VS-18</x:v>
      </x:c>
      <x:c r="P391" s="40" t="str">
        <x:v>Not Started</x:v>
      </x:c>
      <x:c r="Q391" s="40"/>
    </x:row>
    <x:row r="392">
      <x:c r="A392" s="40" t="str">
        <x:v>VS-19</x:v>
      </x:c>
      <x:c r="B392" s="40" t="n">
        <x:v>19</x:v>
      </x:c>
      <x:c r="C392" s="40" t="str">
        <x:v>Wave 4 — Device Services and Reliability</x:v>
      </x:c>
      <x:c r="D392" s="40" t="str">
        <x:v>T. Account and Synchronization</x:v>
      </x:c>
      <x:c r="E392" s="40" t="str">
        <x:v>FR-T-014</x:v>
      </x:c>
      <x:c r="F392" s="40" t="str">
        <x:v>A signed-in user shall be able to recover private cloud data on a replacement device without silent local overwrite.</x:v>
      </x:c>
      <x:c r="G392" s="40" t="str">
        <x:v>BR-T-005, BR-T-006, BR-T-007</x:v>
      </x:c>
      <x:c r="H392" s="40" t="str">
        <x:v>ADR-012 — Activity Ledger and Contribution Engine; ADR-016 — Offline Outbox Synchronization and Conflict Resolution; ADR-018 — Guest-to-Account Migration and Account Lifecycle</x:v>
      </x:c>
      <x:c r="I392" s="40" t="str">
        <x:v>AC-T-014</x:v>
      </x:c>
      <x:c r="J392" s="40" t="str">
        <x:v>Yes</x:v>
      </x:c>
      <x:c r="K392" s="40" t="str">
        <x:v>V1</x:v>
      </x:c>
      <x:c r="L392" s="40" t="str">
        <x:v>Widget test</x:v>
      </x:c>
      <x:c r="M392" s="40" t="str">
        <x:v>OPD-4-021, OPD-4-022, OPD-4-024</x:v>
      </x:c>
      <x:c r="N392" s="40" t="str">
        <x:v>OPD-4-021: Delete cloud data only; local deletion remains separate. | OPD-4-022: Require preview when local data already exists. | OPD-4-024: Private reflections are Extra Private and local-only by default. They may enter cloud synchronization only after a future explicit per-category opt-in exists; until then they remain local-only.</x:v>
      </x:c>
      <x:c r="O392" s="40" t="str">
        <x:v>VS-01 through VS-18</x:v>
      </x:c>
      <x:c r="P392" s="40" t="str">
        <x:v>Not Started</x:v>
      </x:c>
      <x:c r="Q392" s="40"/>
    </x:row>
    <x:row r="393">
      <x:c r="A393" s="40" t="str">
        <x:v>VS-19</x:v>
      </x:c>
      <x:c r="B393" s="40" t="n">
        <x:v>19</x:v>
      </x:c>
      <x:c r="C393" s="40" t="str">
        <x:v>Wave 4 — Device Services and Reliability</x:v>
      </x:c>
      <x:c r="D393" s="40" t="str">
        <x:v>T. Account and Synchronization</x:v>
      </x:c>
      <x:c r="E393" s="40" t="str">
        <x:v>FR-T-015</x:v>
      </x:c>
      <x:c r="F393" s="40" t="str">
        <x:v>display whether data is local-only, pending upload, synchronized, paused, expired, or Action Required.</x:v>
      </x:c>
      <x:c r="G393" s="40" t="str">
        <x:v>BR-T-005, BR-T-006, BR-T-007</x:v>
      </x:c>
      <x:c r="H393" s="40" t="str">
        <x:v>ADR-016 — Offline Outbox Synchronization and Conflict Resolution; ADR-018 — Guest-to-Account Migration and Account Lifecycle</x:v>
      </x:c>
      <x:c r="I393" s="40" t="str">
        <x:v>AC-T-015</x:v>
      </x:c>
      <x:c r="J393" s="40" t="str">
        <x:v>No</x:v>
      </x:c>
      <x:c r="K393" s="40" t="str">
        <x:v>V1</x:v>
      </x:c>
      <x:c r="L393" s="40" t="str">
        <x:v>Widget test / Integration test</x:v>
      </x:c>
      <x:c r="M393" s="40"/>
      <x:c r="N393" s="40"/>
      <x:c r="O393" s="40" t="str">
        <x:v>VS-01 through VS-18</x:v>
      </x:c>
      <x:c r="P393" s="40" t="str">
        <x:v>Not Started</x:v>
      </x:c>
      <x:c r="Q393" s="40"/>
    </x:row>
    <x:row r="394">
      <x:c r="A394" s="40" t="str">
        <x:v>VS-19</x:v>
      </x:c>
      <x:c r="B394" s="40" t="n">
        <x:v>19</x:v>
      </x:c>
      <x:c r="C394" s="40" t="str">
        <x:v>Wave 4 — Device Services and Reliability</x:v>
      </x:c>
      <x:c r="D394" s="40" t="str">
        <x:v>T. Account and Synchronization</x:v>
      </x:c>
      <x:c r="E394" s="40" t="str">
        <x:v>FR-T-016</x:v>
      </x:c>
      <x:c r="F394" s="40" t="str">
        <x:v>Synchronization retries shall be idempotent and shall not duplicate domain records or contribution effects.</x:v>
      </x:c>
      <x:c r="G394" s="40" t="str">
        <x:v>BR-T-010</x:v>
      </x:c>
      <x:c r="H394" s="40" t="str">
        <x:v>ADR-012 — Activity Ledger and Contribution Engine; ADR-016 — Offline Outbox Synchronization and Conflict Resolution; ADR-018 — Guest-to-Account Migration and Account Lifecycle; ADR-023 — Testing, Observability, Diagnostics, and Quality Strategy</x:v>
      </x:c>
      <x:c r="I394" s="40" t="str">
        <x:v>AC-T-016</x:v>
      </x:c>
      <x:c r="J394" s="40" t="str">
        <x:v>Yes</x:v>
      </x:c>
      <x:c r="K394" s="40" t="str">
        <x:v>V1</x:v>
      </x:c>
      <x:c r="L394" s="40" t="str">
        <x:v>Domain test / Integration test</x:v>
      </x:c>
      <x:c r="M394" s="40"/>
      <x:c r="N394" s="40"/>
      <x:c r="O394" s="40" t="str">
        <x:v>VS-01 through VS-18</x:v>
      </x:c>
      <x:c r="P394" s="40" t="str">
        <x:v>Not Started</x:v>
      </x:c>
      <x:c r="Q394" s="40"/>
    </x:row>
    <x:row r="395">
      <x:c r="A395" s="40" t="str">
        <x:v>VS-19</x:v>
      </x:c>
      <x:c r="B395" s="40" t="n">
        <x:v>19</x:v>
      </x:c>
      <x:c r="C395" s="40" t="str">
        <x:v>Wave 4 — Device Services and Reliability</x:v>
      </x:c>
      <x:c r="D395" s="40" t="str">
        <x:v>T. Account and Synchronization</x:v>
      </x:c>
      <x:c r="E395" s="40" t="str">
        <x:v>FR-T-017</x:v>
      </x:c>
      <x:c r="F395" s="40" t="str">
        <x:v>Conflict resolution shall preserve report history, ledger lineage, recurrence occurrences, and Task–Event relationships.</x:v>
      </x:c>
      <x:c r="G395" s="40" t="str">
        <x:v>BR-T-009</x:v>
      </x:c>
      <x:c r="H395" s="40" t="str">
        <x:v>ADR-011 — Event and Task Outcome Reporting; ADR-012 — Activity Ledger and Contribution Engine; ADR-009 — Domain Ownership and Relationship Model; ADR-016 — Offline Outbox Synchronization and Conflict Resolution</x:v>
      </x:c>
      <x:c r="I395" s="40" t="str">
        <x:v>AC-T-017</x:v>
      </x:c>
      <x:c r="J395" s="40" t="str">
        <x:v>Yes</x:v>
      </x:c>
      <x:c r="K395" s="40" t="str">
        <x:v>V1</x:v>
      </x:c>
      <x:c r="L395" s="40" t="str">
        <x:v>Database test</x:v>
      </x:c>
      <x:c r="M395" s="40" t="str">
        <x:v>OPD-4-023</x:v>
      </x:c>
      <x:c r="N395" s="40" t="str">
        <x:v>OPD-4-023: Auto-reconcile only provably nonconflicting records.</x:v>
      </x:c>
      <x:c r="O395" s="40" t="str">
        <x:v>VS-01 through VS-18</x:v>
      </x:c>
      <x:c r="P395" s="40" t="str">
        <x:v>Not Started</x:v>
      </x:c>
      <x:c r="Q395" s="40"/>
    </x:row>
    <x:row r="396">
      <x:c r="A396" s="40" t="str">
        <x:v>VS-19</x:v>
      </x:c>
      <x:c r="B396" s="40" t="n">
        <x:v>19</x:v>
      </x:c>
      <x:c r="C396" s="40" t="str">
        <x:v>Wave 4 — Device Services and Reliability</x:v>
      </x:c>
      <x:c r="D396" s="40" t="str">
        <x:v>T. Account and Synchronization</x:v>
      </x:c>
      <x:c r="E396" s="40" t="str">
        <x:v>FR-T-018</x:v>
      </x:c>
      <x:c r="F396" s="40" t="str">
        <x:v>Account synchronization shall not provide sharing, collaboration, leader, family, or mentor access.</x:v>
      </x:c>
      <x:c r="G396" s="40" t="str">
        <x:v>BR-T-001, BR-T-010</x:v>
      </x:c>
      <x:c r="H396" s="40" t="str">
        <x:v>ADR-016 — Offline Outbox Synchronization and Conflict Resolution; ADR-018 — Guest-to-Account Migration and Account Lifecycle; ADR-003 — Private Single-User Data Model</x:v>
      </x:c>
      <x:c r="I396" s="40" t="str">
        <x:v>AC-T-018</x:v>
      </x:c>
      <x:c r="J396" s="40" t="str">
        <x:v>Yes</x:v>
      </x:c>
      <x:c r="K396" s="40" t="str">
        <x:v>V1</x:v>
      </x:c>
      <x:c r="L396" s="40" t="str">
        <x:v>Integration test</x:v>
      </x:c>
      <x:c r="M396" s="40"/>
      <x:c r="N396" s="40"/>
      <x:c r="O396" s="40" t="str">
        <x:v>VS-01 through VS-18</x:v>
      </x:c>
      <x:c r="P396" s="40" t="str">
        <x:v>Not Started</x:v>
      </x:c>
      <x:c r="Q396" s="40"/>
    </x:row>
    <x:row r="397">
      <x:c r="A397" s="40" t="str">
        <x:v>VS-19</x:v>
      </x:c>
      <x:c r="B397" s="40" t="n">
        <x:v>19</x:v>
      </x:c>
      <x:c r="C397" s="40" t="str">
        <x:v>Wave 4 — Device Services and Reliability</x:v>
      </x:c>
      <x:c r="D397" s="40" t="str">
        <x:v>T. Account and Synchronization</x:v>
      </x:c>
      <x:c r="E397" s="40" t="str">
        <x:v>FR-T-019</x:v>
      </x:c>
      <x:c r="F397" s="40" t="str">
        <x:v>Privacy lock shall remain enforceable independently of account authentication state.</x:v>
      </x:c>
      <x:c r="G397" s="40" t="str">
        <x:v>BR-T-001</x:v>
      </x:c>
      <x:c r="H397" s="40" t="str">
        <x:v>ADR-016 — Offline Outbox Synchronization and Conflict Resolution; ADR-018 — Guest-to-Account Migration and Account Lifecycle; ADR-021 — Security, Privacy, Permissions, and Sensitive Data</x:v>
      </x:c>
      <x:c r="I397" s="40" t="str">
        <x:v>AC-T-019</x:v>
      </x:c>
      <x:c r="J397" s="40" t="str">
        <x:v>Yes</x:v>
      </x:c>
      <x:c r="K397" s="40" t="str">
        <x:v>V1</x:v>
      </x:c>
      <x:c r="L397" s="40" t="str">
        <x:v>Domain test</x:v>
      </x:c>
      <x:c r="M397" s="40"/>
      <x:c r="N397" s="40"/>
      <x:c r="O397" s="40" t="str">
        <x:v>VS-01 through VS-18</x:v>
      </x:c>
      <x:c r="P397" s="40" t="str">
        <x:v>Not Started</x:v>
      </x:c>
      <x:c r="Q397" s="40"/>
    </x:row>
    <x:row r="398">
      <x:c r="A398" s="40" t="str">
        <x:v>VS-19</x:v>
      </x:c>
      <x:c r="B398" s="40" t="n">
        <x:v>19</x:v>
      </x:c>
      <x:c r="C398" s="40" t="str">
        <x:v>Wave 4 — Device Services and Reliability</x:v>
      </x:c>
      <x:c r="D398" s="40" t="str">
        <x:v>T. Account and Synchronization</x:v>
      </x:c>
      <x:c r="E398" s="40" t="str">
        <x:v>FR-T-020</x:v>
      </x:c>
      <x:c r="F398" s="40" t="str">
        <x:v>Failed or cancelled authentication shall return the user to usable local-only operation.</x:v>
      </x:c>
      <x:c r="G398" s="40" t="str">
        <x:v>BR-T-005, BR-T-006, BR-T-007</x:v>
      </x:c>
      <x:c r="H398" s="40" t="str">
        <x:v>ADR-016 — Offline Outbox Synchronization and Conflict Resolution; ADR-018 — Guest-to-Account Migration and Account Lifecycle; ADR-002 — Guest-First Identity and Optional Accounts</x:v>
      </x:c>
      <x:c r="I398" s="40" t="str">
        <x:v>AC-T-020</x:v>
      </x:c>
      <x:c r="J398" s="40" t="str">
        <x:v>No</x:v>
      </x:c>
      <x:c r="K398" s="40" t="str">
        <x:v>V1</x:v>
      </x:c>
      <x:c r="L398" s="40" t="str">
        <x:v>Domain test</x:v>
      </x:c>
      <x:c r="M398" s="40" t="str">
        <x:v>OPD-4-020</x:v>
      </x:c>
      <x:c r="N398" s="40" t="str">
        <x:v>OPD-4-020: Retain Local Profile and transition to local-only operation.</x:v>
      </x:c>
      <x:c r="O398" s="40" t="str">
        <x:v>VS-01 through VS-18</x:v>
      </x:c>
      <x:c r="P398" s="40" t="str">
        <x:v>Not Started</x:v>
      </x:c>
      <x:c r="Q398" s="40"/>
    </x:row>
    <x:row r="399">
      <x:c r="A399" s="40" t="str">
        <x:v>VS-19</x:v>
      </x:c>
      <x:c r="B399" s="40" t="n">
        <x:v>19</x:v>
      </x:c>
      <x:c r="C399" s="40" t="str">
        <x:v>Wave 4 — Device Services and Reliability</x:v>
      </x:c>
      <x:c r="D399" s="40" t="str">
        <x:v>T. Account and Synchronization</x:v>
      </x:c>
      <x:c r="E399" s="40" t="str">
        <x:v>FR-T-021</x:v>
      </x:c>
      <x:c r="F399" s="40" t="str">
        <x:v>Synchronization diagnostics shall minimize user content and avoid exposing authentication secrets.</x:v>
      </x:c>
      <x:c r="G399" s="40" t="str">
        <x:v>BR-T-010</x:v>
      </x:c>
      <x:c r="H399" s="40" t="str">
        <x:v>ADR-016 — Offline Outbox Synchronization and Conflict Resolution; ADR-018 — Guest-to-Account Migration and Account Lifecycle; ADR-023 — Testing, Observability, Diagnostics, and Quality Strategy</x:v>
      </x:c>
      <x:c r="I399" s="40" t="str">
        <x:v>AC-T-021</x:v>
      </x:c>
      <x:c r="J399" s="40" t="str">
        <x:v>No</x:v>
      </x:c>
      <x:c r="K399" s="40" t="str">
        <x:v>V1</x:v>
      </x:c>
      <x:c r="L399" s="40" t="str">
        <x:v>Integration test</x:v>
      </x:c>
      <x:c r="M399" s="40"/>
      <x:c r="N399" s="40"/>
      <x:c r="O399" s="40" t="str">
        <x:v>VS-01 through VS-18</x:v>
      </x:c>
      <x:c r="P399" s="40" t="str">
        <x:v>Not Started</x:v>
      </x:c>
      <x:c r="Q399" s="40"/>
    </x:row>
    <x:row r="400">
      <x:c r="A400" s="40" t="str">
        <x:v>VS-19</x:v>
      </x:c>
      <x:c r="B400" s="40" t="n">
        <x:v>19</x:v>
      </x:c>
      <x:c r="C400" s="40" t="str">
        <x:v>Wave 4 — Device Services and Reliability</x:v>
      </x:c>
      <x:c r="D400" s="40" t="str">
        <x:v>T. Account and Synchronization</x:v>
      </x:c>
      <x:c r="E400" s="40" t="str">
        <x:v>FR-T-022</x:v>
      </x:c>
      <x:c r="F400" s="40" t="str">
        <x:v>A user may pause synchronization without disabling local application workflows.</x:v>
      </x:c>
      <x:c r="G400" s="40" t="str">
        <x:v>BR-T-006, BR-T-007, BR-T-010</x:v>
      </x:c>
      <x:c r="H400" s="40" t="str">
        <x:v>ADR-016 — Offline Outbox Synchronization and Conflict Resolution; ADR-018 — Guest-to-Account Migration and Account Lifecycle; ADR-007 — Small Core V1 Scope</x:v>
      </x:c>
      <x:c r="I400" s="40" t="str">
        <x:v>AC-T-022</x:v>
      </x:c>
      <x:c r="J400" s="40" t="str">
        <x:v>No</x:v>
      </x:c>
      <x:c r="K400" s="40" t="str">
        <x:v>V1.1</x:v>
      </x:c>
      <x:c r="L400" s="40" t="str">
        <x:v>Integration test</x:v>
      </x:c>
      <x:c r="M400" s="40"/>
      <x:c r="N400" s="40"/>
      <x:c r="O400" s="40" t="str">
        <x:v>VS-01 through VS-18</x:v>
      </x:c>
      <x:c r="P400" s="40" t="str">
        <x:v>Not Started</x:v>
      </x:c>
      <x:c r="Q400" s="40"/>
    </x:row>
    <x:row r="401">
      <x:c r="A401" s="40" t="str">
        <x:v>VS-16</x:v>
      </x:c>
      <x:c r="B401" s="40" t="n">
        <x:v>16</x:v>
      </x:c>
      <x:c r="C401" s="40" t="str">
        <x:v>Wave 4 — Device Services and Reliability</x:v>
      </x:c>
      <x:c r="D401" s="40" t="str">
        <x:v>U. Notifications and Background Work</x:v>
      </x:c>
      <x:c r="E401" s="40" t="str">
        <x:v>FR-U-001</x:v>
      </x:c>
      <x:c r="F401" s="40" t="str">
        <x:v>provide a durable local background-work scheduler for approved V1 jobs.</x:v>
      </x:c>
      <x:c r="G401" s="40" t="str">
        <x:v>BR-U-001, BR-U-007, BR-U-011</x:v>
      </x:c>
      <x:c r="H401" s="40" t="str">
        <x:v>ADR-022 — Notifications, Background Work, and Calendar Integration; ADR-023 — Testing, Observability, Diagnostics, and Quality Strategy</x:v>
      </x:c>
      <x:c r="I401" s="40" t="str">
        <x:v>AC-U-001</x:v>
      </x:c>
      <x:c r="J401" s="40" t="str">
        <x:v>Yes</x:v>
      </x:c>
      <x:c r="K401" s="40" t="str">
        <x:v>V1</x:v>
      </x:c>
      <x:c r="L401" s="40" t="str">
        <x:v>Integration test</x:v>
      </x:c>
      <x:c r="M401" s="40"/>
      <x:c r="N401" s="40"/>
      <x:c r="O401" s="40" t="str">
        <x:v>VS-02, VS-03, VS-04, VS-08</x:v>
      </x:c>
      <x:c r="P401" s="40" t="str">
        <x:v>Not Started</x:v>
      </x:c>
      <x:c r="Q401" s="40"/>
    </x:row>
    <x:row r="402">
      <x:c r="A402" s="40" t="str">
        <x:v>VS-16</x:v>
      </x:c>
      <x:c r="B402" s="40" t="n">
        <x:v>16</x:v>
      </x:c>
      <x:c r="C402" s="40" t="str">
        <x:v>Wave 4 — Device Services and Reliability</x:v>
      </x:c>
      <x:c r="D402" s="40" t="str">
        <x:v>U. Notifications and Background Work</x:v>
      </x:c>
      <x:c r="E402" s="40" t="str">
        <x:v>FR-U-002</x:v>
      </x:c>
      <x:c r="F402" s="40" t="str">
        <x:v>Background work shall never create Task completion, Calendar Event outcomes, reports, Actual, or Activity Ledger contributions without a valid canonical source.</x:v>
      </x:c>
      <x:c r="G402" s="40" t="str">
        <x:v>BR-U-001, BR-U-002, BR-U-012</x:v>
      </x:c>
      <x:c r="H402" s="40" t="str">
        <x:v>ADR-005 — Confirmed-Source Progress and Read-Only Actuals; ADR-011 — Event and Task Outcome Reporting; ADR-022 — Notifications, Background Work, and Calendar Integration; ADR-023 — Testing, Observability, Diagnostics, and Quality Strategy</x:v>
      </x:c>
      <x:c r="I402" s="40" t="str">
        <x:v>AC-U-002</x:v>
      </x:c>
      <x:c r="J402" s="40" t="str">
        <x:v>Yes</x:v>
      </x:c>
      <x:c r="K402" s="40" t="str">
        <x:v>V1</x:v>
      </x:c>
      <x:c r="L402" s="40" t="str">
        <x:v>Domain test / Database test / Integration test</x:v>
      </x:c>
      <x:c r="M402" s="40" t="str">
        <x:v>OPD-5-003</x:v>
      </x:c>
      <x:c r="N402" s="40" t="str">
        <x:v>OPD-5-003: Show category, state, and timestamps without exposing private payloads.</x:v>
      </x:c>
      <x:c r="O402" s="40" t="str">
        <x:v>VS-02, VS-03, VS-04, VS-08</x:v>
      </x:c>
      <x:c r="P402" s="40" t="str">
        <x:v>Not Started</x:v>
      </x:c>
      <x:c r="Q402" s="40"/>
    </x:row>
    <x:row r="403">
      <x:c r="A403" s="40" t="str">
        <x:v>VS-16</x:v>
      </x:c>
      <x:c r="B403" s="40" t="n">
        <x:v>16</x:v>
      </x:c>
      <x:c r="C403" s="40" t="str">
        <x:v>Wave 4 — Device Services and Reliability</x:v>
      </x:c>
      <x:c r="D403" s="40" t="str">
        <x:v>U. Notifications and Background Work</x:v>
      </x:c>
      <x:c r="E403" s="40" t="str">
        <x:v>FR-U-003</x:v>
      </x:c>
      <x:c r="F403" s="40" t="str">
        <x:v>Background jobs shall be idempotent and safe to retry after process death, device restart, or uncertain completion.</x:v>
      </x:c>
      <x:c r="G403" s="40" t="str">
        <x:v>BR-U-003, BR-U-011, BR-U-012</x:v>
      </x:c>
      <x:c r="H403" s="40" t="str">
        <x:v>ADR-022 — Notifications, Background Work, and Calendar Integration; ADR-023 — Testing, Observability, Diagnostics, and Quality Strategy</x:v>
      </x:c>
      <x:c r="I403" s="40" t="str">
        <x:v>AC-U-003</x:v>
      </x:c>
      <x:c r="J403" s="40" t="str">
        <x:v>Yes</x:v>
      </x:c>
      <x:c r="K403" s="40" t="str">
        <x:v>V1</x:v>
      </x:c>
      <x:c r="L403" s="40" t="str">
        <x:v>Domain test / Integration test</x:v>
      </x:c>
      <x:c r="M403" s="40"/>
      <x:c r="N403" s="40"/>
      <x:c r="O403" s="40" t="str">
        <x:v>VS-02, VS-03, VS-04, VS-08</x:v>
      </x:c>
      <x:c r="P403" s="40" t="str">
        <x:v>Not Started</x:v>
      </x:c>
      <x:c r="Q403" s="40"/>
    </x:row>
    <x:row r="404">
      <x:c r="A404" s="40" t="str">
        <x:v>VS-16</x:v>
      </x:c>
      <x:c r="B404" s="40" t="n">
        <x:v>16</x:v>
      </x:c>
      <x:c r="C404" s="40" t="str">
        <x:v>Wave 4 — Device Services and Reliability</x:v>
      </x:c>
      <x:c r="D404" s="40" t="str">
        <x:v>U. Notifications and Background Work</x:v>
      </x:c>
      <x:c r="E404" s="40" t="str">
        <x:v>FR-U-004</x:v>
      </x:c>
      <x:c r="F404" s="40" t="str">
        <x:v>Background jobs shall declare and respect required connectivity, charging, battery, and storage constraints where applicable.</x:v>
      </x:c>
      <x:c r="G404" s="40" t="str">
        <x:v>BR-U-006, BR-U-009, BR-U-011</x:v>
      </x:c>
      <x:c r="H404" s="40" t="str">
        <x:v>ADR-022 — Notifications, Background Work, and Calendar Integration; ADR-023 — Testing, Observability, Diagnostics, and Quality Strategy</x:v>
      </x:c>
      <x:c r="I404" s="40" t="str">
        <x:v>AC-U-004</x:v>
      </x:c>
      <x:c r="J404" s="40" t="str">
        <x:v>Yes</x:v>
      </x:c>
      <x:c r="K404" s="40" t="str">
        <x:v>V1</x:v>
      </x:c>
      <x:c r="L404" s="40" t="str">
        <x:v>Integration test</x:v>
      </x:c>
      <x:c r="M404" s="40"/>
      <x:c r="N404" s="40"/>
      <x:c r="O404" s="40" t="str">
        <x:v>VS-02, VS-03, VS-04, VS-08</x:v>
      </x:c>
      <x:c r="P404" s="40" t="str">
        <x:v>Not Started</x:v>
      </x:c>
      <x:c r="Q404" s="40"/>
    </x:row>
    <x:row r="405">
      <x:c r="A405" s="40" t="str">
        <x:v>VS-16</x:v>
      </x:c>
      <x:c r="B405" s="40" t="n">
        <x:v>16</x:v>
      </x:c>
      <x:c r="C405" s="40" t="str">
        <x:v>Wave 4 — Device Services and Reliability</x:v>
      </x:c>
      <x:c r="D405" s="40" t="str">
        <x:v>U. Notifications and Background Work</x:v>
      </x:c>
      <x:c r="E405" s="40" t="str">
        <x:v>FR-U-005</x:v>
      </x:c>
      <x:c r="F405" s="40" t="str">
        <x:v>recover eligible reminder schedules and pending background work after device restart or app update.</x:v>
      </x:c>
      <x:c r="G405" s="40" t="str">
        <x:v>BR-U-001, BR-U-006, BR-U-007</x:v>
      </x:c>
      <x:c r="H405" s="40" t="str">
        <x:v>ADR-022 — Notifications, Background Work, and Calendar Integration; ADR-023 — Testing, Observability, Diagnostics, and Quality Strategy</x:v>
      </x:c>
      <x:c r="I405" s="40" t="str">
        <x:v>AC-U-005</x:v>
      </x:c>
      <x:c r="J405" s="40" t="str">
        <x:v>Yes</x:v>
      </x:c>
      <x:c r="K405" s="40" t="str">
        <x:v>V1</x:v>
      </x:c>
      <x:c r="L405" s="40" t="str">
        <x:v>Integration test</x:v>
      </x:c>
      <x:c r="M405" s="40"/>
      <x:c r="N405" s="40"/>
      <x:c r="O405" s="40" t="str">
        <x:v>VS-02, VS-03, VS-04, VS-08</x:v>
      </x:c>
      <x:c r="P405" s="40" t="str">
        <x:v>Not Started</x:v>
      </x:c>
      <x:c r="Q405" s="40"/>
    </x:row>
    <x:row r="406">
      <x:c r="A406" s="40" t="str">
        <x:v>VS-16</x:v>
      </x:c>
      <x:c r="B406" s="40" t="n">
        <x:v>16</x:v>
      </x:c>
      <x:c r="C406" s="40" t="str">
        <x:v>Wave 4 — Device Services and Reliability</x:v>
      </x:c>
      <x:c r="D406" s="40" t="str">
        <x:v>U. Notifications and Background Work</x:v>
      </x:c>
      <x:c r="E406" s="40" t="str">
        <x:v>FR-U-006</x:v>
      </x:c>
      <x:c r="F406" s="40" t="str">
        <x:v>process synchronization outbox work without blocking foreground local workflows.</x:v>
      </x:c>
      <x:c r="G406" s="40" t="str">
        <x:v>BR-U-001, BR-U-005, BR-U-007</x:v>
      </x:c>
      <x:c r="H406" s="40" t="str">
        <x:v>ADR-016 — Offline Outbox Synchronization and Conflict Resolution; ADR-022 — Notifications, Background Work, and Calendar Integration; ADR-006 — Local-First Operation with Background Synchronization; ADR-023 — Testing, Observability, Diagnostics, and Quality Strategy</x:v>
      </x:c>
      <x:c r="I406" s="40" t="str">
        <x:v>AC-U-006</x:v>
      </x:c>
      <x:c r="J406" s="40" t="str">
        <x:v>Yes</x:v>
      </x:c>
      <x:c r="K406" s="40" t="str">
        <x:v>V1</x:v>
      </x:c>
      <x:c r="L406" s="40" t="str">
        <x:v>Database test / Integration test</x:v>
      </x:c>
      <x:c r="M406" s="40"/>
      <x:c r="N406" s="40"/>
      <x:c r="O406" s="40" t="str">
        <x:v>VS-02, VS-03, VS-04, VS-08</x:v>
      </x:c>
      <x:c r="P406" s="40" t="str">
        <x:v>Not Started</x:v>
      </x:c>
      <x:c r="Q406" s="40"/>
    </x:row>
    <x:row r="407">
      <x:c r="A407" s="40" t="str">
        <x:v>VS-16</x:v>
      </x:c>
      <x:c r="B407" s="40" t="n">
        <x:v>16</x:v>
      </x:c>
      <x:c r="C407" s="40" t="str">
        <x:v>Wave 4 — Device Services and Reliability</x:v>
      </x:c>
      <x:c r="D407" s="40" t="str">
        <x:v>U. Notifications and Background Work</x:v>
      </x:c>
      <x:c r="E407" s="40" t="str">
        <x:v>FR-U-007</x:v>
      </x:c>
      <x:c r="F407" s="40" t="str">
        <x:v>Background synchronization failure shall preserve pending local operations and expose factual status.</x:v>
      </x:c>
      <x:c r="G407" s="40" t="str">
        <x:v>BR-U-002, BR-U-007, BR-U-008</x:v>
      </x:c>
      <x:c r="H407" s="40" t="str">
        <x:v>ADR-005 — Confirmed-Source Progress and Read-Only Actuals; ADR-016 — Offline Outbox Synchronization and Conflict Resolution; ADR-022 — Notifications, Background Work, and Calendar Integration; ADR-006 — Local-First Operation with Background Synchronization; ADR-023 — Testing, Observability, Diagnostics, and Quality Strategy</x:v>
      </x:c>
      <x:c r="I407" s="40" t="str">
        <x:v>AC-U-007</x:v>
      </x:c>
      <x:c r="J407" s="40" t="str">
        <x:v>Yes</x:v>
      </x:c>
      <x:c r="K407" s="40" t="str">
        <x:v>V1</x:v>
      </x:c>
      <x:c r="L407" s="40" t="str">
        <x:v>Domain test / Integration test</x:v>
      </x:c>
      <x:c r="M407" s="40"/>
      <x:c r="N407" s="40"/>
      <x:c r="O407" s="40" t="str">
        <x:v>VS-02, VS-03, VS-04, VS-08</x:v>
      </x:c>
      <x:c r="P407" s="40" t="str">
        <x:v>Not Started</x:v>
      </x:c>
      <x:c r="Q407" s="40"/>
    </x:row>
    <x:row r="408">
      <x:c r="A408" s="40" t="str">
        <x:v>VS-16</x:v>
      </x:c>
      <x:c r="B408" s="40" t="n">
        <x:v>16</x:v>
      </x:c>
      <x:c r="C408" s="40" t="str">
        <x:v>Wave 4 — Device Services and Reliability</x:v>
      </x:c>
      <x:c r="D408" s="40" t="str">
        <x:v>U. Notifications and Background Work</x:v>
      </x:c>
      <x:c r="E408" s="40" t="str">
        <x:v>FR-U-008</x:v>
      </x:c>
      <x:c r="F408" s="40" t="str">
        <x:v>support periodic official-content update checks without blocking bundled or last-known-valid content.</x:v>
      </x:c>
      <x:c r="G408" s="40" t="str">
        <x:v>BR-U-008, BR-U-010</x:v>
      </x:c>
      <x:c r="H408" s="40" t="str">
        <x:v>ADR-022 — Notifications, Background Work, and Calendar Integration; ADR-019 — Philippine Content Packs and Official Source Governance; ADR-006 — Local-First Operation with Background Synchronization; ADR-023 — Testing, Observability, Diagnostics, and Quality Strategy</x:v>
      </x:c>
      <x:c r="I408" s="40" t="str">
        <x:v>AC-U-008</x:v>
      </x:c>
      <x:c r="J408" s="40" t="str">
        <x:v>Yes</x:v>
      </x:c>
      <x:c r="K408" s="40" t="str">
        <x:v>V1</x:v>
      </x:c>
      <x:c r="L408" s="40" t="str">
        <x:v>Manual review</x:v>
      </x:c>
      <x:c r="M408" s="40" t="str">
        <x:v>OPD-5-004</x:v>
      </x:c>
      <x:c r="N408" s="40" t="str">
        <x:v>OPD-5-004: Attempt an automatic official-content check once every 24 hours when eligible, with operating-system flex and delay allowed. Manual refresh remains available at any time, and failure preserves bundled or last-known-valid content.</x:v>
      </x:c>
      <x:c r="O408" s="40" t="str">
        <x:v>VS-02, VS-03, VS-04, VS-08</x:v>
      </x:c>
      <x:c r="P408" s="40" t="str">
        <x:v>Not Started</x:v>
      </x:c>
      <x:c r="Q408" s="40"/>
    </x:row>
    <x:row r="409">
      <x:c r="A409" s="40" t="str">
        <x:v>VS-16</x:v>
      </x:c>
      <x:c r="B409" s="40" t="n">
        <x:v>16</x:v>
      </x:c>
      <x:c r="C409" s="40" t="str">
        <x:v>Wave 4 — Device Services and Reliability</x:v>
      </x:c>
      <x:c r="D409" s="40" t="str">
        <x:v>U. Notifications and Background Work</x:v>
      </x:c>
      <x:c r="E409" s="40" t="str">
        <x:v>FR-U-009</x:v>
      </x:c>
      <x:c r="F409" s="40" t="str">
        <x:v>Background content checks shall not overwrite user-created state or verified historical content.</x:v>
      </x:c>
      <x:c r="G409" s="40" t="str">
        <x:v>BR-U-006, BR-U-008, BR-U-010</x:v>
      </x:c>
      <x:c r="H409" s="40" t="str">
        <x:v>ADR-022 — Notifications, Background Work, and Calendar Integration; ADR-023 — Testing, Observability, Diagnostics, and Quality Strategy</x:v>
      </x:c>
      <x:c r="I409" s="40" t="str">
        <x:v>AC-U-009</x:v>
      </x:c>
      <x:c r="J409" s="40" t="str">
        <x:v>Yes</x:v>
      </x:c>
      <x:c r="K409" s="40" t="str">
        <x:v>V1</x:v>
      </x:c>
      <x:c r="L409" s="40" t="str">
        <x:v>Integration test</x:v>
      </x:c>
      <x:c r="M409" s="40" t="str">
        <x:v>OPD-5-003</x:v>
      </x:c>
      <x:c r="N409" s="40" t="str">
        <x:v>OPD-5-003: Show category, state, and timestamps without exposing private payloads.</x:v>
      </x:c>
      <x:c r="O409" s="40" t="str">
        <x:v>VS-02, VS-03, VS-04, VS-08</x:v>
      </x:c>
      <x:c r="P409" s="40" t="str">
        <x:v>Not Started</x:v>
      </x:c>
      <x:c r="Q409" s="40"/>
    </x:row>
    <x:row r="410">
      <x:c r="A410" s="40" t="str">
        <x:v>VS-16</x:v>
      </x:c>
      <x:c r="B410" s="40" t="n">
        <x:v>16</x:v>
      </x:c>
      <x:c r="C410" s="40" t="str">
        <x:v>Wave 4 — Device Services and Reliability</x:v>
      </x:c>
      <x:c r="D410" s="40" t="str">
        <x:v>U. Notifications and Background Work</x:v>
      </x:c>
      <x:c r="E410" s="40" t="str">
        <x:v>FR-U-010</x:v>
      </x:c>
      <x:c r="F410" s="40" t="str">
        <x:v>not use background location permission or continuous background location work in V1.</x:v>
      </x:c>
      <x:c r="G410" s="40" t="str">
        <x:v>BR-U-001, BR-U-006, BR-U-007</x:v>
      </x:c>
      <x:c r="H410" s="40" t="str">
        <x:v>ADR-021 — Security, Privacy, Permissions, and Sensitive Data; ADR-022 — Notifications, Background Work, and Calendar Integration; ADR-023 — Testing, Observability, Diagnostics, and Quality Strategy</x:v>
      </x:c>
      <x:c r="I410" s="40" t="str">
        <x:v>AC-U-010</x:v>
      </x:c>
      <x:c r="J410" s="40" t="str">
        <x:v>Yes</x:v>
      </x:c>
      <x:c r="K410" s="40" t="str">
        <x:v>V1</x:v>
      </x:c>
      <x:c r="L410" s="40" t="str">
        <x:v>Widget test / Integration test</x:v>
      </x:c>
      <x:c r="M410" s="40"/>
      <x:c r="N410" s="40"/>
      <x:c r="O410" s="40" t="str">
        <x:v>VS-02, VS-03, VS-04, VS-08</x:v>
      </x:c>
      <x:c r="P410" s="40" t="str">
        <x:v>Not Started</x:v>
      </x:c>
      <x:c r="Q410" s="40"/>
    </x:row>
    <x:row r="411">
      <x:c r="A411" s="40" t="str">
        <x:v>VS-16</x:v>
      </x:c>
      <x:c r="B411" s="40" t="n">
        <x:v>16</x:v>
      </x:c>
      <x:c r="C411" s="40" t="str">
        <x:v>Wave 4 — Device Services and Reliability</x:v>
      </x:c>
      <x:c r="D411" s="40" t="str">
        <x:v>U. Notifications and Background Work</x:v>
      </x:c>
      <x:c r="E411" s="40" t="str">
        <x:v>FR-U-011</x:v>
      </x:c>
      <x:c r="F411" s="40" t="str">
        <x:v>Long-running user-initiated work shall use an appropriate visible progress experience when Android requires it.</x:v>
      </x:c>
      <x:c r="G411" s="40" t="str">
        <x:v>BR-U-005, BR-U-007, BR-U-008</x:v>
      </x:c>
      <x:c r="H411" s="40" t="str">
        <x:v>ADR-022 — Notifications, Background Work, and Calendar Integration; ADR-023 — Testing, Observability, Diagnostics, and Quality Strategy</x:v>
      </x:c>
      <x:c r="I411" s="40" t="str">
        <x:v>AC-U-011</x:v>
      </x:c>
      <x:c r="J411" s="40" t="str">
        <x:v>No</x:v>
      </x:c>
      <x:c r="K411" s="40" t="str">
        <x:v>V1</x:v>
      </x:c>
      <x:c r="L411" s="40" t="str">
        <x:v>Domain test</x:v>
      </x:c>
      <x:c r="M411" s="40" t="str">
        <x:v>OPD-5-002</x:v>
      </x:c>
      <x:c r="N411" s="40" t="str">
        <x:v>OPD-5-002: Use only for user-initiated long-running work that Android cannot safely complete otherwise.</x:v>
      </x:c>
      <x:c r="O411" s="40" t="str">
        <x:v>VS-02, VS-03, VS-04, VS-08</x:v>
      </x:c>
      <x:c r="P411" s="40" t="str">
        <x:v>Not Started</x:v>
      </x:c>
      <x:c r="Q411" s="40"/>
    </x:row>
    <x:row r="412">
      <x:c r="A412" s="40" t="str">
        <x:v>VS-16</x:v>
      </x:c>
      <x:c r="B412" s="40" t="n">
        <x:v>16</x:v>
      </x:c>
      <x:c r="C412" s="40" t="str">
        <x:v>Wave 4 — Device Services and Reliability</x:v>
      </x:c>
      <x:c r="D412" s="40" t="str">
        <x:v>U. Notifications and Background Work</x:v>
      </x:c>
      <x:c r="E412" s="40" t="str">
        <x:v>FR-U-012</x:v>
      </x:c>
      <x:c r="F412" s="40" t="str">
        <x:v>Background jobs shall not contain private record titles, notes, reflections, document references, or precise locations in logs or analytics.</x:v>
      </x:c>
      <x:c r="G412" s="40" t="str">
        <x:v>BR-U-009, BR-U-010, BR-U-011</x:v>
      </x:c>
      <x:c r="H412" s="40" t="str">
        <x:v>ADR-021 — Security, Privacy, Permissions, and Sensitive Data; ADR-022 — Notifications, Background Work, and Calendar Integration; ADR-023 — Testing, Observability, Diagnostics, and Quality Strategy</x:v>
      </x:c>
      <x:c r="I412" s="40" t="str">
        <x:v>AC-U-012</x:v>
      </x:c>
      <x:c r="J412" s="40" t="str">
        <x:v>Yes</x:v>
      </x:c>
      <x:c r="K412" s="40" t="str">
        <x:v>V1</x:v>
      </x:c>
      <x:c r="L412" s="40" t="str">
        <x:v>Integration test</x:v>
      </x:c>
      <x:c r="M412" s="40" t="str">
        <x:v>OPD-5-003</x:v>
      </x:c>
      <x:c r="N412" s="40" t="str">
        <x:v>OPD-5-003: Show category, state, and timestamps without exposing private payloads.</x:v>
      </x:c>
      <x:c r="O412" s="40" t="str">
        <x:v>VS-02, VS-03, VS-04, VS-08</x:v>
      </x:c>
      <x:c r="P412" s="40" t="str">
        <x:v>Not Started</x:v>
      </x:c>
      <x:c r="Q412" s="40"/>
    </x:row>
    <x:row r="413">
      <x:c r="A413" s="40" t="str">
        <x:v>VS-16</x:v>
      </x:c>
      <x:c r="B413" s="40" t="n">
        <x:v>16</x:v>
      </x:c>
      <x:c r="C413" s="40" t="str">
        <x:v>Wave 4 — Device Services and Reliability</x:v>
      </x:c>
      <x:c r="D413" s="40" t="str">
        <x:v>U. Notifications and Background Work</x:v>
      </x:c>
      <x:c r="E413" s="40" t="str">
        <x:v>FR-U-013</x:v>
      </x:c>
      <x:c r="F413" s="40" t="str">
        <x:v>provide privacy-safe diagnostic status for failed, delayed, cancelled, and retried background jobs.</x:v>
      </x:c>
      <x:c r="G413" s="40" t="str">
        <x:v>BR-U-006, BR-U-009, BR-U-011</x:v>
      </x:c>
      <x:c r="H413" s="40" t="str">
        <x:v>ADR-021 — Security, Privacy, Permissions, and Sensitive Data; ADR-022 — Notifications, Background Work, and Calendar Integration; ADR-023 — Testing, Observability, Diagnostics, and Quality Strategy</x:v>
      </x:c>
      <x:c r="I413" s="40" t="str">
        <x:v>AC-U-013</x:v>
      </x:c>
      <x:c r="J413" s="40" t="str">
        <x:v>Yes</x:v>
      </x:c>
      <x:c r="K413" s="40" t="str">
        <x:v>V1</x:v>
      </x:c>
      <x:c r="L413" s="40" t="str">
        <x:v>Domain test / Integration test</x:v>
      </x:c>
      <x:c r="M413" s="40" t="str">
        <x:v>OPD-5-003</x:v>
      </x:c>
      <x:c r="N413" s="40" t="str">
        <x:v>OPD-5-003: Show category, state, and timestamps without exposing private payloads.</x:v>
      </x:c>
      <x:c r="O413" s="40" t="str">
        <x:v>VS-02, VS-03, VS-04, VS-08</x:v>
      </x:c>
      <x:c r="P413" s="40" t="str">
        <x:v>Not Started</x:v>
      </x:c>
      <x:c r="Q413" s="40"/>
    </x:row>
    <x:row r="414">
      <x:c r="A414" s="40" t="str">
        <x:v>VS-16</x:v>
      </x:c>
      <x:c r="B414" s="40" t="n">
        <x:v>16</x:v>
      </x:c>
      <x:c r="C414" s="40" t="str">
        <x:v>Wave 4 — Device Services and Reliability</x:v>
      </x:c>
      <x:c r="D414" s="40" t="str">
        <x:v>U. Notifications and Background Work</x:v>
      </x:c>
      <x:c r="E414" s="40" t="str">
        <x:v>FR-U-014</x:v>
      </x:c>
      <x:c r="F414" s="40" t="str">
        <x:v>Duplicate scheduled work for the same stable job identity shall be coalesced or safely deduplicated.</x:v>
      </x:c>
      <x:c r="G414" s="40" t="str">
        <x:v>BR-U-001, BR-U-003, BR-U-007</x:v>
      </x:c>
      <x:c r="H414" s="40" t="str">
        <x:v>ADR-022 — Notifications, Background Work, and Calendar Integration; ADR-023 — Testing, Observability, Diagnostics, and Quality Strategy</x:v>
      </x:c>
      <x:c r="I414" s="40" t="str">
        <x:v>AC-U-014</x:v>
      </x:c>
      <x:c r="J414" s="40" t="str">
        <x:v>No</x:v>
      </x:c>
      <x:c r="K414" s="40" t="str">
        <x:v>V1</x:v>
      </x:c>
      <x:c r="L414" s="40" t="str">
        <x:v>Domain test</x:v>
      </x:c>
      <x:c r="M414" s="40"/>
      <x:c r="N414" s="40"/>
      <x:c r="O414" s="40" t="str">
        <x:v>VS-02, VS-03, VS-04, VS-08</x:v>
      </x:c>
      <x:c r="P414" s="40" t="str">
        <x:v>Not Started</x:v>
      </x:c>
      <x:c r="Q414" s="40"/>
    </x:row>
    <x:row r="415">
      <x:c r="A415" s="40" t="str">
        <x:v>VS-16</x:v>
      </x:c>
      <x:c r="B415" s="40" t="n">
        <x:v>16</x:v>
      </x:c>
      <x:c r="C415" s="40" t="str">
        <x:v>Wave 4 — Device Services and Reliability</x:v>
      </x:c>
      <x:c r="D415" s="40" t="str">
        <x:v>U. Notifications and Background Work</x:v>
      </x:c>
      <x:c r="E415" s="40" t="str">
        <x:v>FR-U-015</x:v>
      </x:c>
      <x:c r="F415" s="40" t="str">
        <x:v>Expired or obsolete background jobs shall be cancelled when their owning record is cancelled, rescheduled, deleted, or archived.</x:v>
      </x:c>
      <x:c r="G415" s="40" t="str">
        <x:v>BR-U-006, BR-U-009, BR-U-011</x:v>
      </x:c>
      <x:c r="H415" s="40" t="str">
        <x:v>ADR-011 — Event and Task Outcome Reporting; ADR-022 — Notifications, Background Work, and Calendar Integration; ADR-023 — Testing, Observability, Diagnostics, and Quality Strategy</x:v>
      </x:c>
      <x:c r="I415" s="40" t="str">
        <x:v>AC-U-015</x:v>
      </x:c>
      <x:c r="J415" s="40" t="str">
        <x:v>No</x:v>
      </x:c>
      <x:c r="K415" s="40" t="str">
        <x:v>V1</x:v>
      </x:c>
      <x:c r="L415" s="40" t="str">
        <x:v>Integration test</x:v>
      </x:c>
      <x:c r="M415" s="40"/>
      <x:c r="N415" s="40"/>
      <x:c r="O415" s="40" t="str">
        <x:v>VS-02, VS-03, VS-04, VS-08</x:v>
      </x:c>
      <x:c r="P415" s="40" t="str">
        <x:v>Not Started</x:v>
      </x:c>
      <x:c r="Q415" s="40"/>
    </x:row>
    <x:row r="416">
      <x:c r="A416" s="40" t="str">
        <x:v>VS-16</x:v>
      </x:c>
      <x:c r="B416" s="40" t="n">
        <x:v>16</x:v>
      </x:c>
      <x:c r="C416" s="40" t="str">
        <x:v>Wave 4 — Device Services and Reliability</x:v>
      </x:c>
      <x:c r="D416" s="40" t="str">
        <x:v>U. Notifications and Background Work</x:v>
      </x:c>
      <x:c r="E416" s="40" t="str">
        <x:v>FR-U-016</x:v>
      </x:c>
      <x:c r="F416" s="40" t="str">
        <x:v>Background work shall preserve Local Profile ownership and shall not operate across user profiles.</x:v>
      </x:c>
      <x:c r="G416" s="40" t="str">
        <x:v>BR-U-001, BR-U-007, BR-U-008</x:v>
      </x:c>
      <x:c r="H416" s="40" t="str">
        <x:v>ADR-022 — Notifications, Background Work, and Calendar Integration; ADR-023 — Testing, Observability, Diagnostics, and Quality Strategy</x:v>
      </x:c>
      <x:c r="I416" s="40" t="str">
        <x:v>AC-U-016</x:v>
      </x:c>
      <x:c r="J416" s="40" t="str">
        <x:v>Yes</x:v>
      </x:c>
      <x:c r="K416" s="40" t="str">
        <x:v>V1</x:v>
      </x:c>
      <x:c r="L416" s="40" t="str">
        <x:v>Integration test</x:v>
      </x:c>
      <x:c r="M416" s="40"/>
      <x:c r="N416" s="40"/>
      <x:c r="O416" s="40" t="str">
        <x:v>VS-02, VS-03, VS-04, VS-08</x:v>
      </x:c>
      <x:c r="P416" s="40" t="str">
        <x:v>Not Started</x:v>
      </x:c>
      <x:c r="Q416" s="40"/>
    </x:row>
    <x:row r="417">
      <x:c r="A417" s="40" t="str">
        <x:v>VS-16</x:v>
      </x:c>
      <x:c r="B417" s="40" t="n">
        <x:v>16</x:v>
      </x:c>
      <x:c r="C417" s="40" t="str">
        <x:v>Wave 4 — Device Services and Reliability</x:v>
      </x:c>
      <x:c r="D417" s="40" t="str">
        <x:v>U. Notifications and Background Work</x:v>
      </x:c>
      <x:c r="E417" s="40" t="str">
        <x:v>FR-U-017</x:v>
      </x:c>
      <x:c r="F417" s="40" t="str">
        <x:v>Core V1 background functions shall remain usable for guest users where no account is required.</x:v>
      </x:c>
      <x:c r="G417" s="40" t="str">
        <x:v>BR-U-001, BR-U-006, BR-U-011</x:v>
      </x:c>
      <x:c r="H417" s="40" t="str">
        <x:v>ADR-022 — Notifications, Background Work, and Calendar Integration; ADR-023 — Testing, Observability, Diagnostics, and Quality Strategy</x:v>
      </x:c>
      <x:c r="I417" s="40" t="str">
        <x:v>AC-U-017</x:v>
      </x:c>
      <x:c r="J417" s="40" t="str">
        <x:v>Yes</x:v>
      </x:c>
      <x:c r="K417" s="40" t="str">
        <x:v>V1</x:v>
      </x:c>
      <x:c r="L417" s="40" t="str">
        <x:v>Integration test</x:v>
      </x:c>
      <x:c r="M417" s="40"/>
      <x:c r="N417" s="40"/>
      <x:c r="O417" s="40" t="str">
        <x:v>VS-02, VS-03, VS-04, VS-08</x:v>
      </x:c>
      <x:c r="P417" s="40" t="str">
        <x:v>Not Started</x:v>
      </x:c>
      <x:c r="Q417" s="40"/>
    </x:row>
    <x:row r="418">
      <x:c r="A418" s="40" t="str">
        <x:v>VS-16</x:v>
      </x:c>
      <x:c r="B418" s="40" t="n">
        <x:v>16</x:v>
      </x:c>
      <x:c r="C418" s="40" t="str">
        <x:v>Wave 4 — Device Services and Reliability</x:v>
      </x:c>
      <x:c r="D418" s="40" t="str">
        <x:v>U. Notifications and Background Work</x:v>
      </x:c>
      <x:c r="E418" s="40" t="str">
        <x:v>FR-U-018</x:v>
      </x:c>
      <x:c r="F418" s="40" t="str">
        <x:v>avoid exact-alarm or foreground-service use unless an approved user-facing function genuinely requires it.</x:v>
      </x:c>
      <x:c r="G418" s="40" t="str">
        <x:v>BR-U-001, BR-U-005, BR-U-008</x:v>
      </x:c>
      <x:c r="H418" s="40" t="str">
        <x:v>ADR-022 — Notifications, Background Work, and Calendar Integration; ADR-023 — Testing, Observability, Diagnostics, and Quality Strategy</x:v>
      </x:c>
      <x:c r="I418" s="40" t="str">
        <x:v>AC-U-018</x:v>
      </x:c>
      <x:c r="J418" s="40" t="str">
        <x:v>No</x:v>
      </x:c>
      <x:c r="K418" s="40" t="str">
        <x:v>V1</x:v>
      </x:c>
      <x:c r="L418" s="40" t="str">
        <x:v>Domain test</x:v>
      </x:c>
      <x:c r="M418" s="40" t="str">
        <x:v>OPD-5-001, OPD-5-002</x:v>
      </x:c>
      <x:c r="N418" s="40" t="str">
        <x:v>OPD-5-001: Use exact alarms only for user-selected, clock-time-critical reminders when Android policy permits and the required special access is granted. Otherwise use inexact scheduling with factual delay messaging. Never use exact alarms for synchronization, content checks, backups, or generic maintenance. | OPD-5-002: Use only for user-initiated long-running work that Android cannot safely complete otherwise.</x:v>
      </x:c>
      <x:c r="O418" s="40" t="str">
        <x:v>VS-02, VS-03, VS-04, VS-08</x:v>
      </x:c>
      <x:c r="P418" s="40" t="str">
        <x:v>Not Started</x:v>
      </x:c>
      <x:c r="Q418" s="40"/>
    </x:row>
    <x:row r="419">
      <x:c r="A419" s="40" t="str">
        <x:v>VS-16</x:v>
      </x:c>
      <x:c r="B419" s="40" t="n">
        <x:v>16</x:v>
      </x:c>
      <x:c r="C419" s="40" t="str">
        <x:v>Wave 4 — Device Services and Reliability</x:v>
      </x:c>
      <x:c r="D419" s="40" t="str">
        <x:v>U. Notifications and Background Work</x:v>
      </x:c>
      <x:c r="E419" s="40" t="str">
        <x:v>FR-U-019</x:v>
      </x:c>
      <x:c r="F419" s="40" t="str">
        <x:v>Background execution limitations imposed by Android shall be communicated without implying that domain work was completed.</x:v>
      </x:c>
      <x:c r="G419" s="40" t="str">
        <x:v>BR-U-002, BR-U-004, BR-U-012</x:v>
      </x:c>
      <x:c r="H419" s="40" t="str">
        <x:v>ADR-022 — Notifications, Background Work, and Calendar Integration; ADR-023 — Testing, Observability, Diagnostics, and Quality Strategy</x:v>
      </x:c>
      <x:c r="I419" s="40" t="str">
        <x:v>AC-U-019</x:v>
      </x:c>
      <x:c r="J419" s="40" t="str">
        <x:v>Yes</x:v>
      </x:c>
      <x:c r="K419" s="40" t="str">
        <x:v>V1</x:v>
      </x:c>
      <x:c r="L419" s="40" t="str">
        <x:v>Integration test</x:v>
      </x:c>
      <x:c r="M419" s="40" t="str">
        <x:v>OPD-5-003</x:v>
      </x:c>
      <x:c r="N419" s="40" t="str">
        <x:v>OPD-5-003: Show category, state, and timestamps without exposing private payloads.</x:v>
      </x:c>
      <x:c r="O419" s="40" t="str">
        <x:v>VS-02, VS-03, VS-04, VS-08</x:v>
      </x:c>
      <x:c r="P419" s="40" t="str">
        <x:v>Not Started</x:v>
      </x:c>
      <x:c r="Q419" s="40"/>
    </x:row>
    <x:row r="420">
      <x:c r="A420" s="40" t="str">
        <x:v>VS-16</x:v>
      </x:c>
      <x:c r="B420" s="40" t="n">
        <x:v>16</x:v>
      </x:c>
      <x:c r="C420" s="40" t="str">
        <x:v>Wave 4 — Device Services and Reliability</x:v>
      </x:c>
      <x:c r="D420" s="40" t="str">
        <x:v>U. Notifications and Background Work</x:v>
      </x:c>
      <x:c r="E420" s="40" t="str">
        <x:v>FR-U-020</x:v>
      </x:c>
      <x:c r="F420" s="40" t="str">
        <x:v>expose last-run and next-eligible-run information for support-relevant background categories where useful.</x:v>
      </x:c>
      <x:c r="G420" s="40" t="str">
        <x:v>BR-U-002, BR-U-003, BR-U-006</x:v>
      </x:c>
      <x:c r="H420" s="40" t="str">
        <x:v>ADR-022 — Notifications, Background Work, and Calendar Integration; ADR-023 — Testing, Observability, Diagnostics, and Quality Strategy</x:v>
      </x:c>
      <x:c r="I420" s="40" t="str">
        <x:v>AC-U-020</x:v>
      </x:c>
      <x:c r="J420" s="40" t="str">
        <x:v>No</x:v>
      </x:c>
      <x:c r="K420" s="40" t="str">
        <x:v>V1</x:v>
      </x:c>
      <x:c r="L420" s="40" t="str">
        <x:v>Integration test</x:v>
      </x:c>
      <x:c r="M420" s="40"/>
      <x:c r="N420" s="40"/>
      <x:c r="O420" s="40" t="str">
        <x:v>VS-02, VS-03, VS-04, VS-08</x:v>
      </x:c>
      <x:c r="P420" s="40" t="str">
        <x:v>Not Started</x:v>
      </x:c>
      <x:c r="Q420" s="40"/>
    </x:row>
    <x:row r="421">
      <x:c r="A421" s="40" t="str">
        <x:v>VS-20</x:v>
      </x:c>
      <x:c r="B421" s="40" t="n">
        <x:v>20</x:v>
      </x:c>
      <x:c r="C421" s="40" t="str">
        <x:v>Wave 4 — Device Services and Reliability</x:v>
      </x:c>
      <x:c r="D421" s="40" t="str">
        <x:v>V. Device-Calendar Manual Import and Export</x:v>
      </x:c>
      <x:c r="E421" s="40" t="str">
        <x:v>FR-V-001</x:v>
      </x:c>
      <x:c r="F421" s="40" t="str">
        <x:v>be able to manually import selected device-calendar events after an explicit calendar-permission request.</x:v>
      </x:c>
      <x:c r="G421" s="40" t="str">
        <x:v>BR-V-002, BR-V-003, BR-V-004</x:v>
      </x:c>
      <x:c r="H421" s="40" t="str">
        <x:v>ADR-021 — Security, Privacy, Permissions, and Sensitive Data; ADR-022 — Notifications, Background Work, and Calendar Integration</x:v>
      </x:c>
      <x:c r="I421" s="40" t="str">
        <x:v>AC-V-001</x:v>
      </x:c>
      <x:c r="J421" s="40" t="str">
        <x:v>Yes</x:v>
      </x:c>
      <x:c r="K421" s="40" t="str">
        <x:v>V1</x:v>
      </x:c>
      <x:c r="L421" s="40" t="str">
        <x:v>Widget test / Integration test</x:v>
      </x:c>
      <x:c r="M421" s="40" t="str">
        <x:v>OPD-5-005</x:v>
      </x:c>
      <x:c r="N421" s="40" t="str">
        <x:v>OPD-5-005: Default to explicit calendar and date-range selection.</x:v>
      </x:c>
      <x:c r="O421" s="40" t="str">
        <x:v>VS-02, VS-04, VS-06, VS-16, VS-19</x:v>
      </x:c>
      <x:c r="P421" s="40" t="str">
        <x:v>Not Started</x:v>
      </x:c>
      <x:c r="Q421" s="40"/>
    </x:row>
    <x:row r="422">
      <x:c r="A422" s="40" t="str">
        <x:v>VS-20</x:v>
      </x:c>
      <x:c r="B422" s="40" t="n">
        <x:v>20</x:v>
      </x:c>
      <x:c r="C422" s="40" t="str">
        <x:v>Wave 4 — Device Services and Reliability</x:v>
      </x:c>
      <x:c r="D422" s="40" t="str">
        <x:v>V. Device-Calendar Manual Import and Export</x:v>
      </x:c>
      <x:c r="E422" s="40" t="str">
        <x:v>FR-V-002</x:v>
      </x:c>
      <x:c r="F422" s="40" t="str">
        <x:v>be able to manually export selected Next Transfer Calendar Events to a chosen device calendar.</x:v>
      </x:c>
      <x:c r="G422" s="40" t="str">
        <x:v>BR-V-002, BR-V-005, BR-V-012</x:v>
      </x:c>
      <x:c r="H422" s="40" t="str">
        <x:v>ADR-022 — Notifications, Background Work, and Calendar Integration</x:v>
      </x:c>
      <x:c r="I422" s="40" t="str">
        <x:v>AC-V-002</x:v>
      </x:c>
      <x:c r="J422" s="40" t="str">
        <x:v>Yes</x:v>
      </x:c>
      <x:c r="K422" s="40" t="str">
        <x:v>V1</x:v>
      </x:c>
      <x:c r="L422" s="40" t="str">
        <x:v>Widget test / Integration test</x:v>
      </x:c>
      <x:c r="M422" s="40" t="str">
        <x:v>OPD-5-005</x:v>
      </x:c>
      <x:c r="N422" s="40" t="str">
        <x:v>OPD-5-005: Default to explicit calendar and date-range selection.</x:v>
      </x:c>
      <x:c r="O422" s="40" t="str">
        <x:v>VS-02, VS-04, VS-06, VS-16, VS-19</x:v>
      </x:c>
      <x:c r="P422" s="40" t="str">
        <x:v>Not Started</x:v>
      </x:c>
      <x:c r="Q422" s="40"/>
    </x:row>
    <x:row r="423">
      <x:c r="A423" s="40" t="str">
        <x:v>VS-20</x:v>
      </x:c>
      <x:c r="B423" s="40" t="n">
        <x:v>20</x:v>
      </x:c>
      <x:c r="C423" s="40" t="str">
        <x:v>Wave 4 — Device Services and Reliability</x:v>
      </x:c>
      <x:c r="D423" s="40" t="str">
        <x:v>V. Device-Calendar Manual Import and Export</x:v>
      </x:c>
      <x:c r="E423" s="40" t="str">
        <x:v>FR-V-003</x:v>
      </x:c>
      <x:c r="F423" s="40" t="str">
        <x:v>The internal Next Transfer remain authoritative after import or export.</x:v>
      </x:c>
      <x:c r="G423" s="40" t="str">
        <x:v>BR-V-001, BR-V-005, BR-V-008</x:v>
      </x:c>
      <x:c r="H423" s="40" t="str">
        <x:v>ADR-022 — Notifications, Background Work, and Calendar Integration</x:v>
      </x:c>
      <x:c r="I423" s="40" t="str">
        <x:v>AC-V-003</x:v>
      </x:c>
      <x:c r="J423" s="40" t="str">
        <x:v>Yes</x:v>
      </x:c>
      <x:c r="K423" s="40" t="str">
        <x:v>V1</x:v>
      </x:c>
      <x:c r="L423" s="40" t="str">
        <x:v>Integration test</x:v>
      </x:c>
      <x:c r="M423" s="40"/>
      <x:c r="N423" s="40"/>
      <x:c r="O423" s="40" t="str">
        <x:v>VS-02, VS-04, VS-06, VS-16, VS-19</x:v>
      </x:c>
      <x:c r="P423" s="40" t="str">
        <x:v>Not Started</x:v>
      </x:c>
      <x:c r="Q423" s="40"/>
    </x:row>
    <x:row r="424">
      <x:c r="A424" s="40" t="str">
        <x:v>VS-20</x:v>
      </x:c>
      <x:c r="B424" s="40" t="n">
        <x:v>20</x:v>
      </x:c>
      <x:c r="C424" s="40" t="str">
        <x:v>Wave 4 — Device Services and Reliability</x:v>
      </x:c>
      <x:c r="D424" s="40" t="str">
        <x:v>V. Device-Calendar Manual Import and Export</x:v>
      </x:c>
      <x:c r="E424" s="40" t="str">
        <x:v>FR-V-004</x:v>
      </x:c>
      <x:c r="F424" s="40" t="str">
        <x:v>Device-calendar permission shall be requested only after the user selects an external-calendar action.</x:v>
      </x:c>
      <x:c r="G424" s="40" t="str">
        <x:v>BR-V-002, BR-V-003, BR-V-011</x:v>
      </x:c>
      <x:c r="H424" s="40" t="str">
        <x:v>ADR-021 — Security, Privacy, Permissions, and Sensitive Data; ADR-022 — Notifications, Background Work, and Calendar Integration</x:v>
      </x:c>
      <x:c r="I424" s="40" t="str">
        <x:v>AC-V-004</x:v>
      </x:c>
      <x:c r="J424" s="40" t="str">
        <x:v>Yes</x:v>
      </x:c>
      <x:c r="K424" s="40" t="str">
        <x:v>V1</x:v>
      </x:c>
      <x:c r="L424" s="40" t="str">
        <x:v>Widget test / Integration test</x:v>
      </x:c>
      <x:c r="M424" s="40" t="str">
        <x:v>OPD-5-005</x:v>
      </x:c>
      <x:c r="N424" s="40" t="str">
        <x:v>OPD-5-005: Default to explicit calendar and date-range selection.</x:v>
      </x:c>
      <x:c r="O424" s="40" t="str">
        <x:v>VS-02, VS-04, VS-06, VS-16, VS-19</x:v>
      </x:c>
      <x:c r="P424" s="40" t="str">
        <x:v>Not Started</x:v>
      </x:c>
      <x:c r="Q424" s="40"/>
    </x:row>
    <x:row r="425">
      <x:c r="A425" s="40" t="str">
        <x:v>VS-20</x:v>
      </x:c>
      <x:c r="B425" s="40" t="n">
        <x:v>20</x:v>
      </x:c>
      <x:c r="C425" s="40" t="str">
        <x:v>Wave 4 — Device Services and Reliability</x:v>
      </x:c>
      <x:c r="D425" s="40" t="str">
        <x:v>V. Device-Calendar Manual Import and Export</x:v>
      </x:c>
      <x:c r="E425" s="40" t="str">
        <x:v>FR-V-005</x:v>
      </x:c>
      <x:c r="F425" s="40" t="str">
        <x:v>External events shall be previewed before import.</x:v>
      </x:c>
      <x:c r="G425" s="40" t="str">
        <x:v>BR-V-004, BR-V-007, BR-V-010</x:v>
      </x:c>
      <x:c r="H425" s="40" t="str">
        <x:v>ADR-022 — Notifications, Background Work, and Calendar Integration</x:v>
      </x:c>
      <x:c r="I425" s="40" t="str">
        <x:v>AC-V-005</x:v>
      </x:c>
      <x:c r="J425" s="40" t="str">
        <x:v>Yes</x:v>
      </x:c>
      <x:c r="K425" s="40" t="str">
        <x:v>V1</x:v>
      </x:c>
      <x:c r="L425" s="40" t="str">
        <x:v>Widget test / Integration test</x:v>
      </x:c>
      <x:c r="M425" s="40"/>
      <x:c r="N425" s="40"/>
      <x:c r="O425" s="40" t="str">
        <x:v>VS-02, VS-04, VS-06, VS-16, VS-19</x:v>
      </x:c>
      <x:c r="P425" s="40" t="str">
        <x:v>Not Started</x:v>
      </x:c>
      <x:c r="Q425" s="40"/>
    </x:row>
    <x:row r="426">
      <x:c r="A426" s="40" t="str">
        <x:v>VS-20</x:v>
      </x:c>
      <x:c r="B426" s="40" t="n">
        <x:v>20</x:v>
      </x:c>
      <x:c r="C426" s="40" t="str">
        <x:v>Wave 4 — Device Services and Reliability</x:v>
      </x:c>
      <x:c r="D426" s="40" t="str">
        <x:v>V. Device-Calendar Manual Import and Export</x:v>
      </x:c>
      <x:c r="E426" s="40" t="str">
        <x:v>FR-V-006</x:v>
      </x:c>
      <x:c r="F426" s="40" t="str">
        <x:v>Imported external events shall receive new Next Transfer UUIDs as primary identities.</x:v>
      </x:c>
      <x:c r="G426" s="40" t="str">
        <x:v>BR-V-004, BR-V-005, BR-V-007</x:v>
      </x:c>
      <x:c r="H426" s="40" t="str">
        <x:v>ADR-009 — Domain Ownership and Relationship Model; ADR-022 — Notifications, Background Work, and Calendar Integration</x:v>
      </x:c>
      <x:c r="I426" s="40" t="str">
        <x:v>AC-V-006</x:v>
      </x:c>
      <x:c r="J426" s="40" t="str">
        <x:v>Yes</x:v>
      </x:c>
      <x:c r="K426" s="40" t="str">
        <x:v>V1</x:v>
      </x:c>
      <x:c r="L426" s="40" t="str">
        <x:v>Integration test</x:v>
      </x:c>
      <x:c r="M426" s="40"/>
      <x:c r="N426" s="40"/>
      <x:c r="O426" s="40" t="str">
        <x:v>VS-02, VS-04, VS-06, VS-16, VS-19</x:v>
      </x:c>
      <x:c r="P426" s="40" t="str">
        <x:v>Not Started</x:v>
      </x:c>
      <x:c r="Q426" s="40"/>
    </x:row>
    <x:row r="427">
      <x:c r="A427" s="40" t="str">
        <x:v>VS-20</x:v>
      </x:c>
      <x:c r="B427" s="40" t="n">
        <x:v>20</x:v>
      </x:c>
      <x:c r="C427" s="40" t="str">
        <x:v>Wave 4 — Device Services and Reliability</x:v>
      </x:c>
      <x:c r="D427" s="40" t="str">
        <x:v>V. Device-Calendar Manual Import and Export</x:v>
      </x:c>
      <x:c r="E427" s="40" t="str">
        <x:v>FR-V-007</x:v>
      </x:c>
      <x:c r="F427" s="40" t="str">
        <x:v>External event IDs and iCal UIDs shall be retained only as mapping and duplicate-detection metadata.</x:v>
      </x:c>
      <x:c r="G427" s="40" t="str">
        <x:v>BR-V-006, BR-V-009, BR-V-010</x:v>
      </x:c>
      <x:c r="H427" s="40" t="str">
        <x:v>ADR-022 — Notifications, Background Work, and Calendar Integration</x:v>
      </x:c>
      <x:c r="I427" s="40" t="str">
        <x:v>AC-V-007</x:v>
      </x:c>
      <x:c r="J427" s="40" t="str">
        <x:v>Yes</x:v>
      </x:c>
      <x:c r="K427" s="40" t="str">
        <x:v>V1</x:v>
      </x:c>
      <x:c r="L427" s="40" t="str">
        <x:v>Domain test / Integration test</x:v>
      </x:c>
      <x:c r="M427" s="40"/>
      <x:c r="N427" s="40"/>
      <x:c r="O427" s="40" t="str">
        <x:v>VS-02, VS-04, VS-06, VS-16, VS-19</x:v>
      </x:c>
      <x:c r="P427" s="40" t="str">
        <x:v>Not Started</x:v>
      </x:c>
      <x:c r="Q427" s="40"/>
    </x:row>
    <x:row r="428">
      <x:c r="A428" s="40" t="str">
        <x:v>VS-20</x:v>
      </x:c>
      <x:c r="B428" s="40" t="n">
        <x:v>20</x:v>
      </x:c>
      <x:c r="C428" s="40" t="str">
        <x:v>Wave 4 — Device Services and Reliability</x:v>
      </x:c>
      <x:c r="D428" s="40" t="str">
        <x:v>V. Device-Calendar Manual Import and Export</x:v>
      </x:c>
      <x:c r="E428" s="40" t="str">
        <x:v>FR-V-008</x:v>
      </x:c>
      <x:c r="F428" s="40" t="str">
        <x:v>External provider IDs shall never become Next Transfer primary keys.</x:v>
      </x:c>
      <x:c r="G428" s="40" t="str">
        <x:v>BR-V-005, BR-V-007, BR-V-010</x:v>
      </x:c>
      <x:c r="H428" s="40" t="str">
        <x:v>ADR-009 — Domain Ownership and Relationship Model; ADR-022 — Notifications, Background Work, and Calendar Integration</x:v>
      </x:c>
      <x:c r="I428" s="40" t="str">
        <x:v>AC-V-008</x:v>
      </x:c>
      <x:c r="J428" s="40" t="str">
        <x:v>Yes</x:v>
      </x:c>
      <x:c r="K428" s="40" t="str">
        <x:v>V1</x:v>
      </x:c>
      <x:c r="L428" s="40" t="str">
        <x:v>Integration test</x:v>
      </x:c>
      <x:c r="M428" s="40"/>
      <x:c r="N428" s="40"/>
      <x:c r="O428" s="40" t="str">
        <x:v>VS-02, VS-04, VS-06, VS-16, VS-19</x:v>
      </x:c>
      <x:c r="P428" s="40" t="str">
        <x:v>Not Started</x:v>
      </x:c>
      <x:c r="Q428" s="40"/>
    </x:row>
    <x:row r="429">
      <x:c r="A429" s="40" t="str">
        <x:v>VS-20</x:v>
      </x:c>
      <x:c r="B429" s="40" t="n">
        <x:v>20</x:v>
      </x:c>
      <x:c r="C429" s="40" t="str">
        <x:v>Wave 4 — Device Services and Reliability</x:v>
      </x:c>
      <x:c r="D429" s="40" t="str">
        <x:v>V. Device-Calendar Manual Import and Export</x:v>
      </x:c>
      <x:c r="E429" s="40" t="str">
        <x:v>FR-V-009</x:v>
      </x:c>
      <x:c r="F429" s="40" t="str">
        <x:v>A past imported external event shall remain without a happened outcome until valid Next Transfer reporting occurs.</x:v>
      </x:c>
      <x:c r="G429" s="40" t="str">
        <x:v>BR-V-005, BR-V-007, BR-V-010</x:v>
      </x:c>
      <x:c r="H429" s="40" t="str">
        <x:v>ADR-022 — Notifications, Background Work, and Calendar Integration</x:v>
      </x:c>
      <x:c r="I429" s="40" t="str">
        <x:v>AC-V-009</x:v>
      </x:c>
      <x:c r="J429" s="40" t="str">
        <x:v>Yes</x:v>
      </x:c>
      <x:c r="K429" s="40" t="str">
        <x:v>V1</x:v>
      </x:c>
      <x:c r="L429" s="40" t="str">
        <x:v>Domain test / Integration test</x:v>
      </x:c>
      <x:c r="M429" s="40"/>
      <x:c r="N429" s="40"/>
      <x:c r="O429" s="40" t="str">
        <x:v>VS-02, VS-04, VS-06, VS-16, VS-19</x:v>
      </x:c>
      <x:c r="P429" s="40" t="str">
        <x:v>Not Started</x:v>
      </x:c>
      <x:c r="Q429" s="40"/>
    </x:row>
    <x:row r="430">
      <x:c r="A430" s="40" t="str">
        <x:v>VS-20</x:v>
      </x:c>
      <x:c r="B430" s="40" t="n">
        <x:v>20</x:v>
      </x:c>
      <x:c r="C430" s="40" t="str">
        <x:v>Wave 4 — Device Services and Reliability</x:v>
      </x:c>
      <x:c r="D430" s="40" t="str">
        <x:v>V. Device-Calendar Manual Import and Export</x:v>
      </x:c>
      <x:c r="E430" s="40" t="str">
        <x:v>FR-V-010</x:v>
      </x:c>
      <x:c r="F430" s="40" t="str">
        <x:v>Manual import or export shall not create Actual or Activity Ledger contributions.</x:v>
      </x:c>
      <x:c r="G430" s="40" t="str">
        <x:v>BR-V-004, BR-V-008, BR-V-012</x:v>
      </x:c>
      <x:c r="H430" s="40" t="str">
        <x:v>ADR-005 — Confirmed-Source Progress and Read-Only Actuals; ADR-022 — Notifications, Background Work, and Calendar Integration</x:v>
      </x:c>
      <x:c r="I430" s="40" t="str">
        <x:v>AC-V-010</x:v>
      </x:c>
      <x:c r="J430" s="40" t="str">
        <x:v>Yes</x:v>
      </x:c>
      <x:c r="K430" s="40" t="str">
        <x:v>V1</x:v>
      </x:c>
      <x:c r="L430" s="40" t="str">
        <x:v>Domain test / Database test / Integration test</x:v>
      </x:c>
      <x:c r="M430" s="40" t="str">
        <x:v>OPD-5-006</x:v>
      </x:c>
      <x:c r="N430" s="40" t="str">
        <x:v>OPD-5-006: When a stable mapping exists, offer Update Existing or Create New; never update silently.</x:v>
      </x:c>
      <x:c r="O430" s="40" t="str">
        <x:v>VS-02, VS-04, VS-06, VS-16, VS-19</x:v>
      </x:c>
      <x:c r="P430" s="40" t="str">
        <x:v>Not Started</x:v>
      </x:c>
      <x:c r="Q430" s="40"/>
    </x:row>
    <x:row r="431">
      <x:c r="A431" s="40" t="str">
        <x:v>VS-20</x:v>
      </x:c>
      <x:c r="B431" s="40" t="n">
        <x:v>20</x:v>
      </x:c>
      <x:c r="C431" s="40" t="str">
        <x:v>Wave 4 — Device Services and Reliability</x:v>
      </x:c>
      <x:c r="D431" s="40" t="str">
        <x:v>V. Device-Calendar Manual Import and Export</x:v>
      </x:c>
      <x:c r="E431" s="40" t="str">
        <x:v>FR-V-011</x:v>
      </x:c>
      <x:c r="F431" s="40" t="str">
        <x:v>Duplicate detection shall prioritize external event ID, iCal UID, recurring-series identity and occurrence date, then exact event fingerprints.</x:v>
      </x:c>
      <x:c r="G431" s="40" t="str">
        <x:v>BR-V-007, BR-V-009, BR-V-010</x:v>
      </x:c>
      <x:c r="H431" s="40" t="str">
        <x:v>ADR-009 — Domain Ownership and Relationship Model; ADR-022 — Notifications, Background Work, and Calendar Integration</x:v>
      </x:c>
      <x:c r="I431" s="40" t="str">
        <x:v>AC-V-011</x:v>
      </x:c>
      <x:c r="J431" s="40" t="str">
        <x:v>No</x:v>
      </x:c>
      <x:c r="K431" s="40" t="str">
        <x:v>V1</x:v>
      </x:c>
      <x:c r="L431" s="40" t="str">
        <x:v>Domain test / Integration test</x:v>
      </x:c>
      <x:c r="M431" s="40" t="str">
        <x:v>OPD-5-009</x:v>
      </x:c>
      <x:c r="N431" s="40" t="str">
        <x:v>OPD-5-009: Use provider calendar, normalized title, start, end, all-day flag, and recurrence identity.</x:v>
      </x:c>
      <x:c r="O431" s="40" t="str">
        <x:v>VS-02, VS-04, VS-06, VS-16, VS-19</x:v>
      </x:c>
      <x:c r="P431" s="40" t="str">
        <x:v>Not Started</x:v>
      </x:c>
      <x:c r="Q431" s="40"/>
    </x:row>
    <x:row r="432">
      <x:c r="A432" s="40" t="str">
        <x:v>VS-20</x:v>
      </x:c>
      <x:c r="B432" s="40" t="n">
        <x:v>20</x:v>
      </x:c>
      <x:c r="C432" s="40" t="str">
        <x:v>Wave 4 — Device Services and Reliability</x:v>
      </x:c>
      <x:c r="D432" s="40" t="str">
        <x:v>V. Device-Calendar Manual Import and Export</x:v>
      </x:c>
      <x:c r="E432" s="40" t="str">
        <x:v>FR-V-012</x:v>
      </x:c>
      <x:c r="F432" s="40" t="str">
        <x:v>Deleting or modifying an external event shall not automatically delete or modify its internal Next Transfer copy.</x:v>
      </x:c>
      <x:c r="G432" s="40" t="str">
        <x:v>BR-V-005, BR-V-010, BR-V-011</x:v>
      </x:c>
      <x:c r="H432" s="40" t="str">
        <x:v>ADR-022 — Notifications, Background Work, and Calendar Integration</x:v>
      </x:c>
      <x:c r="I432" s="40" t="str">
        <x:v>AC-V-012</x:v>
      </x:c>
      <x:c r="J432" s="40" t="str">
        <x:v>Yes</x:v>
      </x:c>
      <x:c r="K432" s="40" t="str">
        <x:v>V1</x:v>
      </x:c>
      <x:c r="L432" s="40" t="str">
        <x:v>Integration test</x:v>
      </x:c>
      <x:c r="M432" s="40"/>
      <x:c r="N432" s="40"/>
      <x:c r="O432" s="40" t="str">
        <x:v>VS-02, VS-04, VS-06, VS-16, VS-19</x:v>
      </x:c>
      <x:c r="P432" s="40" t="str">
        <x:v>Not Started</x:v>
      </x:c>
      <x:c r="Q432" s="40"/>
    </x:row>
    <x:row r="433">
      <x:c r="A433" s="40" t="str">
        <x:v>VS-20</x:v>
      </x:c>
      <x:c r="B433" s="40" t="n">
        <x:v>20</x:v>
      </x:c>
      <x:c r="C433" s="40" t="str">
        <x:v>Wave 4 — Device Services and Reliability</x:v>
      </x:c>
      <x:c r="D433" s="40" t="str">
        <x:v>V. Device-Calendar Manual Import and Export</x:v>
      </x:c>
      <x:c r="E433" s="40" t="str">
        <x:v>FR-V-013</x:v>
      </x:c>
      <x:c r="F433" s="40" t="str">
        <x:v>Deleting or modifying an internal event shall not silently delete or modify its external copy.</x:v>
      </x:c>
      <x:c r="G433" s="40" t="str">
        <x:v>BR-V-007, BR-V-010, BR-V-011</x:v>
      </x:c>
      <x:c r="H433" s="40" t="str">
        <x:v>ADR-022 — Notifications, Background Work, and Calendar Integration</x:v>
      </x:c>
      <x:c r="I433" s="40" t="str">
        <x:v>AC-V-013</x:v>
      </x:c>
      <x:c r="J433" s="40" t="str">
        <x:v>Yes</x:v>
      </x:c>
      <x:c r="K433" s="40" t="str">
        <x:v>V1</x:v>
      </x:c>
      <x:c r="L433" s="40" t="str">
        <x:v>Integration test</x:v>
      </x:c>
      <x:c r="M433" s="40"/>
      <x:c r="N433" s="40"/>
      <x:c r="O433" s="40" t="str">
        <x:v>VS-02, VS-04, VS-06, VS-16, VS-19</x:v>
      </x:c>
      <x:c r="P433" s="40" t="str">
        <x:v>Not Started</x:v>
      </x:c>
      <x:c r="Q433" s="40"/>
    </x:row>
    <x:row r="434">
      <x:c r="A434" s="40" t="str">
        <x:v>VS-20</x:v>
      </x:c>
      <x:c r="B434" s="40" t="n">
        <x:v>20</x:v>
      </x:c>
      <x:c r="C434" s="40" t="str">
        <x:v>Wave 4 — Device Services and Reliability</x:v>
      </x:c>
      <x:c r="D434" s="40" t="str">
        <x:v>V. Device-Calendar Manual Import and Export</x:v>
      </x:c>
      <x:c r="E434" s="40" t="str">
        <x:v>FR-V-014</x:v>
      </x:c>
      <x:c r="F434" s="40" t="str">
        <x:v>Revoking calendar permission shall preserve all internal Planner records and mapping metadata already stored locally.</x:v>
      </x:c>
      <x:c r="G434" s="40" t="str">
        <x:v>BR-V-003, BR-V-006, BR-V-011</x:v>
      </x:c>
      <x:c r="H434" s="40" t="str">
        <x:v>ADR-021 — Security, Privacy, Permissions, and Sensitive Data; ADR-022 — Notifications, Background Work, and Calendar Integration</x:v>
      </x:c>
      <x:c r="I434" s="40" t="str">
        <x:v>AC-V-014</x:v>
      </x:c>
      <x:c r="J434" s="40" t="str">
        <x:v>Yes</x:v>
      </x:c>
      <x:c r="K434" s="40" t="str">
        <x:v>V1</x:v>
      </x:c>
      <x:c r="L434" s="40" t="str">
        <x:v>Database test / Widget test / Integration test</x:v>
      </x:c>
      <x:c r="M434" s="40"/>
      <x:c r="N434" s="40"/>
      <x:c r="O434" s="40" t="str">
        <x:v>VS-02, VS-04, VS-06, VS-16, VS-19</x:v>
      </x:c>
      <x:c r="P434" s="40" t="str">
        <x:v>Not Started</x:v>
      </x:c>
      <x:c r="Q434" s="40"/>
    </x:row>
    <x:row r="435">
      <x:c r="A435" s="40" t="str">
        <x:v>VS-20</x:v>
      </x:c>
      <x:c r="B435" s="40" t="n">
        <x:v>20</x:v>
      </x:c>
      <x:c r="C435" s="40" t="str">
        <x:v>Wave 4 — Device Services and Reliability</x:v>
      </x:c>
      <x:c r="D435" s="40" t="str">
        <x:v>V. Device-Calendar Manual Import and Export</x:v>
      </x:c>
      <x:c r="E435" s="40" t="str">
        <x:v>FR-V-015</x:v>
      </x:c>
      <x:c r="F435" s="40" t="str">
        <x:v>Sensitive descriptions, private reflections, and Extra Private fields shall be excluded from export by default.</x:v>
      </x:c>
      <x:c r="G435" s="40" t="str">
        <x:v>BR-V-007, BR-V-008, BR-V-012</x:v>
      </x:c>
      <x:c r="H435" s="40" t="str">
        <x:v>ADR-021 — Security, Privacy, Permissions, and Sensitive Data; ADR-022 — Notifications, Background Work, and Calendar Integration</x:v>
      </x:c>
      <x:c r="I435" s="40" t="str">
        <x:v>AC-V-015</x:v>
      </x:c>
      <x:c r="J435" s="40" t="str">
        <x:v>No</x:v>
      </x:c>
      <x:c r="K435" s="40" t="str">
        <x:v>V1</x:v>
      </x:c>
      <x:c r="L435" s="40" t="str">
        <x:v>Integration test</x:v>
      </x:c>
      <x:c r="M435" s="40" t="str">
        <x:v>OPD-5-007</x:v>
      </x:c>
      <x:c r="N435" s="40" t="str">
        <x:v>OPD-5-007: Default export fields are title, start/end, all-day status, a non-precise location, and an optional fixed non-sensitive source note. Exclude descriptions, user notes, reflections, document references, contribution metadata, and precise coordinates. Show the field preview before commit.</x:v>
      </x:c>
      <x:c r="O435" s="40" t="str">
        <x:v>VS-02, VS-04, VS-06, VS-16, VS-19</x:v>
      </x:c>
      <x:c r="P435" s="40" t="str">
        <x:v>Not Started</x:v>
      </x:c>
      <x:c r="Q435" s="40"/>
    </x:row>
    <x:row r="436">
      <x:c r="A436" s="40" t="str">
        <x:v>VS-20</x:v>
      </x:c>
      <x:c r="B436" s="40" t="n">
        <x:v>20</x:v>
      </x:c>
      <x:c r="C436" s="40" t="str">
        <x:v>Wave 4 — Device Services and Reliability</x:v>
      </x:c>
      <x:c r="D436" s="40" t="str">
        <x:v>V. Device-Calendar Manual Import and Export</x:v>
      </x:c>
      <x:c r="E436" s="40" t="str">
        <x:v>FR-V-016</x:v>
      </x:c>
      <x:c r="F436" s="40" t="str">
        <x:v>be able to review which fields will be exported before commit.</x:v>
      </x:c>
      <x:c r="G436" s="40" t="str">
        <x:v>BR-V-004, BR-V-012</x:v>
      </x:c>
      <x:c r="H436" s="40" t="str">
        <x:v>ADR-022 — Notifications, Background Work, and Calendar Integration</x:v>
      </x:c>
      <x:c r="I436" s="40" t="str">
        <x:v>AC-V-016</x:v>
      </x:c>
      <x:c r="J436" s="40" t="str">
        <x:v>No</x:v>
      </x:c>
      <x:c r="K436" s="40" t="str">
        <x:v>V1</x:v>
      </x:c>
      <x:c r="L436" s="40" t="str">
        <x:v>Widget test / Integration test</x:v>
      </x:c>
      <x:c r="M436" s="40"/>
      <x:c r="N436" s="40"/>
      <x:c r="O436" s="40" t="str">
        <x:v>VS-02, VS-04, VS-06, VS-16, VS-19</x:v>
      </x:c>
      <x:c r="P436" s="40" t="str">
        <x:v>Not Started</x:v>
      </x:c>
      <x:c r="Q436" s="40"/>
    </x:row>
    <x:row r="437">
      <x:c r="A437" s="40" t="str">
        <x:v>VS-20</x:v>
      </x:c>
      <x:c r="B437" s="40" t="n">
        <x:v>20</x:v>
      </x:c>
      <x:c r="C437" s="40" t="str">
        <x:v>Wave 4 — Device Services and Reliability</x:v>
      </x:c>
      <x:c r="D437" s="40" t="str">
        <x:v>V. Device-Calendar Manual Import and Export</x:v>
      </x:c>
      <x:c r="E437" s="40" t="str">
        <x:v>FR-V-017</x:v>
      </x:c>
      <x:c r="F437" s="40" t="str">
        <x:v>Recurring external events shall be imported with stable series and occurrence mapping where supported.</x:v>
      </x:c>
      <x:c r="G437" s="40" t="str">
        <x:v>BR-V-004, BR-V-005, BR-V-007</x:v>
      </x:c>
      <x:c r="H437" s="40" t="str">
        <x:v>ADR-022 — Notifications, Background Work, and Calendar Integration</x:v>
      </x:c>
      <x:c r="I437" s="40" t="str">
        <x:v>AC-V-017</x:v>
      </x:c>
      <x:c r="J437" s="40" t="str">
        <x:v>No</x:v>
      </x:c>
      <x:c r="K437" s="40" t="str">
        <x:v>V1</x:v>
      </x:c>
      <x:c r="L437" s="40" t="str">
        <x:v>Integration test</x:v>
      </x:c>
      <x:c r="M437" s="40" t="str">
        <x:v>OPD-5-006</x:v>
      </x:c>
      <x:c r="N437" s="40" t="str">
        <x:v>OPD-5-006: When a stable mapping exists, offer Update Existing or Create New; never update silently.</x:v>
      </x:c>
      <x:c r="O437" s="40" t="str">
        <x:v>VS-02, VS-04, VS-06, VS-16, VS-19</x:v>
      </x:c>
      <x:c r="P437" s="40" t="str">
        <x:v>Not Started</x:v>
      </x:c>
      <x:c r="Q437" s="40"/>
    </x:row>
    <x:row r="438">
      <x:c r="A438" s="40" t="str">
        <x:v>VS-20</x:v>
      </x:c>
      <x:c r="B438" s="40" t="n">
        <x:v>20</x:v>
      </x:c>
      <x:c r="C438" s="40" t="str">
        <x:v>Wave 4 — Device Services and Reliability</x:v>
      </x:c>
      <x:c r="D438" s="40" t="str">
        <x:v>V. Device-Calendar Manual Import and Export</x:v>
      </x:c>
      <x:c r="E438" s="40" t="str">
        <x:v>FR-V-018</x:v>
      </x:c>
      <x:c r="F438" s="40" t="str">
        <x:v>Manual re-import and re-export shall avoid duplicate internal or external copies when stable mapping exists.</x:v>
      </x:c>
      <x:c r="G438" s="40" t="str">
        <x:v>BR-V-004, BR-V-008, BR-V-010</x:v>
      </x:c>
      <x:c r="H438" s="40" t="str">
        <x:v>ADR-022 — Notifications, Background Work, and Calendar Integration</x:v>
      </x:c>
      <x:c r="I438" s="40" t="str">
        <x:v>AC-V-018</x:v>
      </x:c>
      <x:c r="J438" s="40" t="str">
        <x:v>No</x:v>
      </x:c>
      <x:c r="K438" s="40" t="str">
        <x:v>V1</x:v>
      </x:c>
      <x:c r="L438" s="40" t="str">
        <x:v>Domain test / Integration test</x:v>
      </x:c>
      <x:c r="M438" s="40" t="str">
        <x:v>OPD-5-006</x:v>
      </x:c>
      <x:c r="N438" s="40" t="str">
        <x:v>OPD-5-006: When a stable mapping exists, offer Update Existing or Create New; never update silently.</x:v>
      </x:c>
      <x:c r="O438" s="40" t="str">
        <x:v>VS-02, VS-04, VS-06, VS-16, VS-19</x:v>
      </x:c>
      <x:c r="P438" s="40" t="str">
        <x:v>Not Started</x:v>
      </x:c>
      <x:c r="Q438" s="40"/>
    </x:row>
    <x:row r="439">
      <x:c r="A439" s="40" t="str">
        <x:v>VS-20</x:v>
      </x:c>
      <x:c r="B439" s="40" t="n">
        <x:v>20</x:v>
      </x:c>
      <x:c r="C439" s="40" t="str">
        <x:v>Wave 4 — Device Services and Reliability</x:v>
      </x:c>
      <x:c r="D439" s="40" t="str">
        <x:v>V. Device-Calendar Manual Import and Export</x:v>
      </x:c>
      <x:c r="E439" s="40" t="str">
        <x:v>FR-V-019</x:v>
      </x:c>
      <x:c r="F439" s="40" t="str">
        <x:v>Unsupported provider fields or recurrence patterns shall be disclosed before import.</x:v>
      </x:c>
      <x:c r="G439" s="40" t="str">
        <x:v>BR-V-004, BR-V-008, BR-V-012</x:v>
      </x:c>
      <x:c r="H439" s="40" t="str">
        <x:v>ADR-022 — Notifications, Background Work, and Calendar Integration</x:v>
      </x:c>
      <x:c r="I439" s="40" t="str">
        <x:v>AC-V-019</x:v>
      </x:c>
      <x:c r="J439" s="40" t="str">
        <x:v>No</x:v>
      </x:c>
      <x:c r="K439" s="40" t="str">
        <x:v>V1</x:v>
      </x:c>
      <x:c r="L439" s="40" t="str">
        <x:v>Integration test</x:v>
      </x:c>
      <x:c r="M439" s="40" t="str">
        <x:v>OPD-5-008, OPD-5-009</x:v>
      </x:c>
      <x:c r="N439" s="40" t="str">
        <x:v>OPD-5-008: Import supported occurrences or skip with preview; never flatten silently. | OPD-5-009: Use provider calendar, normalized title, start, end, all-day flag, and recurrence identity.</x:v>
      </x:c>
      <x:c r="O439" s="40" t="str">
        <x:v>VS-02, VS-04, VS-06, VS-16, VS-19</x:v>
      </x:c>
      <x:c r="P439" s="40" t="str">
        <x:v>Not Started</x:v>
      </x:c>
      <x:c r="Q439" s="40"/>
    </x:row>
    <x:row r="440">
      <x:c r="A440" s="40" t="str">
        <x:v>VS-20</x:v>
      </x:c>
      <x:c r="B440" s="40" t="n">
        <x:v>20</x:v>
      </x:c>
      <x:c r="C440" s="40" t="str">
        <x:v>Wave 4 — Device Services and Reliability</x:v>
      </x:c>
      <x:c r="D440" s="40" t="str">
        <x:v>V. Device-Calendar Manual Import and Export</x:v>
      </x:c>
      <x:c r="E440" s="40" t="str">
        <x:v>FR-V-020</x:v>
      </x:c>
      <x:c r="F440" s="40" t="str">
        <x:v>Continuous or automatic two-way device-calendar synchronization shall remain deferred.</x:v>
      </x:c>
      <x:c r="G440" s="40" t="str">
        <x:v>BR-V-002, BR-V-003, BR-V-013</x:v>
      </x:c>
      <x:c r="H440" s="40" t="str">
        <x:v>ADR-022 — Notifications, Background Work, and Calendar Integration; ADR-007 — Small Core V1 Scope</x:v>
      </x:c>
      <x:c r="I440" s="40" t="str">
        <x:v>AC-V-020</x:v>
      </x:c>
      <x:c r="J440" s="40" t="str">
        <x:v>No</x:v>
      </x:c>
      <x:c r="K440" s="40" t="str">
        <x:v>Deferred</x:v>
      </x:c>
      <x:c r="L440" s="40" t="str">
        <x:v>Integration test</x:v>
      </x:c>
      <x:c r="M440" s="40" t="str">
        <x:v>OPD-5-005</x:v>
      </x:c>
      <x:c r="N440" s="40" t="str">
        <x:v>OPD-5-005: Default to explicit calendar and date-range selection.</x:v>
      </x:c>
      <x:c r="O440" s="40" t="str">
        <x:v>VS-02, VS-04, VS-06, VS-16, VS-19</x:v>
      </x:c>
      <x:c r="P440" s="40" t="str">
        <x:v>Not Started</x:v>
      </x:c>
      <x:c r="Q440" s="40"/>
    </x:row>
    <x:row r="441">
      <x:c r="A441" s="40" t="str">
        <x:v>VS-02</x:v>
      </x:c>
      <x:c r="B441" s="40" t="n">
        <x:v>2</x:v>
      </x:c>
      <x:c r="C441" s="40" t="str">
        <x:v>Wave 1 — Foundation</x:v>
      </x:c>
      <x:c r="D441" s="40" t="str">
        <x:v>W. Privacy Lock, Permissions, and Privacy Center</x:v>
      </x:c>
      <x:c r="E441" s="40" t="str">
        <x:v>FR-W-001</x:v>
      </x:c>
      <x:c r="F441" s="40" t="str">
        <x:v>Core V1 workflows shall remain usable when all optional Android permissions are denied.</x:v>
      </x:c>
      <x:c r="G441" s="40" t="str">
        <x:v>BR-W-001, BR-W-006, BR-W-013</x:v>
      </x:c>
      <x:c r="H441" s="40" t="str">
        <x:v>ADR-021 — Security, Privacy, Permissions, and Sensitive Data</x:v>
      </x:c>
      <x:c r="I441" s="40" t="str">
        <x:v>AC-W-001</x:v>
      </x:c>
      <x:c r="J441" s="40" t="str">
        <x:v>Yes</x:v>
      </x:c>
      <x:c r="K441" s="40" t="str">
        <x:v>V1</x:v>
      </x:c>
      <x:c r="L441" s="40" t="str">
        <x:v>Widget test</x:v>
      </x:c>
      <x:c r="M441" s="40"/>
      <x:c r="N441" s="40"/>
      <x:c r="O441" s="40" t="str">
        <x:v>VS-01</x:v>
      </x:c>
      <x:c r="P441" s="40" t="str">
        <x:v>Not Started</x:v>
      </x:c>
      <x:c r="Q441" s="40"/>
    </x:row>
    <x:row r="442">
      <x:c r="A442" s="40" t="str">
        <x:v>VS-02</x:v>
      </x:c>
      <x:c r="B442" s="40" t="n">
        <x:v>2</x:v>
      </x:c>
      <x:c r="C442" s="40" t="str">
        <x:v>Wave 1 — Foundation</x:v>
      </x:c>
      <x:c r="D442" s="40" t="str">
        <x:v>W. Privacy Lock, Permissions, and Privacy Center</x:v>
      </x:c>
      <x:c r="E442" s="40" t="str">
        <x:v>FR-W-002</x:v>
      </x:c>
      <x:c r="F442" s="40" t="str">
        <x:v>Permissions shall be requested just in time and only for the selected feature.</x:v>
      </x:c>
      <x:c r="G442" s="40" t="str">
        <x:v>BR-W-001, BR-W-002, BR-W-009</x:v>
      </x:c>
      <x:c r="H442" s="40" t="str">
        <x:v>ADR-021 — Security, Privacy, Permissions, and Sensitive Data</x:v>
      </x:c>
      <x:c r="I442" s="40" t="str">
        <x:v>AC-W-002</x:v>
      </x:c>
      <x:c r="J442" s="40" t="str">
        <x:v>Yes</x:v>
      </x:c>
      <x:c r="K442" s="40" t="str">
        <x:v>V1</x:v>
      </x:c>
      <x:c r="L442" s="40" t="str">
        <x:v>Widget test</x:v>
      </x:c>
      <x:c r="M442" s="40"/>
      <x:c r="N442" s="40"/>
      <x:c r="O442" s="40" t="str">
        <x:v>VS-01</x:v>
      </x:c>
      <x:c r="P442" s="40" t="str">
        <x:v>Not Started</x:v>
      </x:c>
      <x:c r="Q442" s="40"/>
    </x:row>
    <x:row r="443">
      <x:c r="A443" s="40" t="str">
        <x:v>VS-02</x:v>
      </x:c>
      <x:c r="B443" s="40" t="n">
        <x:v>2</x:v>
      </x:c>
      <x:c r="C443" s="40" t="str">
        <x:v>Wave 1 — Foundation</x:v>
      </x:c>
      <x:c r="D443" s="40" t="str">
        <x:v>W. Privacy Lock, Permissions, and Privacy Center</x:v>
      </x:c>
      <x:c r="E443" s="40" t="str">
        <x:v>FR-W-003</x:v>
      </x:c>
      <x:c r="F443" s="40" t="str">
        <x:v>Privacy Lock shall use operating-system biometric or device-credential authentication where available.</x:v>
      </x:c>
      <x:c r="G443" s="40" t="str">
        <x:v>BR-W-003, BR-W-007, BR-W-013</x:v>
      </x:c>
      <x:c r="H443" s="40" t="str">
        <x:v>ADR-021 — Security, Privacy, Permissions, and Sensitive Data</x:v>
      </x:c>
      <x:c r="I443" s="40" t="str">
        <x:v>AC-W-003</x:v>
      </x:c>
      <x:c r="J443" s="40" t="str">
        <x:v>Yes</x:v>
      </x:c>
      <x:c r="K443" s="40" t="str">
        <x:v>V1</x:v>
      </x:c>
      <x:c r="L443" s="40" t="str">
        <x:v>Domain test</x:v>
      </x:c>
      <x:c r="M443" s="40" t="str">
        <x:v>OPD-5-010, OPD-1-002</x:v>
      </x:c>
      <x:c r="N443" s="40" t="str">
        <x:v>OPD-5-010: Use OS biometric authentication when available, with OS device credential as the V1 fallback. Do not implement or store a separate app PIN in V1. | OPD-1-002: Use OS biometric authentication when available and OS device credential as the V1 fallback. Do not implement or store a separate app PIN in V1.</x:v>
      </x:c>
      <x:c r="O443" s="40" t="str">
        <x:v>VS-01</x:v>
      </x:c>
      <x:c r="P443" s="40" t="str">
        <x:v>Not Started</x:v>
      </x:c>
      <x:c r="Q443" s="40"/>
    </x:row>
    <x:row r="444">
      <x:c r="A444" s="40" t="str">
        <x:v>VS-02</x:v>
      </x:c>
      <x:c r="B444" s="40" t="n">
        <x:v>2</x:v>
      </x:c>
      <x:c r="C444" s="40" t="str">
        <x:v>Wave 1 — Foundation</x:v>
      </x:c>
      <x:c r="D444" s="40" t="str">
        <x:v>W. Privacy Lock, Permissions, and Privacy Center</x:v>
      </x:c>
      <x:c r="E444" s="40" t="str">
        <x:v>FR-W-004</x:v>
      </x:c>
      <x:c r="F444" s="40" t="str">
        <x:v>not store biometric data.</x:v>
      </x:c>
      <x:c r="G444" s="40" t="str">
        <x:v>BR-W-003, BR-W-004, BR-W-008</x:v>
      </x:c>
      <x:c r="H444" s="40" t="str">
        <x:v>ADR-021 — Security, Privacy, Permissions, and Sensitive Data</x:v>
      </x:c>
      <x:c r="I444" s="40" t="str">
        <x:v>AC-W-004</x:v>
      </x:c>
      <x:c r="J444" s="40" t="str">
        <x:v>Yes</x:v>
      </x:c>
      <x:c r="K444" s="40" t="str">
        <x:v>V1</x:v>
      </x:c>
      <x:c r="L444" s="40" t="str">
        <x:v>Domain test</x:v>
      </x:c>
      <x:c r="M444" s="40"/>
      <x:c r="N444" s="40"/>
      <x:c r="O444" s="40" t="str">
        <x:v>VS-01</x:v>
      </x:c>
      <x:c r="P444" s="40" t="str">
        <x:v>Not Started</x:v>
      </x:c>
      <x:c r="Q444" s="40"/>
    </x:row>
    <x:row r="445">
      <x:c r="A445" s="40" t="str">
        <x:v>VS-02</x:v>
      </x:c>
      <x:c r="B445" s="40" t="n">
        <x:v>2</x:v>
      </x:c>
      <x:c r="C445" s="40" t="str">
        <x:v>Wave 1 — Foundation</x:v>
      </x:c>
      <x:c r="D445" s="40" t="str">
        <x:v>W. Privacy Lock, Permissions, and Privacy Center</x:v>
      </x:c>
      <x:c r="E445" s="40" t="str">
        <x:v>FR-W-005</x:v>
      </x:c>
      <x:c r="F445" s="40" t="str">
        <x:v>Privacy Lock failure shall not delete, reset, or corrupt local data.</x:v>
      </x:c>
      <x:c r="G445" s="40" t="str">
        <x:v>BR-W-003, BR-W-004, BR-W-013</x:v>
      </x:c>
      <x:c r="H445" s="40" t="str">
        <x:v>ADR-021 — Security, Privacy, Permissions, and Sensitive Data; ADR-023 — Testing, Observability, Diagnostics, and Quality Strategy</x:v>
      </x:c>
      <x:c r="I445" s="40" t="str">
        <x:v>AC-W-005</x:v>
      </x:c>
      <x:c r="J445" s="40" t="str">
        <x:v>Yes</x:v>
      </x:c>
      <x:c r="K445" s="40" t="str">
        <x:v>V1</x:v>
      </x:c>
      <x:c r="L445" s="40" t="str">
        <x:v>Domain test</x:v>
      </x:c>
      <x:c r="M445" s="40" t="str">
        <x:v>OPD-1-003</x:v>
      </x:c>
      <x:c r="N445" s="40" t="str">
        <x:v>OPD-1-003: Default to immediate relock after a genuine app-background transition. App-launched system authentication, permission, and scoped-picker flows must not create a relock loop. A configurable timeout is post-V1 and remains device-specific.</x:v>
      </x:c>
      <x:c r="O445" s="40" t="str">
        <x:v>VS-01</x:v>
      </x:c>
      <x:c r="P445" s="40" t="str">
        <x:v>Not Started</x:v>
      </x:c>
      <x:c r="Q445" s="40"/>
    </x:row>
    <x:row r="446">
      <x:c r="A446" s="40" t="str">
        <x:v>VS-02</x:v>
      </x:c>
      <x:c r="B446" s="40" t="n">
        <x:v>2</x:v>
      </x:c>
      <x:c r="C446" s="40" t="str">
        <x:v>Wave 1 — Foundation</x:v>
      </x:c>
      <x:c r="D446" s="40" t="str">
        <x:v>W. Privacy Lock, Permissions, and Privacy Center</x:v>
      </x:c>
      <x:c r="E446" s="40" t="str">
        <x:v>FR-W-006</x:v>
      </x:c>
      <x:c r="F446" s="40" t="str">
        <x:v>Sensitive content shall be obscured in app-switcher previews where supported.</x:v>
      </x:c>
      <x:c r="G446" s="40" t="str">
        <x:v>BR-W-005</x:v>
      </x:c>
      <x:c r="H446" s="40" t="str">
        <x:v>ADR-021 — Security, Privacy, Permissions, and Sensitive Data</x:v>
      </x:c>
      <x:c r="I446" s="40" t="str">
        <x:v>AC-W-006</x:v>
      </x:c>
      <x:c r="J446" s="40" t="str">
        <x:v>Yes</x:v>
      </x:c>
      <x:c r="K446" s="40" t="str">
        <x:v>V1</x:v>
      </x:c>
      <x:c r="L446" s="40" t="str">
        <x:v>Widget test</x:v>
      </x:c>
      <x:c r="M446" s="40" t="str">
        <x:v>OPD-5-012</x:v>
      </x:c>
      <x:c r="N446" s="40" t="str">
        <x:v>OPD-5-012: Enable the strongest supported obscuring without claiming universal OS coverage.</x:v>
      </x:c>
      <x:c r="O446" s="40" t="str">
        <x:v>VS-01</x:v>
      </x:c>
      <x:c r="P446" s="40" t="str">
        <x:v>Not Started</x:v>
      </x:c>
      <x:c r="Q446" s="40"/>
    </x:row>
    <x:row r="447">
      <x:c r="A447" s="40" t="str">
        <x:v>VS-02</x:v>
      </x:c>
      <x:c r="B447" s="40" t="n">
        <x:v>2</x:v>
      </x:c>
      <x:c r="C447" s="40" t="str">
        <x:v>Wave 1 — Foundation</x:v>
      </x:c>
      <x:c r="D447" s="40" t="str">
        <x:v>W. Privacy Lock, Permissions, and Privacy Center</x:v>
      </x:c>
      <x:c r="E447" s="40" t="str">
        <x:v>FR-W-007</x:v>
      </x:c>
      <x:c r="F447" s="40" t="str">
        <x:v>Notification previews shall follow the user’s privacy settings and obscure sensitive content where supported.</x:v>
      </x:c>
      <x:c r="G447" s="40" t="str">
        <x:v>BR-W-005, BR-W-010, BR-W-013</x:v>
      </x:c>
      <x:c r="H447" s="40" t="str">
        <x:v>ADR-021 — Security, Privacy, Permissions, and Sensitive Data</x:v>
      </x:c>
      <x:c r="I447" s="40" t="str">
        <x:v>AC-W-007</x:v>
      </x:c>
      <x:c r="J447" s="40" t="str">
        <x:v>Yes</x:v>
      </x:c>
      <x:c r="K447" s="40" t="str">
        <x:v>V1</x:v>
      </x:c>
      <x:c r="L447" s="40" t="str">
        <x:v>Widget test</x:v>
      </x:c>
      <x:c r="M447" s="40"/>
      <x:c r="N447" s="40"/>
      <x:c r="O447" s="40" t="str">
        <x:v>VS-01</x:v>
      </x:c>
      <x:c r="P447" s="40" t="str">
        <x:v>Not Started</x:v>
      </x:c>
      <x:c r="Q447" s="40"/>
    </x:row>
    <x:row r="448">
      <x:c r="A448" s="40" t="str">
        <x:v>VS-02</x:v>
      </x:c>
      <x:c r="B448" s="40" t="n">
        <x:v>2</x:v>
      </x:c>
      <x:c r="C448" s="40" t="str">
        <x:v>Wave 1 — Foundation</x:v>
      </x:c>
      <x:c r="D448" s="40" t="str">
        <x:v>W. Privacy Lock, Permissions, and Privacy Center</x:v>
      </x:c>
      <x:c r="E448" s="40" t="str">
        <x:v>FR-W-008</x:v>
      </x:c>
      <x:c r="F448" s="40" t="str">
        <x:v>The Privacy Center shall explain local storage, optional cloud synchronization, and local-only records.</x:v>
      </x:c>
      <x:c r="G448" s="40" t="str">
        <x:v>BR-W-009, BR-W-011, BR-W-013</x:v>
      </x:c>
      <x:c r="H448" s="40" t="str">
        <x:v>ADR-021 — Security, Privacy, Permissions, and Sensitive Data</x:v>
      </x:c>
      <x:c r="I448" s="40" t="str">
        <x:v>AC-W-008</x:v>
      </x:c>
      <x:c r="J448" s="40" t="str">
        <x:v>Yes</x:v>
      </x:c>
      <x:c r="K448" s="40" t="str">
        <x:v>V1</x:v>
      </x:c>
      <x:c r="L448" s="40" t="str">
        <x:v>Integration test</x:v>
      </x:c>
      <x:c r="M448" s="40"/>
      <x:c r="N448" s="40"/>
      <x:c r="O448" s="40" t="str">
        <x:v>VS-01</x:v>
      </x:c>
      <x:c r="P448" s="40" t="str">
        <x:v>Not Started</x:v>
      </x:c>
      <x:c r="Q448" s="40"/>
    </x:row>
    <x:row r="449">
      <x:c r="A449" s="40" t="str">
        <x:v>VS-02</x:v>
      </x:c>
      <x:c r="B449" s="40" t="n">
        <x:v>2</x:v>
      </x:c>
      <x:c r="C449" s="40" t="str">
        <x:v>Wave 1 — Foundation</x:v>
      </x:c>
      <x:c r="D449" s="40" t="str">
        <x:v>W. Privacy Lock, Permissions, and Privacy Center</x:v>
      </x:c>
      <x:c r="E449" s="40" t="str">
        <x:v>FR-W-009</x:v>
      </x:c>
      <x:c r="F449" s="40" t="str">
        <x:v>The Privacy Center shall explain imported contacts, attachments, permissions, diagnostics, export, backup, and deletion.</x:v>
      </x:c>
      <x:c r="G449" s="40" t="str">
        <x:v>BR-W-006, BR-W-010, BR-W-013</x:v>
      </x:c>
      <x:c r="H449" s="40" t="str">
        <x:v>ADR-017 — Local Backup, Export, Restore, and Disaster Recovery; ADR-021 — Security, Privacy, Permissions, and Sensitive Data; ADR-023 — Testing, Observability, Diagnostics, and Quality Strategy</x:v>
      </x:c>
      <x:c r="I449" s="40" t="str">
        <x:v>AC-W-009</x:v>
      </x:c>
      <x:c r="J449" s="40" t="str">
        <x:v>Yes</x:v>
      </x:c>
      <x:c r="K449" s="40" t="str">
        <x:v>V1</x:v>
      </x:c>
      <x:c r="L449" s="40" t="str">
        <x:v>Database test / Widget test / Integration test</x:v>
      </x:c>
      <x:c r="M449" s="40"/>
      <x:c r="N449" s="40"/>
      <x:c r="O449" s="40" t="str">
        <x:v>VS-01</x:v>
      </x:c>
      <x:c r="P449" s="40" t="str">
        <x:v>Not Started</x:v>
      </x:c>
      <x:c r="Q449" s="40"/>
    </x:row>
    <x:row r="450">
      <x:c r="A450" s="40" t="str">
        <x:v>VS-02</x:v>
      </x:c>
      <x:c r="B450" s="40" t="n">
        <x:v>2</x:v>
      </x:c>
      <x:c r="C450" s="40" t="str">
        <x:v>Wave 1 — Foundation</x:v>
      </x:c>
      <x:c r="D450" s="40" t="str">
        <x:v>W. Privacy Lock, Permissions, and Privacy Center</x:v>
      </x:c>
      <x:c r="E450" s="40" t="str">
        <x:v>FR-W-010</x:v>
      </x:c>
      <x:c r="F450" s="40" t="str">
        <x:v>Raw BetterCalendar backup files shall remain local and shall never enter Supabase, analytics, diagnostics, or the synchronization outbox.</x:v>
      </x:c>
      <x:c r="G450" s="40" t="str">
        <x:v>BR-W-006, BR-W-009, BR-W-013</x:v>
      </x:c>
      <x:c r="H450" s="40" t="str">
        <x:v>ADR-014 — External Data Import and BetterCalendar Migration; ADR-017 — Local Backup, Export, Restore, and Disaster Recovery; ADR-021 — Security, Privacy, Permissions, and Sensitive Data; ADR-015 — Supabase PostgreSQL Schema and Row Level Security; ADR-023 — Testing, Observability, Diagnostics, and Quality Strategy</x:v>
      </x:c>
      <x:c r="I450" s="40" t="str">
        <x:v>AC-W-010</x:v>
      </x:c>
      <x:c r="J450" s="40" t="str">
        <x:v>Yes</x:v>
      </x:c>
      <x:c r="K450" s="40" t="str">
        <x:v>V1</x:v>
      </x:c>
      <x:c r="L450" s="40" t="str">
        <x:v>Database test / Integration test / RLS test</x:v>
      </x:c>
      <x:c r="M450" s="40"/>
      <x:c r="N450" s="40"/>
      <x:c r="O450" s="40" t="str">
        <x:v>VS-01</x:v>
      </x:c>
      <x:c r="P450" s="40" t="str">
        <x:v>Not Started</x:v>
      </x:c>
      <x:c r="Q450" s="40"/>
    </x:row>
    <x:row r="451">
      <x:c r="A451" s="40" t="str">
        <x:v>VS-02</x:v>
      </x:c>
      <x:c r="B451" s="40" t="n">
        <x:v>2</x:v>
      </x:c>
      <x:c r="C451" s="40" t="str">
        <x:v>Wave 1 — Foundation</x:v>
      </x:c>
      <x:c r="D451" s="40" t="str">
        <x:v>W. Privacy Lock, Permissions, and Privacy Center</x:v>
      </x:c>
      <x:c r="E451" s="40" t="str">
        <x:v>FR-W-011</x:v>
      </x:c>
      <x:c r="F451" s="40" t="str">
        <x:v>Authentication tokens shall use secure device storage and shall not be stored in Drift or portable backups.</x:v>
      </x:c>
      <x:c r="G451" s="40" t="str">
        <x:v>BR-W-007, BR-W-011, BR-W-013</x:v>
      </x:c>
      <x:c r="H451" s="40" t="str">
        <x:v>ADR-017 — Local Backup, Export, Restore, and Disaster Recovery; ADR-021 — Security, Privacy, Permissions, and Sensitive Data</x:v>
      </x:c>
      <x:c r="I451" s="40" t="str">
        <x:v>AC-W-011</x:v>
      </x:c>
      <x:c r="J451" s="40" t="str">
        <x:v>Yes</x:v>
      </x:c>
      <x:c r="K451" s="40" t="str">
        <x:v>V1</x:v>
      </x:c>
      <x:c r="L451" s="40" t="str">
        <x:v>Database test</x:v>
      </x:c>
      <x:c r="M451" s="40" t="str">
        <x:v>OPD-5-010</x:v>
      </x:c>
      <x:c r="N451" s="40" t="str">
        <x:v>OPD-5-010: Use OS biometric authentication when available, with OS device credential as the V1 fallback. Do not implement or store a separate app PIN in V1.</x:v>
      </x:c>
      <x:c r="O451" s="40" t="str">
        <x:v>VS-01</x:v>
      </x:c>
      <x:c r="P451" s="40" t="str">
        <x:v>Not Started</x:v>
      </x:c>
      <x:c r="Q451" s="40"/>
    </x:row>
    <x:row r="452">
      <x:c r="A452" s="40" t="str">
        <x:v>VS-02</x:v>
      </x:c>
      <x:c r="B452" s="40" t="n">
        <x:v>2</x:v>
      </x:c>
      <x:c r="C452" s="40" t="str">
        <x:v>Wave 1 — Foundation</x:v>
      </x:c>
      <x:c r="D452" s="40" t="str">
        <x:v>W. Privacy Lock, Permissions, and Privacy Center</x:v>
      </x:c>
      <x:c r="E452" s="40" t="str">
        <x:v>FR-W-012</x:v>
      </x:c>
      <x:c r="F452" s="40" t="str">
        <x:v>Private records and sensitive field values shall be excluded from logs and analytics.</x:v>
      </x:c>
      <x:c r="G452" s="40" t="str">
        <x:v>BR-W-008, BR-W-009, BR-W-012</x:v>
      </x:c>
      <x:c r="H452" s="40" t="str">
        <x:v>ADR-021 — Security, Privacy, Permissions, and Sensitive Data</x:v>
      </x:c>
      <x:c r="I452" s="40" t="str">
        <x:v>AC-W-012</x:v>
      </x:c>
      <x:c r="J452" s="40" t="str">
        <x:v>No</x:v>
      </x:c>
      <x:c r="K452" s="40" t="str">
        <x:v>V1</x:v>
      </x:c>
      <x:c r="L452" s="40" t="str">
        <x:v>Domain test</x:v>
      </x:c>
      <x:c r="M452" s="40" t="str">
        <x:v>OPD-5-013</x:v>
      </x:c>
      <x:c r="N452" s="40" t="str">
        <x:v>OPD-5-013: No private payload analytics; only aggregate operational events when approved.</x:v>
      </x:c>
      <x:c r="O452" s="40" t="str">
        <x:v>VS-01</x:v>
      </x:c>
      <x:c r="P452" s="40" t="str">
        <x:v>Not Started</x:v>
      </x:c>
      <x:c r="Q452" s="40"/>
    </x:row>
    <x:row r="453">
      <x:c r="A453" s="40" t="str">
        <x:v>VS-02</x:v>
      </x:c>
      <x:c r="B453" s="40" t="n">
        <x:v>2</x:v>
      </x:c>
      <x:c r="C453" s="40" t="str">
        <x:v>Wave 1 — Foundation</x:v>
      </x:c>
      <x:c r="D453" s="40" t="str">
        <x:v>W. Privacy Lock, Permissions, and Privacy Center</x:v>
      </x:c>
      <x:c r="E453" s="40" t="str">
        <x:v>FR-W-013</x:v>
      </x:c>
      <x:c r="F453" s="40" t="str">
        <x:v>Private reflections shall default to Extra Private or local-only behavior according to the approved privacy model.</x:v>
      </x:c>
      <x:c r="G453" s="40" t="str">
        <x:v>BR-W-009, BR-W-010, BR-W-013</x:v>
      </x:c>
      <x:c r="H453" s="40" t="str">
        <x:v>ADR-021 — Security, Privacy, Permissions, and Sensitive Data</x:v>
      </x:c>
      <x:c r="I453" s="40" t="str">
        <x:v>AC-W-013</x:v>
      </x:c>
      <x:c r="J453" s="40" t="str">
        <x:v>Yes</x:v>
      </x:c>
      <x:c r="K453" s="40" t="str">
        <x:v>V1</x:v>
      </x:c>
      <x:c r="L453" s="40" t="str">
        <x:v>Domain test</x:v>
      </x:c>
      <x:c r="M453" s="40" t="str">
        <x:v>OPD-5-011, OPD-5-013, OPD-3-002</x:v>
      </x:c>
      <x:c r="N453" s="40" t="str">
        <x:v>OPD-5-011: Private reflections are Extra Private and local-only by default. They may enter cloud synchronization only after a future explicit per-category opt-in exists; until then they remain local-only. | OPD-5-013: No private payload analytics; only aggregate operational events when approved. | OPD-3-002: Private reflections are Extra Private and local-only by default. They may enter cloud synchronization only after a future explicit per-category opt-in exists; until then they remain local-only.</x:v>
      </x:c>
      <x:c r="O453" s="40" t="str">
        <x:v>VS-01</x:v>
      </x:c>
      <x:c r="P453" s="40" t="str">
        <x:v>Not Started</x:v>
      </x:c>
      <x:c r="Q453" s="40"/>
    </x:row>
    <x:row r="454">
      <x:c r="A454" s="40" t="str">
        <x:v>VS-02</x:v>
      </x:c>
      <x:c r="B454" s="40" t="n">
        <x:v>2</x:v>
      </x:c>
      <x:c r="C454" s="40" t="str">
        <x:v>Wave 1 — Foundation</x:v>
      </x:c>
      <x:c r="D454" s="40" t="str">
        <x:v>W. Privacy Lock, Permissions, and Privacy Center</x:v>
      </x:c>
      <x:c r="E454" s="40" t="str">
        <x:v>FR-W-014</x:v>
      </x:c>
      <x:c r="F454" s="40" t="str">
        <x:v>Covenant Path records shall not be shared automatically with leaders, family, or mentors.</x:v>
      </x:c>
      <x:c r="G454" s="40" t="str">
        <x:v>BR-W-001</x:v>
      </x:c>
      <x:c r="H454" s="40" t="str">
        <x:v>ADR-021 — Security, Privacy, Permissions, and Sensitive Data; ADR-003 — Private Single-User Data Model</x:v>
      </x:c>
      <x:c r="I454" s="40" t="str">
        <x:v>AC-W-014</x:v>
      </x:c>
      <x:c r="J454" s="40" t="str">
        <x:v>Yes</x:v>
      </x:c>
      <x:c r="K454" s="40" t="str">
        <x:v>V1</x:v>
      </x:c>
      <x:c r="L454" s="40" t="str">
        <x:v>Domain test</x:v>
      </x:c>
      <x:c r="M454" s="40"/>
      <x:c r="N454" s="40"/>
      <x:c r="O454" s="40" t="str">
        <x:v>VS-01</x:v>
      </x:c>
      <x:c r="P454" s="40" t="str">
        <x:v>Not Started</x:v>
      </x:c>
      <x:c r="Q454" s="40"/>
    </x:row>
    <x:row r="455">
      <x:c r="A455" s="40" t="str">
        <x:v>VS-02</x:v>
      </x:c>
      <x:c r="B455" s="40" t="n">
        <x:v>2</x:v>
      </x:c>
      <x:c r="C455" s="40" t="str">
        <x:v>Wave 1 — Foundation</x:v>
      </x:c>
      <x:c r="D455" s="40" t="str">
        <x:v>W. Privacy Lock, Permissions, and Privacy Center</x:v>
      </x:c>
      <x:c r="E455" s="40" t="str">
        <x:v>FR-W-015</x:v>
      </x:c>
      <x:c r="F455" s="40" t="str">
        <x:v>not claim end-to-end encryption or a fully encrypted local database unless implemented and verified.</x:v>
      </x:c>
      <x:c r="G455" s="40" t="str">
        <x:v>BR-W-006, BR-W-009</x:v>
      </x:c>
      <x:c r="H455" s="40" t="str">
        <x:v>ADR-021 — Security, Privacy, Permissions, and Sensitive Data</x:v>
      </x:c>
      <x:c r="I455" s="40" t="str">
        <x:v>AC-W-015</x:v>
      </x:c>
      <x:c r="J455" s="40" t="str">
        <x:v>Yes</x:v>
      </x:c>
      <x:c r="K455" s="40" t="str">
        <x:v>V1</x:v>
      </x:c>
      <x:c r="L455" s="40" t="str">
        <x:v>Database test / Manual review</x:v>
      </x:c>
      <x:c r="M455" s="40" t="str">
        <x:v>OPD-5-014</x:v>
      </x:c>
      <x:c r="N455" s="40" t="str">
        <x:v>OPD-5-014: State only protections actually implemented and verified.</x:v>
      </x:c>
      <x:c r="O455" s="40" t="str">
        <x:v>VS-01</x:v>
      </x:c>
      <x:c r="P455" s="40" t="str">
        <x:v>Not Started</x:v>
      </x:c>
      <x:c r="Q455" s="40"/>
    </x:row>
    <x:row r="456">
      <x:c r="A456" s="40" t="str">
        <x:v>VS-02</x:v>
      </x:c>
      <x:c r="B456" s="40" t="n">
        <x:v>2</x:v>
      </x:c>
      <x:c r="C456" s="40" t="str">
        <x:v>Wave 1 — Foundation</x:v>
      </x:c>
      <x:c r="D456" s="40" t="str">
        <x:v>W. Privacy Lock, Permissions, and Privacy Center</x:v>
      </x:c>
      <x:c r="E456" s="40" t="str">
        <x:v>FR-W-016</x:v>
      </x:c>
      <x:c r="F456" s="40" t="str">
        <x:v>File selection shall use scoped system pickers rather than broad storage permission.</x:v>
      </x:c>
      <x:c r="G456" s="40" t="str">
        <x:v>BR-W-007, BR-W-011</x:v>
      </x:c>
      <x:c r="H456" s="40" t="str">
        <x:v>ADR-021 — Security, Privacy, Permissions, and Sensitive Data</x:v>
      </x:c>
      <x:c r="I456" s="40" t="str">
        <x:v>AC-W-016</x:v>
      </x:c>
      <x:c r="J456" s="40" t="str">
        <x:v>Yes</x:v>
      </x:c>
      <x:c r="K456" s="40" t="str">
        <x:v>V1</x:v>
      </x:c>
      <x:c r="L456" s="40" t="str">
        <x:v>Widget test</x:v>
      </x:c>
      <x:c r="M456" s="40"/>
      <x:c r="N456" s="40"/>
      <x:c r="O456" s="40" t="str">
        <x:v>VS-01</x:v>
      </x:c>
      <x:c r="P456" s="40" t="str">
        <x:v>Not Started</x:v>
      </x:c>
      <x:c r="Q456" s="40"/>
    </x:row>
    <x:row r="457">
      <x:c r="A457" s="40" t="str">
        <x:v>VS-02</x:v>
      </x:c>
      <x:c r="B457" s="40" t="n">
        <x:v>2</x:v>
      </x:c>
      <x:c r="C457" s="40" t="str">
        <x:v>Wave 1 — Foundation</x:v>
      </x:c>
      <x:c r="D457" s="40" t="str">
        <x:v>W. Privacy Lock, Permissions, and Privacy Center</x:v>
      </x:c>
      <x:c r="E457" s="40" t="str">
        <x:v>FR-W-017</x:v>
      </x:c>
      <x:c r="F457" s="40" t="str">
        <x:v>Background location permission shall not be included in V1.</x:v>
      </x:c>
      <x:c r="G457" s="40" t="str">
        <x:v>BR-W-011, BR-W-012</x:v>
      </x:c>
      <x:c r="H457" s="40" t="str">
        <x:v>ADR-021 — Security, Privacy, Permissions, and Sensitive Data</x:v>
      </x:c>
      <x:c r="I457" s="40" t="str">
        <x:v>AC-W-017</x:v>
      </x:c>
      <x:c r="J457" s="40" t="str">
        <x:v>Yes</x:v>
      </x:c>
      <x:c r="K457" s="40" t="str">
        <x:v>V1</x:v>
      </x:c>
      <x:c r="L457" s="40" t="str">
        <x:v>Widget test / Integration test</x:v>
      </x:c>
      <x:c r="M457" s="40"/>
      <x:c r="N457" s="40"/>
      <x:c r="O457" s="40" t="str">
        <x:v>VS-01</x:v>
      </x:c>
      <x:c r="P457" s="40" t="str">
        <x:v>Not Started</x:v>
      </x:c>
      <x:c r="Q457" s="40"/>
    </x:row>
    <x:row r="458">
      <x:c r="A458" s="40" t="str">
        <x:v>VS-02</x:v>
      </x:c>
      <x:c r="B458" s="40" t="n">
        <x:v>2</x:v>
      </x:c>
      <x:c r="C458" s="40" t="str">
        <x:v>Wave 1 — Foundation</x:v>
      </x:c>
      <x:c r="D458" s="40" t="str">
        <x:v>W. Privacy Lock, Permissions, and Privacy Center</x:v>
      </x:c>
      <x:c r="E458" s="40" t="str">
        <x:v>FR-W-018</x:v>
      </x:c>
      <x:c r="F458" s="40" t="str">
        <x:v>be able to review the current status and purpose of every optional permission.</x:v>
      </x:c>
      <x:c r="G458" s="40" t="str">
        <x:v>BR-W-001, BR-W-011</x:v>
      </x:c>
      <x:c r="H458" s="40" t="str">
        <x:v>ADR-021 — Security, Privacy, Permissions, and Sensitive Data</x:v>
      </x:c>
      <x:c r="I458" s="40" t="str">
        <x:v>AC-W-018</x:v>
      </x:c>
      <x:c r="J458" s="40" t="str">
        <x:v>Yes</x:v>
      </x:c>
      <x:c r="K458" s="40" t="str">
        <x:v>V1</x:v>
      </x:c>
      <x:c r="L458" s="40" t="str">
        <x:v>Domain test / Widget test</x:v>
      </x:c>
      <x:c r="M458" s="40"/>
      <x:c r="N458" s="40"/>
      <x:c r="O458" s="40" t="str">
        <x:v>VS-01</x:v>
      </x:c>
      <x:c r="P458" s="40" t="str">
        <x:v>Not Started</x:v>
      </x:c>
      <x:c r="Q458" s="40"/>
    </x:row>
    <x:row r="459">
      <x:c r="A459" s="40" t="str">
        <x:v>VS-02</x:v>
      </x:c>
      <x:c r="B459" s="40" t="n">
        <x:v>2</x:v>
      </x:c>
      <x:c r="C459" s="40" t="str">
        <x:v>Wave 1 — Foundation</x:v>
      </x:c>
      <x:c r="D459" s="40" t="str">
        <x:v>W. Privacy Lock, Permissions, and Privacy Center</x:v>
      </x:c>
      <x:c r="E459" s="40" t="str">
        <x:v>FR-W-019</x:v>
      </x:c>
      <x:c r="F459" s="40" t="str">
        <x:v>be able to revoke or open system settings for optional permissions without losing internal records.</x:v>
      </x:c>
      <x:c r="G459" s="40" t="str">
        <x:v>BR-W-001, BR-W-003, BR-W-011</x:v>
      </x:c>
      <x:c r="H459" s="40" t="str">
        <x:v>ADR-021 — Security, Privacy, Permissions, and Sensitive Data</x:v>
      </x:c>
      <x:c r="I459" s="40" t="str">
        <x:v>AC-W-019</x:v>
      </x:c>
      <x:c r="J459" s="40" t="str">
        <x:v>Yes</x:v>
      </x:c>
      <x:c r="K459" s="40" t="str">
        <x:v>V1</x:v>
      </x:c>
      <x:c r="L459" s="40" t="str">
        <x:v>Widget test</x:v>
      </x:c>
      <x:c r="M459" s="40"/>
      <x:c r="N459" s="40"/>
      <x:c r="O459" s="40" t="str">
        <x:v>VS-01</x:v>
      </x:c>
      <x:c r="P459" s="40" t="str">
        <x:v>Not Started</x:v>
      </x:c>
      <x:c r="Q459" s="40"/>
    </x:row>
    <x:row r="460">
      <x:c r="A460" s="40" t="str">
        <x:v>VS-02</x:v>
      </x:c>
      <x:c r="B460" s="40" t="n">
        <x:v>2</x:v>
      </x:c>
      <x:c r="C460" s="40" t="str">
        <x:v>Wave 1 — Foundation</x:v>
      </x:c>
      <x:c r="D460" s="40" t="str">
        <x:v>W. Privacy Lock, Permissions, and Privacy Center</x:v>
      </x:c>
      <x:c r="E460" s="40" t="str">
        <x:v>FR-W-020</x:v>
      </x:c>
      <x:c r="F460" s="40" t="str">
        <x:v>Privacy Lock and account authentication shall remain separate protections.</x:v>
      </x:c>
      <x:c r="G460" s="40" t="str">
        <x:v>BR-W-003, BR-W-004, BR-W-013</x:v>
      </x:c>
      <x:c r="H460" s="40" t="str">
        <x:v>ADR-021 — Security, Privacy, Permissions, and Sensitive Data</x:v>
      </x:c>
      <x:c r="I460" s="40" t="str">
        <x:v>AC-W-020</x:v>
      </x:c>
      <x:c r="J460" s="40" t="str">
        <x:v>Yes</x:v>
      </x:c>
      <x:c r="K460" s="40" t="str">
        <x:v>V1</x:v>
      </x:c>
      <x:c r="L460" s="40" t="str">
        <x:v>Domain test</x:v>
      </x:c>
      <x:c r="M460" s="40" t="str">
        <x:v>OPD-5-010, OPD-1-002</x:v>
      </x:c>
      <x:c r="N460" s="40" t="str">
        <x:v>OPD-5-010: Use OS biometric authentication when available, with OS device credential as the V1 fallback. Do not implement or store a separate app PIN in V1. | OPD-1-002: Use OS biometric authentication when available and OS device credential as the V1 fallback. Do not implement or store a separate app PIN in V1.</x:v>
      </x:c>
      <x:c r="O460" s="40" t="str">
        <x:v>VS-01</x:v>
      </x:c>
      <x:c r="P460" s="40" t="str">
        <x:v>Not Started</x:v>
      </x:c>
      <x:c r="Q460" s="40"/>
    </x:row>
    <x:row r="461">
      <x:c r="A461" s="40" t="str">
        <x:v>VS-02</x:v>
      </x:c>
      <x:c r="B461" s="40" t="n">
        <x:v>2</x:v>
      </x:c>
      <x:c r="C461" s="40" t="str">
        <x:v>Wave 1 — Foundation</x:v>
      </x:c>
      <x:c r="D461" s="40" t="str">
        <x:v>W. Privacy Lock, Permissions, and Privacy Center</x:v>
      </x:c>
      <x:c r="E461" s="40" t="str">
        <x:v>FR-W-021</x:v>
      </x:c>
      <x:c r="F461" s="40" t="str">
        <x:v>Destructive privacy and deletion actions shall explain the difference between local data, synchronized data, backups, and source files.</x:v>
      </x:c>
      <x:c r="G461" s="40" t="str">
        <x:v>BR-W-003, BR-W-004, BR-W-006</x:v>
      </x:c>
      <x:c r="H461" s="40" t="str">
        <x:v>ADR-017 — Local Backup, Export, Restore, and Disaster Recovery; ADR-021 — Security, Privacy, Permissions, and Sensitive Data</x:v>
      </x:c>
      <x:c r="I461" s="40" t="str">
        <x:v>AC-W-021</x:v>
      </x:c>
      <x:c r="J461" s="40" t="str">
        <x:v>Yes</x:v>
      </x:c>
      <x:c r="K461" s="40" t="str">
        <x:v>V1</x:v>
      </x:c>
      <x:c r="L461" s="40" t="str">
        <x:v>Database test / Integration test</x:v>
      </x:c>
      <x:c r="M461" s="40"/>
      <x:c r="N461" s="40"/>
      <x:c r="O461" s="40" t="str">
        <x:v>VS-01</x:v>
      </x:c>
      <x:c r="P461" s="40" t="str">
        <x:v>Not Started</x:v>
      </x:c>
      <x:c r="Q461" s="40"/>
    </x:row>
    <x:row r="462">
      <x:c r="A462" s="40" t="str">
        <x:v>VS-02</x:v>
      </x:c>
      <x:c r="B462" s="40" t="n">
        <x:v>2</x:v>
      </x:c>
      <x:c r="C462" s="40" t="str">
        <x:v>Wave 1 — Foundation</x:v>
      </x:c>
      <x:c r="D462" s="40" t="str">
        <x:v>W. Privacy Lock, Permissions, and Privacy Center</x:v>
      </x:c>
      <x:c r="E462" s="40" t="str">
        <x:v>FR-W-022</x:v>
      </x:c>
      <x:c r="F462" s="40" t="str">
        <x:v>Privacy-safe diagnostics shall require explicit user review before exporting any optional detailed information.</x:v>
      </x:c>
      <x:c r="G462" s="40" t="str">
        <x:v>BR-W-006, BR-W-010, BR-W-013</x:v>
      </x:c>
      <x:c r="H462" s="40" t="str">
        <x:v>ADR-021 — Security, Privacy, Permissions, and Sensitive Data; ADR-023 — Testing, Observability, Diagnostics, and Quality Strategy</x:v>
      </x:c>
      <x:c r="I462" s="40" t="str">
        <x:v>AC-W-022</x:v>
      </x:c>
      <x:c r="J462" s="40" t="str">
        <x:v>Yes</x:v>
      </x:c>
      <x:c r="K462" s="40" t="str">
        <x:v>V1</x:v>
      </x:c>
      <x:c r="L462" s="40" t="str">
        <x:v>Integration test</x:v>
      </x:c>
      <x:c r="M462" s="40"/>
      <x:c r="N462" s="40"/>
      <x:c r="O462" s="40" t="str">
        <x:v>VS-01</x:v>
      </x:c>
      <x:c r="P462" s="40" t="str">
        <x:v>Not Started</x:v>
      </x:c>
      <x:c r="Q462" s="40"/>
    </x:row>
    <x:row r="463">
      <x:c r="A463" s="40" t="str">
        <x:v>VS-19</x:v>
      </x:c>
      <x:c r="B463" s="40" t="n">
        <x:v>19</x:v>
      </x:c>
      <x:c r="C463" s="40" t="str">
        <x:v>Wave 4 — Device Services and Reliability</x:v>
      </x:c>
      <x:c r="D463" s="40" t="str">
        <x:v>X. Settings, Account and Sync Center, and More Screen</x:v>
      </x:c>
      <x:c r="E463" s="40" t="str">
        <x:v>FR-X-001</x:v>
      </x:c>
      <x:c r="F463" s="40" t="str">
        <x:v>More shall remain the fifth permanent bottom-navigation destination.</x:v>
      </x:c>
      <x:c r="G463" s="40" t="str">
        <x:v>BR-X-001, BR-X-011, BR-X-012</x:v>
      </x:c>
      <x:c r="H463" s="40" t="str">
        <x:v>ADR-024 — V1 Scope, Vertical Slices, Roadmap, and Release Plan; ADR-025 — Final Architecture Baseline and Implementation Contract</x:v>
      </x:c>
      <x:c r="I463" s="40" t="str">
        <x:v>AC-X-001</x:v>
      </x:c>
      <x:c r="J463" s="40" t="str">
        <x:v>Yes</x:v>
      </x:c>
      <x:c r="K463" s="40" t="str">
        <x:v>V1</x:v>
      </x:c>
      <x:c r="L463" s="40" t="str">
        <x:v>Widget test</x:v>
      </x:c>
      <x:c r="M463" s="40"/>
      <x:c r="N463" s="40"/>
      <x:c r="O463" s="40" t="str">
        <x:v>VS-01 through VS-18</x:v>
      </x:c>
      <x:c r="P463" s="40" t="str">
        <x:v>Not Started</x:v>
      </x:c>
      <x:c r="Q463" s="40"/>
    </x:row>
    <x:row r="464">
      <x:c r="A464" s="40" t="str">
        <x:v>VS-19</x:v>
      </x:c>
      <x:c r="B464" s="40" t="n">
        <x:v>19</x:v>
      </x:c>
      <x:c r="C464" s="40" t="str">
        <x:v>Wave 4 — Device Services and Reliability</x:v>
      </x:c>
      <x:c r="D464" s="40" t="str">
        <x:v>X. Settings, Account and Sync Center, and More Screen</x:v>
      </x:c>
      <x:c r="E464" s="40" t="str">
        <x:v>FR-X-002</x:v>
      </x:c>
      <x:c r="F464" s="40" t="str">
        <x:v>The More Screen shall provide a clear Account and Sync entry point.</x:v>
      </x:c>
      <x:c r="G464" s="40" t="str">
        <x:v>BR-X-002, BR-X-010, BR-X-013</x:v>
      </x:c>
      <x:c r="H464" s="40" t="str">
        <x:v>ADR-025 — Final Architecture Baseline and Implementation Contract</x:v>
      </x:c>
      <x:c r="I464" s="40" t="str">
        <x:v>AC-X-002</x:v>
      </x:c>
      <x:c r="J464" s="40" t="str">
        <x:v>Yes</x:v>
      </x:c>
      <x:c r="K464" s="40" t="str">
        <x:v>V1</x:v>
      </x:c>
      <x:c r="L464" s="40" t="str">
        <x:v>Widget test / Integration test</x:v>
      </x:c>
      <x:c r="M464" s="40"/>
      <x:c r="N464" s="40"/>
      <x:c r="O464" s="40" t="str">
        <x:v>VS-01 through VS-18</x:v>
      </x:c>
      <x:c r="P464" s="40" t="str">
        <x:v>Not Started</x:v>
      </x:c>
      <x:c r="Q464" s="40"/>
    </x:row>
    <x:row r="465">
      <x:c r="A465" s="40" t="str">
        <x:v>VS-19</x:v>
      </x:c>
      <x:c r="B465" s="40" t="n">
        <x:v>19</x:v>
      </x:c>
      <x:c r="C465" s="40" t="str">
        <x:v>Wave 4 — Device Services and Reliability</x:v>
      </x:c>
      <x:c r="D465" s="40" t="str">
        <x:v>X. Settings, Account and Sync Center, and More Screen</x:v>
      </x:c>
      <x:c r="E465" s="40" t="str">
        <x:v>FR-X-003</x:v>
      </x:c>
      <x:c r="F465" s="40" t="str">
        <x:v>The More Screen shall provide a clear Sync Center entry point.</x:v>
      </x:c>
      <x:c r="G465" s="40" t="str">
        <x:v>BR-X-002, BR-X-007, BR-X-013</x:v>
      </x:c>
      <x:c r="H465" s="40" t="str">
        <x:v>ADR-025 — Final Architecture Baseline and Implementation Contract</x:v>
      </x:c>
      <x:c r="I465" s="40" t="str">
        <x:v>AC-X-003</x:v>
      </x:c>
      <x:c r="J465" s="40" t="str">
        <x:v>Yes</x:v>
      </x:c>
      <x:c r="K465" s="40" t="str">
        <x:v>V1</x:v>
      </x:c>
      <x:c r="L465" s="40" t="str">
        <x:v>Widget test / Integration test</x:v>
      </x:c>
      <x:c r="M465" s="40"/>
      <x:c r="N465" s="40"/>
      <x:c r="O465" s="40" t="str">
        <x:v>VS-01 through VS-18</x:v>
      </x:c>
      <x:c r="P465" s="40" t="str">
        <x:v>Not Started</x:v>
      </x:c>
      <x:c r="Q465" s="40"/>
    </x:row>
    <x:row r="466">
      <x:c r="A466" s="40" t="str">
        <x:v>VS-19</x:v>
      </x:c>
      <x:c r="B466" s="40" t="n">
        <x:v>19</x:v>
      </x:c>
      <x:c r="C466" s="40" t="str">
        <x:v>Wave 4 — Device Services and Reliability</x:v>
      </x:c>
      <x:c r="D466" s="40" t="str">
        <x:v>X. Settings, Account and Sync Center, and More Screen</x:v>
      </x:c>
      <x:c r="E466" s="40" t="str">
        <x:v>FR-X-004</x:v>
      </x:c>
      <x:c r="F466" s="40" t="str">
        <x:v>The More Screen shall provide clear Import and Export and Backup and Recovery entry points.</x:v>
      </x:c>
      <x:c r="G466" s="40" t="str">
        <x:v>BR-X-002, BR-X-010, BR-X-013</x:v>
      </x:c>
      <x:c r="H466" s="40" t="str">
        <x:v>ADR-017 — Local Backup, Export, Restore, and Disaster Recovery; ADR-025 — Final Architecture Baseline and Implementation Contract</x:v>
      </x:c>
      <x:c r="I466" s="40" t="str">
        <x:v>AC-X-004</x:v>
      </x:c>
      <x:c r="J466" s="40" t="str">
        <x:v>Yes</x:v>
      </x:c>
      <x:c r="K466" s="40" t="str">
        <x:v>V1</x:v>
      </x:c>
      <x:c r="L466" s="40" t="str">
        <x:v>Database test / Widget test / Integration test</x:v>
      </x:c>
      <x:c r="M466" s="40"/>
      <x:c r="N466" s="40"/>
      <x:c r="O466" s="40" t="str">
        <x:v>VS-01 through VS-18</x:v>
      </x:c>
      <x:c r="P466" s="40" t="str">
        <x:v>Not Started</x:v>
      </x:c>
      <x:c r="Q466" s="40"/>
    </x:row>
    <x:row r="467">
      <x:c r="A467" s="40" t="str">
        <x:v>VS-19</x:v>
      </x:c>
      <x:c r="B467" s="40" t="n">
        <x:v>19</x:v>
      </x:c>
      <x:c r="C467" s="40" t="str">
        <x:v>Wave 4 — Device Services and Reliability</x:v>
      </x:c>
      <x:c r="D467" s="40" t="str">
        <x:v>X. Settings, Account and Sync Center, and More Screen</x:v>
      </x:c>
      <x:c r="E467" s="40" t="str">
        <x:v>FR-X-005</x:v>
      </x:c>
      <x:c r="F467" s="40" t="str">
        <x:v>The More Screen shall provide clear Notifications and Calendar and Philippine Content and Content Updates entry points.</x:v>
      </x:c>
      <x:c r="G467" s="40" t="str">
        <x:v>BR-X-002, BR-X-010, BR-X-013</x:v>
      </x:c>
      <x:c r="H467" s="40" t="str">
        <x:v>ADR-022 — Notifications, Background Work, and Calendar Integration; ADR-019 — Philippine Content Packs and Official Source Governance; ADR-025 — Final Architecture Baseline and Implementation Contract</x:v>
      </x:c>
      <x:c r="I467" s="40" t="str">
        <x:v>AC-X-005</x:v>
      </x:c>
      <x:c r="J467" s="40" t="str">
        <x:v>Yes</x:v>
      </x:c>
      <x:c r="K467" s="40" t="str">
        <x:v>V1</x:v>
      </x:c>
      <x:c r="L467" s="40" t="str">
        <x:v>Widget test / Integration test</x:v>
      </x:c>
      <x:c r="M467" s="40"/>
      <x:c r="N467" s="40"/>
      <x:c r="O467" s="40" t="str">
        <x:v>VS-01 through VS-18</x:v>
      </x:c>
      <x:c r="P467" s="40" t="str">
        <x:v>Not Started</x:v>
      </x:c>
      <x:c r="Q467" s="40"/>
    </x:row>
    <x:row r="468">
      <x:c r="A468" s="40" t="str">
        <x:v>VS-19</x:v>
      </x:c>
      <x:c r="B468" s="40" t="n">
        <x:v>19</x:v>
      </x:c>
      <x:c r="C468" s="40" t="str">
        <x:v>Wave 4 — Device Services and Reliability</x:v>
      </x:c>
      <x:c r="D468" s="40" t="str">
        <x:v>X. Settings, Account and Sync Center, and More Screen</x:v>
      </x:c>
      <x:c r="E468" s="40" t="str">
        <x:v>FR-X-006</x:v>
      </x:c>
      <x:c r="F468" s="40" t="str">
        <x:v>The More Screen shall provide clear Privacy and Data, Permissions, Appearance and Language, and Help, About, and Legal entry points.</x:v>
      </x:c>
      <x:c r="G468" s="40" t="str">
        <x:v>BR-X-002, BR-X-010, BR-X-013</x:v>
      </x:c>
      <x:c r="H468" s="40" t="str">
        <x:v>ADR-021 — Security, Privacy, Permissions, and Sensitive Data; ADR-025 — Final Architecture Baseline and Implementation Contract</x:v>
      </x:c>
      <x:c r="I468" s="40" t="str">
        <x:v>AC-X-006</x:v>
      </x:c>
      <x:c r="J468" s="40" t="str">
        <x:v>Yes</x:v>
      </x:c>
      <x:c r="K468" s="40" t="str">
        <x:v>V1</x:v>
      </x:c>
      <x:c r="L468" s="40" t="str">
        <x:v>Widget test / Manual review</x:v>
      </x:c>
      <x:c r="M468" s="40" t="str">
        <x:v>OPD-5-015</x:v>
      </x:c>
      <x:c r="N468" s="40" t="str">
        <x:v>OPD-5-015: Keep notification channels, permissions, privacy-lock timeout, and local appearance overrides device-specific.</x:v>
      </x:c>
      <x:c r="O468" s="40" t="str">
        <x:v>VS-01 through VS-18</x:v>
      </x:c>
      <x:c r="P468" s="40" t="str">
        <x:v>Not Started</x:v>
      </x:c>
      <x:c r="Q468" s="40"/>
    </x:row>
    <x:row r="469">
      <x:c r="A469" s="40" t="str">
        <x:v>VS-19</x:v>
      </x:c>
      <x:c r="B469" s="40" t="n">
        <x:v>19</x:v>
      </x:c>
      <x:c r="C469" s="40" t="str">
        <x:v>Wave 4 — Device Services and Reliability</x:v>
      </x:c>
      <x:c r="D469" s="40" t="str">
        <x:v>X. Settings, Account and Sync Center, and More Screen</x:v>
      </x:c>
      <x:c r="E469" s="40" t="str">
        <x:v>FR-X-007</x:v>
      </x:c>
      <x:c r="F469" s="40" t="str">
        <x:v>Account creation shall remain optional throughout More and Account workflows.</x:v>
      </x:c>
      <x:c r="G469" s="40" t="str">
        <x:v>BR-X-003, BR-X-005, BR-X-012</x:v>
      </x:c>
      <x:c r="H469" s="40" t="str">
        <x:v>ADR-002 — Guest-First Identity and Optional Accounts; ADR-025 — Final Architecture Baseline and Implementation Contract</x:v>
      </x:c>
      <x:c r="I469" s="40" t="str">
        <x:v>AC-X-007</x:v>
      </x:c>
      <x:c r="J469" s="40" t="str">
        <x:v>Yes</x:v>
      </x:c>
      <x:c r="K469" s="40" t="str">
        <x:v>V1</x:v>
      </x:c>
      <x:c r="L469" s="40" t="str">
        <x:v>Domain test</x:v>
      </x:c>
      <x:c r="M469" s="40"/>
      <x:c r="N469" s="40"/>
      <x:c r="O469" s="40" t="str">
        <x:v>VS-01 through VS-18</x:v>
      </x:c>
      <x:c r="P469" s="40" t="str">
        <x:v>Not Started</x:v>
      </x:c>
      <x:c r="Q469" s="40"/>
    </x:row>
    <x:row r="470">
      <x:c r="A470" s="40" t="str">
        <x:v>VS-19</x:v>
      </x:c>
      <x:c r="B470" s="40" t="n">
        <x:v>19</x:v>
      </x:c>
      <x:c r="C470" s="40" t="str">
        <x:v>Wave 4 — Device Services and Reliability</x:v>
      </x:c>
      <x:c r="D470" s="40" t="str">
        <x:v>X. Settings, Account and Sync Center, and More Screen</x:v>
      </x:c>
      <x:c r="E470" s="40" t="str">
        <x:v>FR-X-008</x:v>
      </x:c>
      <x:c r="F470" s="40" t="str">
        <x:v>Ordinary sign-out shall preserve the Local Profile, local records, and pending synchronization operations.</x:v>
      </x:c>
      <x:c r="G470" s="40" t="str">
        <x:v>BR-X-004, BR-X-008, BR-X-009</x:v>
      </x:c>
      <x:c r="H470" s="40" t="str">
        <x:v>ADR-016 — Offline Outbox Synchronization and Conflict Resolution; ADR-025 — Final Architecture Baseline and Implementation Contract</x:v>
      </x:c>
      <x:c r="I470" s="40" t="str">
        <x:v>AC-X-008</x:v>
      </x:c>
      <x:c r="J470" s="40" t="str">
        <x:v>Yes</x:v>
      </x:c>
      <x:c r="K470" s="40" t="str">
        <x:v>V1</x:v>
      </x:c>
      <x:c r="L470" s="40" t="str">
        <x:v>Database test / Integration test</x:v>
      </x:c>
      <x:c r="M470" s="40" t="str">
        <x:v>OPD-5-018</x:v>
      </x:c>
      <x:c r="N470" s="40" t="str">
        <x:v>OPD-5-018: Require backup guidance and separate handling of local-only records.</x:v>
      </x:c>
      <x:c r="O470" s="40" t="str">
        <x:v>VS-01 through VS-18</x:v>
      </x:c>
      <x:c r="P470" s="40" t="str">
        <x:v>Not Started</x:v>
      </x:c>
      <x:c r="Q470" s="40"/>
    </x:row>
    <x:row r="471">
      <x:c r="A471" s="40" t="str">
        <x:v>VS-19</x:v>
      </x:c>
      <x:c r="B471" s="40" t="n">
        <x:v>19</x:v>
      </x:c>
      <x:c r="C471" s="40" t="str">
        <x:v>Wave 4 — Device Services and Reliability</x:v>
      </x:c>
      <x:c r="D471" s="40" t="str">
        <x:v>X. Settings, Account and Sync Center, and More Screen</x:v>
      </x:c>
      <x:c r="E471" s="40" t="str">
        <x:v>FR-X-009</x:v>
      </x:c>
      <x:c r="F471" s="40" t="str">
        <x:v>Sync pause shall preserve queued changes and full local functionality.</x:v>
      </x:c>
      <x:c r="G471" s="40" t="str">
        <x:v>BR-X-004, BR-X-007, BR-X-008</x:v>
      </x:c>
      <x:c r="H471" s="40" t="str">
        <x:v>ADR-025 — Final Architecture Baseline and Implementation Contract</x:v>
      </x:c>
      <x:c r="I471" s="40" t="str">
        <x:v>AC-X-009</x:v>
      </x:c>
      <x:c r="J471" s="40" t="str">
        <x:v>Yes</x:v>
      </x:c>
      <x:c r="K471" s="40" t="str">
        <x:v>V1</x:v>
      </x:c>
      <x:c r="L471" s="40" t="str">
        <x:v>Integration test</x:v>
      </x:c>
      <x:c r="M471" s="40"/>
      <x:c r="N471" s="40"/>
      <x:c r="O471" s="40" t="str">
        <x:v>VS-01 through VS-18</x:v>
      </x:c>
      <x:c r="P471" s="40" t="str">
        <x:v>Not Started</x:v>
      </x:c>
      <x:c r="Q471" s="40"/>
    </x:row>
    <x:row r="472">
      <x:c r="A472" s="40" t="str">
        <x:v>VS-19</x:v>
      </x:c>
      <x:c r="B472" s="40" t="n">
        <x:v>19</x:v>
      </x:c>
      <x:c r="C472" s="40" t="str">
        <x:v>Wave 4 — Device Services and Reliability</x:v>
      </x:c>
      <x:c r="D472" s="40" t="str">
        <x:v>X. Settings, Account and Sync Center, and More Screen</x:v>
      </x:c>
      <x:c r="E472" s="40" t="str">
        <x:v>FR-X-010</x:v>
      </x:c>
      <x:c r="F472" s="40" t="str">
        <x:v>Account deletion shall remain separate from local-data deletion.</x:v>
      </x:c>
      <x:c r="G472" s="40" t="str">
        <x:v>BR-X-005, BR-X-009, BR-X-012</x:v>
      </x:c>
      <x:c r="H472" s="40" t="str">
        <x:v>ADR-018 — Guest-to-Account Migration and Account Lifecycle; ADR-025 — Final Architecture Baseline and Implementation Contract</x:v>
      </x:c>
      <x:c r="I472" s="40" t="str">
        <x:v>AC-X-010</x:v>
      </x:c>
      <x:c r="J472" s="40" t="str">
        <x:v>Yes</x:v>
      </x:c>
      <x:c r="K472" s="40" t="str">
        <x:v>V1</x:v>
      </x:c>
      <x:c r="L472" s="40" t="str">
        <x:v>Domain test</x:v>
      </x:c>
      <x:c r="M472" s="40" t="str">
        <x:v>OPD-5-018</x:v>
      </x:c>
      <x:c r="N472" s="40" t="str">
        <x:v>OPD-5-018: Require backup guidance and separate handling of local-only records.</x:v>
      </x:c>
      <x:c r="O472" s="40" t="str">
        <x:v>VS-01 through VS-18</x:v>
      </x:c>
      <x:c r="P472" s="40" t="str">
        <x:v>Not Started</x:v>
      </x:c>
      <x:c r="Q472" s="40"/>
    </x:row>
    <x:row r="473">
      <x:c r="A473" s="40" t="str">
        <x:v>VS-19</x:v>
      </x:c>
      <x:c r="B473" s="40" t="n">
        <x:v>19</x:v>
      </x:c>
      <x:c r="C473" s="40" t="str">
        <x:v>Wave 4 — Device Services and Reliability</x:v>
      </x:c>
      <x:c r="D473" s="40" t="str">
        <x:v>X. Settings, Account and Sync Center, and More Screen</x:v>
      </x:c>
      <x:c r="E473" s="40" t="str">
        <x:v>FR-X-011</x:v>
      </x:c>
      <x:c r="F473" s="40" t="str">
        <x:v>Removing synchronized data from the device shall require explicit confirmation and a warning about local-only records.</x:v>
      </x:c>
      <x:c r="G473" s="40" t="str">
        <x:v>BR-X-006, BR-X-008, BR-X-012</x:v>
      </x:c>
      <x:c r="H473" s="40" t="str">
        <x:v>ADR-025 — Final Architecture Baseline and Implementation Contract</x:v>
      </x:c>
      <x:c r="I473" s="40" t="str">
        <x:v>AC-X-011</x:v>
      </x:c>
      <x:c r="J473" s="40" t="str">
        <x:v>No</x:v>
      </x:c>
      <x:c r="K473" s="40" t="str">
        <x:v>V1</x:v>
      </x:c>
      <x:c r="L473" s="40" t="str">
        <x:v>Integration test</x:v>
      </x:c>
      <x:c r="M473" s="40" t="str">
        <x:v>OPD-5-015, OPD-5-018</x:v>
      </x:c>
      <x:c r="N473" s="40" t="str">
        <x:v>OPD-5-015: Keep notification channels, permissions, privacy-lock timeout, and local appearance overrides device-specific. | OPD-5-018: Require backup guidance and separate handling of local-only records.</x:v>
      </x:c>
      <x:c r="O473" s="40" t="str">
        <x:v>VS-01 through VS-18</x:v>
      </x:c>
      <x:c r="P473" s="40" t="str">
        <x:v>Not Started</x:v>
      </x:c>
      <x:c r="Q473" s="40"/>
    </x:row>
    <x:row r="474">
      <x:c r="A474" s="40" t="str">
        <x:v>VS-19</x:v>
      </x:c>
      <x:c r="B474" s="40" t="n">
        <x:v>19</x:v>
      </x:c>
      <x:c r="C474" s="40" t="str">
        <x:v>Wave 4 — Device Services and Reliability</x:v>
      </x:c>
      <x:c r="D474" s="40" t="str">
        <x:v>X. Settings, Account and Sync Center, and More Screen</x:v>
      </x:c>
      <x:c r="E474" s="40" t="str">
        <x:v>FR-X-012</x:v>
      </x:c>
      <x:c r="F474" s="40" t="str">
        <x:v>The Sync Center shall show factual states including Up to Date, Waiting for Connection, Changes Waiting, Sign-In Required, Sync Paused, and Items Needing Review.</x:v>
      </x:c>
      <x:c r="G474" s="40" t="str">
        <x:v>BR-X-004, BR-X-007, BR-X-008</x:v>
      </x:c>
      <x:c r="H474" s="40" t="str">
        <x:v>ADR-025 — Final Architecture Baseline and Implementation Contract</x:v>
      </x:c>
      <x:c r="I474" s="40" t="str">
        <x:v>AC-X-012</x:v>
      </x:c>
      <x:c r="J474" s="40" t="str">
        <x:v>Yes</x:v>
      </x:c>
      <x:c r="K474" s="40" t="str">
        <x:v>V1</x:v>
      </x:c>
      <x:c r="L474" s="40" t="str">
        <x:v>Domain test / Integration test</x:v>
      </x:c>
      <x:c r="M474" s="40" t="str">
        <x:v>OPD-5-017</x:v>
      </x:c>
      <x:c r="N474" s="40" t="str">
        <x:v>OPD-5-017: Allow review and session revocation in V1.1 unless required for launch security.</x:v>
      </x:c>
      <x:c r="O474" s="40" t="str">
        <x:v>VS-01 through VS-18</x:v>
      </x:c>
      <x:c r="P474" s="40" t="str">
        <x:v>Not Started</x:v>
      </x:c>
      <x:c r="Q474" s="40"/>
    </x:row>
    <x:row r="475">
      <x:c r="A475" s="40" t="str">
        <x:v>VS-19</x:v>
      </x:c>
      <x:c r="B475" s="40" t="n">
        <x:v>19</x:v>
      </x:c>
      <x:c r="C475" s="40" t="str">
        <x:v>Wave 4 — Device Services and Reliability</x:v>
      </x:c>
      <x:c r="D475" s="40" t="str">
        <x:v>X. Settings, Account and Sync Center, and More Screen</x:v>
      </x:c>
      <x:c r="E475" s="40" t="str">
        <x:v>FR-X-013</x:v>
      </x:c>
      <x:c r="F475" s="40" t="str">
        <x:v>be able to review local-only categories and imported-contact upload choices.</x:v>
      </x:c>
      <x:c r="G475" s="40" t="str">
        <x:v>BR-X-004, BR-X-005, BR-X-008</x:v>
      </x:c>
      <x:c r="H475" s="40" t="str">
        <x:v>ADR-025 — Final Architecture Baseline and Implementation Contract</x:v>
      </x:c>
      <x:c r="I475" s="40" t="str">
        <x:v>AC-X-013</x:v>
      </x:c>
      <x:c r="J475" s="40" t="str">
        <x:v>No</x:v>
      </x:c>
      <x:c r="K475" s="40" t="str">
        <x:v>V1</x:v>
      </x:c>
      <x:c r="L475" s="40" t="str">
        <x:v>Widget test / Integration test</x:v>
      </x:c>
      <x:c r="M475" s="40"/>
      <x:c r="N475" s="40"/>
      <x:c r="O475" s="40" t="str">
        <x:v>VS-01 through VS-18</x:v>
      </x:c>
      <x:c r="P475" s="40" t="str">
        <x:v>Not Started</x:v>
      </x:c>
      <x:c r="Q475" s="40"/>
    </x:row>
    <x:row r="476">
      <x:c r="A476" s="40" t="str">
        <x:v>VS-19</x:v>
      </x:c>
      <x:c r="B476" s="40" t="n">
        <x:v>19</x:v>
      </x:c>
      <x:c r="C476" s="40" t="str">
        <x:v>Wave 4 — Device Services and Reliability</x:v>
      </x:c>
      <x:c r="D476" s="40" t="str">
        <x:v>X. Settings, Account and Sync Center, and More Screen</x:v>
      </x:c>
      <x:c r="E476" s="40" t="str">
        <x:v>FR-X-014</x:v>
      </x:c>
      <x:c r="F476" s="40" t="str">
        <x:v>be able to review attachment status, connected devices, conflicts, and the last successful synchronization.</x:v>
      </x:c>
      <x:c r="G476" s="40" t="str">
        <x:v>BR-X-007, BR-X-008, BR-X-009</x:v>
      </x:c>
      <x:c r="H476" s="40" t="str">
        <x:v>ADR-016 — Offline Outbox Synchronization and Conflict Resolution; ADR-025 — Final Architecture Baseline and Implementation Contract</x:v>
      </x:c>
      <x:c r="I476" s="40" t="str">
        <x:v>AC-X-014</x:v>
      </x:c>
      <x:c r="J476" s="40" t="str">
        <x:v>No</x:v>
      </x:c>
      <x:c r="K476" s="40" t="str">
        <x:v>V1</x:v>
      </x:c>
      <x:c r="L476" s="40" t="str">
        <x:v>Domain test / Widget test / Integration test</x:v>
      </x:c>
      <x:c r="M476" s="40" t="str">
        <x:v>OPD-5-017</x:v>
      </x:c>
      <x:c r="N476" s="40" t="str">
        <x:v>OPD-5-017: Allow review and session revocation in V1.1 unless required for launch security.</x:v>
      </x:c>
      <x:c r="O476" s="40" t="str">
        <x:v>VS-01 through VS-18</x:v>
      </x:c>
      <x:c r="P476" s="40" t="str">
        <x:v>Not Started</x:v>
      </x:c>
      <x:c r="Q476" s="40"/>
    </x:row>
    <x:row r="477">
      <x:c r="A477" s="40" t="str">
        <x:v>VS-19</x:v>
      </x:c>
      <x:c r="B477" s="40" t="n">
        <x:v>19</x:v>
      </x:c>
      <x:c r="C477" s="40" t="str">
        <x:v>Wave 4 — Device Services and Reliability</x:v>
      </x:c>
      <x:c r="D477" s="40" t="str">
        <x:v>X. Settings, Account and Sync Center, and More Screen</x:v>
      </x:c>
      <x:c r="E477" s="40" t="str">
        <x:v>FR-X-015</x:v>
      </x:c>
      <x:c r="F477" s="40" t="str">
        <x:v>The Backup and Recovery area shall distinguish cloud synchronization from portable .ntbackup recovery.</x:v>
      </x:c>
      <x:c r="G477" s="40" t="str">
        <x:v>BR-X-007, BR-X-009, BR-X-013</x:v>
      </x:c>
      <x:c r="H477" s="40" t="str">
        <x:v>ADR-017 — Local Backup, Export, Restore, and Disaster Recovery; ADR-016 — Offline Outbox Synchronization and Conflict Resolution; ADR-025 — Final Architecture Baseline and Implementation Contract</x:v>
      </x:c>
      <x:c r="I477" s="40" t="str">
        <x:v>AC-X-015</x:v>
      </x:c>
      <x:c r="J477" s="40" t="str">
        <x:v>Yes</x:v>
      </x:c>
      <x:c r="K477" s="40" t="str">
        <x:v>V1</x:v>
      </x:c>
      <x:c r="L477" s="40" t="str">
        <x:v>Database test / Integration test</x:v>
      </x:c>
      <x:c r="M477" s="40"/>
      <x:c r="N477" s="40"/>
      <x:c r="O477" s="40" t="str">
        <x:v>VS-01 through VS-18</x:v>
      </x:c>
      <x:c r="P477" s="40" t="str">
        <x:v>Not Started</x:v>
      </x:c>
      <x:c r="Q477" s="40"/>
    </x:row>
    <x:row r="478">
      <x:c r="A478" s="40" t="str">
        <x:v>VS-19</x:v>
      </x:c>
      <x:c r="B478" s="40" t="n">
        <x:v>19</x:v>
      </x:c>
      <x:c r="C478" s="40" t="str">
        <x:v>Wave 4 — Device Services and Reliability</x:v>
      </x:c>
      <x:c r="D478" s="40" t="str">
        <x:v>X. Settings, Account and Sync Center, and More Screen</x:v>
      </x:c>
      <x:c r="E478" s="40" t="str">
        <x:v>FR-X-016</x:v>
      </x:c>
      <x:c r="F478" s="40" t="str">
        <x:v>The More Screen shall avoid duplicate or conflicting settings entry points.</x:v>
      </x:c>
      <x:c r="G478" s="40" t="str">
        <x:v>BR-X-001, BR-X-002, BR-X-010</x:v>
      </x:c>
      <x:c r="H478" s="40" t="str">
        <x:v>ADR-025 — Final Architecture Baseline and Implementation Contract</x:v>
      </x:c>
      <x:c r="I478" s="40" t="str">
        <x:v>AC-X-016</x:v>
      </x:c>
      <x:c r="J478" s="40" t="str">
        <x:v>No</x:v>
      </x:c>
      <x:c r="K478" s="40" t="str">
        <x:v>V1</x:v>
      </x:c>
      <x:c r="L478" s="40" t="str">
        <x:v>Domain test / Widget test</x:v>
      </x:c>
      <x:c r="M478" s="40" t="str">
        <x:v>OPD-5-019</x:v>
      </x:c>
      <x:c r="N478" s="40" t="str">
        <x:v>OPD-5-019: Use one canonical destination per settings area with contextual deep links rather than duplicates.</x:v>
      </x:c>
      <x:c r="O478" s="40" t="str">
        <x:v>VS-01 through VS-18</x:v>
      </x:c>
      <x:c r="P478" s="40" t="str">
        <x:v>Not Started</x:v>
      </x:c>
      <x:c r="Q478" s="40"/>
    </x:row>
    <x:row r="479">
      <x:c r="A479" s="40" t="str">
        <x:v>VS-19</x:v>
      </x:c>
      <x:c r="B479" s="40" t="n">
        <x:v>19</x:v>
      </x:c>
      <x:c r="C479" s="40" t="str">
        <x:v>Wave 4 — Device Services and Reliability</x:v>
      </x:c>
      <x:c r="D479" s="40" t="str">
        <x:v>X. Settings, Account and Sync Center, and More Screen</x:v>
      </x:c>
      <x:c r="E479" s="40" t="str">
        <x:v>FR-X-017</x:v>
      </x:c>
      <x:c r="F479" s="40" t="str">
        <x:v>Maps shall not be added as a permanent bottom-navigation tab.</x:v>
      </x:c>
      <x:c r="G479" s="40" t="str">
        <x:v>BR-X-001, BR-X-011</x:v>
      </x:c>
      <x:c r="H479" s="40" t="str">
        <x:v>ADR-024 — V1 Scope, Vertical Slices, Roadmap, and Release Plan; ADR-025 — Final Architecture Baseline and Implementation Contract</x:v>
      </x:c>
      <x:c r="I479" s="40" t="str">
        <x:v>AC-X-017</x:v>
      </x:c>
      <x:c r="J479" s="40" t="str">
        <x:v>Yes</x:v>
      </x:c>
      <x:c r="K479" s="40" t="str">
        <x:v>V1</x:v>
      </x:c>
      <x:c r="L479" s="40" t="str">
        <x:v>Domain test</x:v>
      </x:c>
      <x:c r="M479" s="40"/>
      <x:c r="N479" s="40"/>
      <x:c r="O479" s="40" t="str">
        <x:v>VS-01 through VS-18</x:v>
      </x:c>
      <x:c r="P479" s="40" t="str">
        <x:v>Not Started</x:v>
      </x:c>
      <x:c r="Q479" s="40"/>
    </x:row>
    <x:row r="480">
      <x:c r="A480" s="40" t="str">
        <x:v>VS-19</x:v>
      </x:c>
      <x:c r="B480" s="40" t="n">
        <x:v>19</x:v>
      </x:c>
      <x:c r="C480" s="40" t="str">
        <x:v>Wave 4 — Device Services and Reliability</x:v>
      </x:c>
      <x:c r="D480" s="40" t="str">
        <x:v>X. Settings, Account and Sync Center, and More Screen</x:v>
      </x:c>
      <x:c r="E480" s="40" t="str">
        <x:v>FR-X-018</x:v>
      </x:c>
      <x:c r="F480" s="40" t="str">
        <x:v>Device-specific settings shall remain distinct from globally synchronized preferences.</x:v>
      </x:c>
      <x:c r="G480" s="40" t="str">
        <x:v>BR-X-006, BR-X-009, BR-X-012</x:v>
      </x:c>
      <x:c r="H480" s="40" t="str">
        <x:v>ADR-025 — Final Architecture Baseline and Implementation Contract</x:v>
      </x:c>
      <x:c r="I480" s="40" t="str">
        <x:v>AC-X-018</x:v>
      </x:c>
      <x:c r="J480" s="40" t="str">
        <x:v>No</x:v>
      </x:c>
      <x:c r="K480" s="40" t="str">
        <x:v>V1</x:v>
      </x:c>
      <x:c r="L480" s="40" t="str">
        <x:v>Integration test</x:v>
      </x:c>
      <x:c r="M480" s="40" t="str">
        <x:v>OPD-5-015, OPD-5-016</x:v>
      </x:c>
      <x:c r="N480" s="40" t="str">
        <x:v>OPD-5-015: Keep notification channels, permissions, privacy-lock timeout, and local appearance overrides device-specific. | OPD-5-016: Use a default-deny allowlist for synchronized preferences. V1 synchronizes no preference merely because an account exists; only preferences explicitly named by an approved vertical-slice specification may sync. Device-specific settings from OPD-5-015 never sync.</x:v>
      </x:c>
      <x:c r="O480" s="40" t="str">
        <x:v>VS-01 through VS-18</x:v>
      </x:c>
      <x:c r="P480" s="40" t="str">
        <x:v>Not Started</x:v>
      </x:c>
      <x:c r="Q480" s="40"/>
    </x:row>
    <x:row r="481">
      <x:c r="A481" s="40" t="str">
        <x:v>VS-19</x:v>
      </x:c>
      <x:c r="B481" s="40" t="n">
        <x:v>19</x:v>
      </x:c>
      <x:c r="C481" s="40" t="str">
        <x:v>Wave 4 — Device Services and Reliability</x:v>
      </x:c>
      <x:c r="D481" s="40" t="str">
        <x:v>X. Settings, Account and Sync Center, and More Screen</x:v>
      </x:c>
      <x:c r="E481" s="40" t="str">
        <x:v>FR-X-019</x:v>
      </x:c>
      <x:c r="F481" s="40" t="str">
        <x:v>Destructive actions shall provide backup and recovery guidance before confirmation.</x:v>
      </x:c>
      <x:c r="G481" s="40" t="str">
        <x:v>BR-X-009, BR-X-013</x:v>
      </x:c>
      <x:c r="H481" s="40" t="str">
        <x:v>ADR-017 — Local Backup, Export, Restore, and Disaster Recovery; ADR-025 — Final Architecture Baseline and Implementation Contract</x:v>
      </x:c>
      <x:c r="I481" s="40" t="str">
        <x:v>AC-X-019</x:v>
      </x:c>
      <x:c r="J481" s="40" t="str">
        <x:v>Yes</x:v>
      </x:c>
      <x:c r="K481" s="40" t="str">
        <x:v>V1</x:v>
      </x:c>
      <x:c r="L481" s="40" t="str">
        <x:v>Database test / Integration test</x:v>
      </x:c>
      <x:c r="M481" s="40" t="str">
        <x:v>OPD-5-018</x:v>
      </x:c>
      <x:c r="N481" s="40" t="str">
        <x:v>OPD-5-018: Require backup guidance and separate handling of local-only records.</x:v>
      </x:c>
      <x:c r="O481" s="40" t="str">
        <x:v>VS-01 through VS-18</x:v>
      </x:c>
      <x:c r="P481" s="40" t="str">
        <x:v>Not Started</x:v>
      </x:c>
      <x:c r="Q481" s="40"/>
    </x:row>
    <x:row r="482">
      <x:c r="A482" s="40" t="str">
        <x:v>VS-19</x:v>
      </x:c>
      <x:c r="B482" s="40" t="n">
        <x:v>19</x:v>
      </x:c>
      <x:c r="C482" s="40" t="str">
        <x:v>Wave 4 — Device Services and Reliability</x:v>
      </x:c>
      <x:c r="D482" s="40" t="str">
        <x:v>X. Settings, Account and Sync Center, and More Screen</x:v>
      </x:c>
      <x:c r="E482" s="40" t="str">
        <x:v>FR-X-020</x:v>
      </x:c>
      <x:c r="F482" s="40" t="str">
        <x:v>The More Screen shall remain usable offline and shall show which actions require connectivity.</x:v>
      </x:c>
      <x:c r="G482" s="40" t="str">
        <x:v>BR-X-005, BR-X-012, BR-X-013</x:v>
      </x:c>
      <x:c r="H482" s="40" t="str">
        <x:v>ADR-006 — Local-First Operation with Background Synchronization; ADR-025 — Final Architecture Baseline and Implementation Contract</x:v>
      </x:c>
      <x:c r="I482" s="40" t="str">
        <x:v>AC-X-020</x:v>
      </x:c>
      <x:c r="J482" s="40" t="str">
        <x:v>Yes</x:v>
      </x:c>
      <x:c r="K482" s="40" t="str">
        <x:v>V1</x:v>
      </x:c>
      <x:c r="L482" s="40" t="str">
        <x:v>Widget test</x:v>
      </x:c>
      <x:c r="M482" s="40"/>
      <x:c r="N482" s="40"/>
      <x:c r="O482" s="40" t="str">
        <x:v>VS-01 through VS-18</x:v>
      </x:c>
      <x:c r="P482" s="40" t="str">
        <x:v>Not Started</x:v>
      </x:c>
      <x:c r="Q482" s="40"/>
    </x:row>
    <x:row r="483">
      <x:c r="A483" s="40" t="str">
        <x:v>VS-19</x:v>
      </x:c>
      <x:c r="B483" s="40" t="n">
        <x:v>19</x:v>
      </x:c>
      <x:c r="C483" s="40" t="str">
        <x:v>Wave 4 — Device Services and Reliability</x:v>
      </x:c>
      <x:c r="D483" s="40" t="str">
        <x:v>X. Settings, Account and Sync Center, and More Screen</x:v>
      </x:c>
      <x:c r="E483" s="40" t="str">
        <x:v>FR-X-021</x:v>
      </x:c>
      <x:c r="F483" s="40" t="str">
        <x:v>Content-update settings shall show source, last successful update, and current availability state.</x:v>
      </x:c>
      <x:c r="G483" s="40" t="str">
        <x:v>BR-X-002, BR-X-008, BR-X-010</x:v>
      </x:c>
      <x:c r="H483" s="40" t="str">
        <x:v>ADR-025 — Final Architecture Baseline and Implementation Contract</x:v>
      </x:c>
      <x:c r="I483" s="40" t="str">
        <x:v>AC-X-021</x:v>
      </x:c>
      <x:c r="J483" s="40" t="str">
        <x:v>No</x:v>
      </x:c>
      <x:c r="K483" s="40" t="str">
        <x:v>V1</x:v>
      </x:c>
      <x:c r="L483" s="40" t="str">
        <x:v>Domain test</x:v>
      </x:c>
      <x:c r="M483" s="40"/>
      <x:c r="N483" s="40"/>
      <x:c r="O483" s="40" t="str">
        <x:v>VS-01 through VS-18</x:v>
      </x:c>
      <x:c r="P483" s="40" t="str">
        <x:v>Not Started</x:v>
      </x:c>
      <x:c r="Q483" s="40"/>
    </x:row>
    <x:row r="484">
      <x:c r="A484" s="40" t="str">
        <x:v>VS-19</x:v>
      </x:c>
      <x:c r="B484" s="40" t="n">
        <x:v>19</x:v>
      </x:c>
      <x:c r="C484" s="40" t="str">
        <x:v>Wave 4 — Device Services and Reliability</x:v>
      </x:c>
      <x:c r="D484" s="40" t="str">
        <x:v>X. Settings, Account and Sync Center, and More Screen</x:v>
      </x:c>
      <x:c r="E484" s="40" t="str">
        <x:v>FR-X-022</x:v>
      </x:c>
      <x:c r="F484" s="40" t="str">
        <x:v>Appearance and language changes shall not modify domain records or Actual.</x:v>
      </x:c>
      <x:c r="G484" s="40" t="str">
        <x:v>BR-X-001</x:v>
      </x:c>
      <x:c r="H484" s="40" t="str">
        <x:v>ADR-025 — Final Architecture Baseline and Implementation Contract</x:v>
      </x:c>
      <x:c r="I484" s="40" t="str">
        <x:v>AC-X-022</x:v>
      </x:c>
      <x:c r="J484" s="40" t="str">
        <x:v>Yes</x:v>
      </x:c>
      <x:c r="K484" s="40" t="str">
        <x:v>V1</x:v>
      </x:c>
      <x:c r="L484" s="40" t="str">
        <x:v>Domain test</x:v>
      </x:c>
      <x:c r="M484" s="40"/>
      <x:c r="N484" s="40"/>
      <x:c r="O484" s="40" t="str">
        <x:v>VS-01 through VS-18</x:v>
      </x:c>
      <x:c r="P484" s="40" t="str">
        <x:v>Not Started</x:v>
      </x:c>
      <x:c r="Q484" s="40"/>
    </x:row>
    <x:row r="485">
      <x:c r="A485" s="40" t="str">
        <x:v>VS-19</x:v>
      </x:c>
      <x:c r="B485" s="40" t="n">
        <x:v>19</x:v>
      </x:c>
      <x:c r="C485" s="40" t="str">
        <x:v>Wave 4 — Device Services and Reliability</x:v>
      </x:c>
      <x:c r="D485" s="40" t="str">
        <x:v>X. Settings, Account and Sync Center, and More Screen</x:v>
      </x:c>
      <x:c r="E485" s="40" t="str">
        <x:v>FR-X-023</x:v>
      </x:c>
      <x:c r="F485" s="40" t="str">
        <x:v>Help, About, and Legal shall identify product version, privacy information, and relevant legal notices.</x:v>
      </x:c>
      <x:c r="G485" s="40" t="str">
        <x:v>BR-X-001</x:v>
      </x:c>
      <x:c r="H485" s="40" t="str">
        <x:v>ADR-021 — Security, Privacy, Permissions, and Sensitive Data; ADR-025 — Final Architecture Baseline and Implementation Contract</x:v>
      </x:c>
      <x:c r="I485" s="40" t="str">
        <x:v>AC-X-023</x:v>
      </x:c>
      <x:c r="J485" s="40" t="str">
        <x:v>Yes</x:v>
      </x:c>
      <x:c r="K485" s="40" t="str">
        <x:v>V1</x:v>
      </x:c>
      <x:c r="L485" s="40" t="str">
        <x:v>Manual review</x:v>
      </x:c>
      <x:c r="M485" s="40"/>
      <x:c r="N485" s="40"/>
      <x:c r="O485" s="40" t="str">
        <x:v>VS-01 through VS-18</x:v>
      </x:c>
      <x:c r="P485" s="40" t="str">
        <x:v>Not Started</x:v>
      </x:c>
      <x:c r="Q485" s="40"/>
    </x:row>
    <x:row r="486">
      <x:c r="A486" s="40" t="str">
        <x:v>VS-19</x:v>
      </x:c>
      <x:c r="B486" s="40" t="n">
        <x:v>19</x:v>
      </x:c>
      <x:c r="C486" s="40" t="str">
        <x:v>Wave 4 — Device Services and Reliability</x:v>
      </x:c>
      <x:c r="D486" s="40" t="str">
        <x:v>X. Settings, Account and Sync Center, and More Screen</x:v>
      </x:c>
      <x:c r="E486" s="40" t="str">
        <x:v>FR-X-024</x:v>
      </x:c>
      <x:c r="F486" s="40" t="str">
        <x:v>The More Screen shall provide a single coherent route to Privacy Center and permission management.</x:v>
      </x:c>
      <x:c r="G486" s="40" t="str">
        <x:v>BR-X-002, BR-X-007, BR-X-013</x:v>
      </x:c>
      <x:c r="H486" s="40" t="str">
        <x:v>ADR-021 — Security, Privacy, Permissions, and Sensitive Data; ADR-025 — Final Architecture Baseline and Implementation Contract</x:v>
      </x:c>
      <x:c r="I486" s="40" t="str">
        <x:v>AC-X-024</x:v>
      </x:c>
      <x:c r="J486" s="40" t="str">
        <x:v>Yes</x:v>
      </x:c>
      <x:c r="K486" s="40" t="str">
        <x:v>V1</x:v>
      </x:c>
      <x:c r="L486" s="40" t="str">
        <x:v>Widget test</x:v>
      </x:c>
      <x:c r="M486" s="40" t="str">
        <x:v>OPD-5-019</x:v>
      </x:c>
      <x:c r="N486" s="40" t="str">
        <x:v>OPD-5-019: Use one canonical destination per settings area with contextual deep links rather than duplicates.</x:v>
      </x:c>
      <x:c r="O486" s="40" t="str">
        <x:v>VS-01 through VS-18</x:v>
      </x:c>
      <x:c r="P486" s="40" t="str">
        <x:v>Not Started</x:v>
      </x:c>
      <x:c r="Q486" s="40"/>
    </x:row>
  </x:sheetData>
  <x:mergeCells>
    <x:mergeCell ref="A1:Q1"/>
  </x:mergeCells>
  <x:conditionalFormatting sqref="J4:J486">
    <x:cfRule type="expression" dxfId="25" priority="1">
      <x:formula>J4="Yes"</x:formula>
    </x:cfRule>
  </x:conditionalFormatting>
  <x:conditionalFormatting sqref="K4:K486">
    <x:cfRule type="expression" dxfId="26" priority="2">
      <x:formula>K4="Deferred"</x:formula>
    </x:cfRule>
  </x:conditionalFormatting>
  <x:dataValidations count="1">
    <x:dataValidation type="list" sqref="P4:P486">
      <x:formula1>"Not Started,In Progress,Blocked,Ready for Review,Complete"</x:formula1>
    </x:dataValidation>
  </x:dataValidations>
  <x:pageMargins left="0.7" right="0.7" top="0.75" bottom="0.75" header="0.3" footer="0.3"/>
  <x:tableParts count="1">
    <x:tablePart xmlns:r="http://schemas.openxmlformats.org/officeDocument/2006/relationships" r:id="R0dde0402cc734c9e"/>
  </x:tableParts>
</x:worksheet>
</file>

<file path=xl/worksheets/sheet23.xml><?xml version="1.0" encoding="utf-8"?>
<x:worksheet xmlns:x="http://schemas.openxmlformats.org/spreadsheetml/2006/main">
  <x:sheetFormatPr defaultRowHeight="15"/>
  <x:cols>
    <x:col min="1" max="1" width="10" hidden="0" customWidth="1"/>
    <x:col min="2" max="2" width="9" hidden="0" customWidth="1"/>
    <x:col min="3" max="3" width="22" hidden="0" customWidth="1"/>
    <x:col min="4" max="4" width="34" hidden="0" customWidth="1"/>
    <x:col min="5" max="5" width="16" hidden="0" customWidth="1"/>
    <x:col min="6" max="6" width="18" hidden="0" customWidth="1"/>
    <x:col min="7" max="7" width="42" hidden="0" customWidth="1"/>
    <x:col min="8" max="8" width="42" hidden="0" customWidth="1"/>
    <x:col min="9" max="9" width="58" hidden="0" customWidth="1"/>
    <x:col min="10" max="10" width="13" hidden="0" customWidth="1"/>
    <x:col min="11" max="11" width="28" hidden="0" customWidth="1"/>
    <x:col min="12" max="12" width="18" hidden="0" customWidth="1"/>
    <x:col min="13" max="13" width="32" hidden="0" customWidth="1"/>
  </x:cols>
  <x:sheetData>
    <x:row r="1">
      <x:c r="A1" s="128" t="str">
        <x:v>Next Transfer - Acceptance Criterion Verification Matrix</x:v>
      </x:c>
      <x:c r="B1" s="128"/>
      <x:c r="C1" s="128"/>
      <x:c r="D1" s="128"/>
      <x:c r="E1" s="128"/>
      <x:c r="F1" s="128"/>
      <x:c r="G1" s="128"/>
      <x:c r="H1" s="128"/>
      <x:c r="I1" s="128"/>
      <x:c r="J1" s="128"/>
      <x:c r="K1" s="128"/>
      <x:c r="L1" s="128"/>
      <x:c r="M1" s="128"/>
    </x:row>
    <x:row r="3">
      <x:c r="A3" s="133" t="str">
        <x:v>Slice ID</x:v>
      </x:c>
      <x:c r="B3" s="133" t="str">
        <x:v>Sequence</x:v>
      </x:c>
      <x:c r="C3" s="133" t="str">
        <x:v>Wave</x:v>
      </x:c>
      <x:c r="D3" s="133" t="str">
        <x:v>Feature Group</x:v>
      </x:c>
      <x:c r="E3" s="133" t="str">
        <x:v>Acceptance Criterion ID</x:v>
      </x:c>
      <x:c r="F3" s="133" t="str">
        <x:v>Verifies Requirement IDs</x:v>
      </x:c>
      <x:c r="G3" s="133" t="str">
        <x:v>Given</x:v>
      </x:c>
      <x:c r="H3" s="133" t="str">
        <x:v>When</x:v>
      </x:c>
      <x:c r="I3" s="133" t="str">
        <x:v>Then</x:v>
      </x:c>
      <x:c r="J3" s="133" t="str">
        <x:v>Release Blocker</x:v>
      </x:c>
      <x:c r="K3" s="133" t="str">
        <x:v>Verification Level</x:v>
      </x:c>
      <x:c r="L3" s="133" t="str">
        <x:v>Test Status</x:v>
      </x:c>
      <x:c r="M3" s="133" t="str">
        <x:v>Evidence / Notes</x:v>
      </x:c>
    </x:row>
    <x:row r="4">
      <x:c r="A4" s="40" t="str">
        <x:v>VS-01</x:v>
      </x:c>
      <x:c r="B4" s="40" t="n">
        <x:v>1</x:v>
      </x:c>
      <x:c r="C4" s="40" t="str">
        <x:v>Wave 1 — Foundation</x:v>
      </x:c>
      <x:c r="D4" s="40" t="str">
        <x:v>A. App Startup and Guest Onboarding</x:v>
      </x:c>
      <x:c r="E4" s="40" t="str">
        <x:v>AC-A-001</x:v>
      </x:c>
      <x:c r="F4" s="40" t="str">
        <x:v>FR-A-001</x:v>
      </x:c>
      <x:c r="G4" s="40" t="str">
        <x:v>Given the applicable App Startup and Guest Onboarding preconditions and a valid Local Profile</x:v>
      </x:c>
      <x:c r="H4" s="40" t="str">
        <x:v>When the user performs the relevant action or the relevant system condition occurs</x:v>
      </x:c>
      <x:c r="I4" s="40" t="str">
        <x:v>Then determine whether a usable Local Profile exists.</x:v>
      </x:c>
      <x:c r="J4" s="40" t="str">
        <x:v>Yes</x:v>
      </x:c>
      <x:c r="K4" s="40" t="str">
        <x:v>Domain test</x:v>
      </x:c>
      <x:c r="L4" s="40" t="str">
        <x:v>Not Started</x:v>
      </x:c>
      <x:c r="M4" s="40"/>
    </x:row>
    <x:row r="5">
      <x:c r="A5" s="40" t="str">
        <x:v>VS-01</x:v>
      </x:c>
      <x:c r="B5" s="40" t="n">
        <x:v>1</x:v>
      </x:c>
      <x:c r="C5" s="40" t="str">
        <x:v>Wave 1 — Foundation</x:v>
      </x:c>
      <x:c r="D5" s="40" t="str">
        <x:v>A. App Startup and Guest Onboarding</x:v>
      </x:c>
      <x:c r="E5" s="40" t="str">
        <x:v>AC-A-002</x:v>
      </x:c>
      <x:c r="F5" s="40" t="str">
        <x:v>FR-A-002</x:v>
      </x:c>
      <x:c r="G5" s="40" t="str">
        <x:v>Given the applicable App Startup and Guest Onboarding preconditions and a valid Local Profile</x:v>
      </x:c>
      <x:c r="H5" s="40" t="str">
        <x:v>When the user performs the relevant action or the relevant system condition occurs</x:v>
      </x:c>
      <x:c r="I5" s="40" t="str">
        <x:v>Then provide a first-run guest path that does not require connectivity.</x:v>
      </x:c>
      <x:c r="J5" s="40" t="str">
        <x:v>Yes</x:v>
      </x:c>
      <x:c r="K5" s="40" t="str">
        <x:v>Domain test</x:v>
      </x:c>
      <x:c r="L5" s="40" t="str">
        <x:v>Not Started</x:v>
      </x:c>
      <x:c r="M5" s="40"/>
    </x:row>
    <x:row r="6">
      <x:c r="A6" s="40" t="str">
        <x:v>VS-01</x:v>
      </x:c>
      <x:c r="B6" s="40" t="n">
        <x:v>1</x:v>
      </x:c>
      <x:c r="C6" s="40" t="str">
        <x:v>Wave 1 — Foundation</x:v>
      </x:c>
      <x:c r="D6" s="40" t="str">
        <x:v>A. App Startup and Guest Onboarding</x:v>
      </x:c>
      <x:c r="E6" s="40" t="str">
        <x:v>AC-A-003</x:v>
      </x:c>
      <x:c r="F6" s="40" t="str">
        <x:v>FR-A-003</x:v>
      </x:c>
      <x:c r="G6" s="40" t="str">
        <x:v>Given the applicable App Startup and Guest Onboarding preconditions and a valid Local Profile</x:v>
      </x:c>
      <x:c r="H6" s="40" t="str">
        <x:v>When the user performs the relevant action or the relevant system condition occurs</x:v>
      </x:c>
      <x:c r="I6" s="40" t="str">
        <x:v>Then present account creation or sign-in as optional.</x:v>
      </x:c>
      <x:c r="J6" s="40" t="str">
        <x:v>Yes</x:v>
      </x:c>
      <x:c r="K6" s="40" t="str">
        <x:v>Domain test</x:v>
      </x:c>
      <x:c r="L6" s="40" t="str">
        <x:v>Not Started</x:v>
      </x:c>
      <x:c r="M6" s="40"/>
    </x:row>
    <x:row r="7">
      <x:c r="A7" s="40" t="str">
        <x:v>VS-01</x:v>
      </x:c>
      <x:c r="B7" s="40" t="n">
        <x:v>1</x:v>
      </x:c>
      <x:c r="C7" s="40" t="str">
        <x:v>Wave 1 — Foundation</x:v>
      </x:c>
      <x:c r="D7" s="40" t="str">
        <x:v>A. App Startup and Guest Onboarding</x:v>
      </x:c>
      <x:c r="E7" s="40" t="str">
        <x:v>AC-A-004</x:v>
      </x:c>
      <x:c r="F7" s="40" t="str">
        <x:v>FR-A-004</x:v>
      </x:c>
      <x:c r="G7" s="40" t="str">
        <x:v>Given the applicable App Startup and Guest Onboarding preconditions and a valid Local Profile</x:v>
      </x:c>
      <x:c r="H7" s="40" t="str">
        <x:v>When the user performs the relevant action or the relevant system condition occurs</x:v>
      </x:c>
      <x:c r="I7" s="40" t="str">
        <x:v>Then explain the difference between local-only use and optional synchronization.</x:v>
      </x:c>
      <x:c r="J7" s="40" t="str">
        <x:v>Yes</x:v>
      </x:c>
      <x:c r="K7" s="40" t="str">
        <x:v>Integration test</x:v>
      </x:c>
      <x:c r="L7" s="40" t="str">
        <x:v>Not Started</x:v>
      </x:c>
      <x:c r="M7" s="40"/>
    </x:row>
    <x:row r="8">
      <x:c r="A8" s="40" t="str">
        <x:v>VS-01</x:v>
      </x:c>
      <x:c r="B8" s="40" t="n">
        <x:v>1</x:v>
      </x:c>
      <x:c r="C8" s="40" t="str">
        <x:v>Wave 1 — Foundation</x:v>
      </x:c>
      <x:c r="D8" s="40" t="str">
        <x:v>A. App Startup and Guest Onboarding</x:v>
      </x:c>
      <x:c r="E8" s="40" t="str">
        <x:v>AC-A-005</x:v>
      </x:c>
      <x:c r="F8" s="40" t="str">
        <x:v>FR-A-005</x:v>
      </x:c>
      <x:c r="G8" s="40" t="str">
        <x:v>Given the applicable App Startup and Guest Onboarding preconditions and a valid Local Profile</x:v>
      </x:c>
      <x:c r="H8" s="40" t="str">
        <x:v>When the user performs the relevant action or the relevant system condition occurs</x:v>
      </x:c>
      <x:c r="I8" s="40" t="str">
        <x:v>Then initialize the six approved Life Indicators without creating Actual contributions.</x:v>
      </x:c>
      <x:c r="J8" s="40" t="str">
        <x:v>Yes</x:v>
      </x:c>
      <x:c r="K8" s="40" t="str">
        <x:v>Domain test</x:v>
      </x:c>
      <x:c r="L8" s="40" t="str">
        <x:v>Not Started</x:v>
      </x:c>
      <x:c r="M8" s="40"/>
    </x:row>
    <x:row r="9">
      <x:c r="A9" s="40" t="str">
        <x:v>VS-01</x:v>
      </x:c>
      <x:c r="B9" s="40" t="n">
        <x:v>1</x:v>
      </x:c>
      <x:c r="C9" s="40" t="str">
        <x:v>Wave 1 — Foundation</x:v>
      </x:c>
      <x:c r="D9" s="40" t="str">
        <x:v>A. App Startup and Guest Onboarding</x:v>
      </x:c>
      <x:c r="E9" s="40" t="str">
        <x:v>AC-A-006</x:v>
      </x:c>
      <x:c r="F9" s="40" t="str">
        <x:v>FR-A-006</x:v>
      </x:c>
      <x:c r="G9" s="40" t="str">
        <x:v>Given the applicable App Startup and Guest Onboarding preconditions and a valid Local Profile</x:v>
      </x:c>
      <x:c r="H9" s="40" t="str">
        <x:v>When the user performs the relevant action or the relevant system condition occurs</x:v>
      </x:c>
      <x:c r="I9" s="40" t="str">
        <x:v>Then open local Drift state before waiting for Supabase.</x:v>
      </x:c>
      <x:c r="J9" s="40" t="str">
        <x:v>Yes</x:v>
      </x:c>
      <x:c r="K9" s="40" t="str">
        <x:v>Database test / RLS test</x:v>
      </x:c>
      <x:c r="L9" s="40" t="str">
        <x:v>Not Started</x:v>
      </x:c>
      <x:c r="M9" s="40"/>
    </x:row>
    <x:row r="10">
      <x:c r="A10" s="40" t="str">
        <x:v>VS-01</x:v>
      </x:c>
      <x:c r="B10" s="40" t="n">
        <x:v>1</x:v>
      </x:c>
      <x:c r="C10" s="40" t="str">
        <x:v>Wave 1 — Foundation</x:v>
      </x:c>
      <x:c r="D10" s="40" t="str">
        <x:v>A. App Startup and Guest Onboarding</x:v>
      </x:c>
      <x:c r="E10" s="40" t="str">
        <x:v>AC-A-007</x:v>
      </x:c>
      <x:c r="F10" s="40" t="str">
        <x:v>FR-A-007</x:v>
      </x:c>
      <x:c r="G10" s="40" t="str">
        <x:v>Given the applicable App Startup and Guest Onboarding preconditions and a valid Local Profile</x:v>
      </x:c>
      <x:c r="H10" s="40" t="str">
        <x:v>When the user performs the relevant action or the relevant system condition occurs</x:v>
      </x:c>
      <x:c r="I10" s="40" t="str">
        <x:v>Then support returning guest and returning signed-in startup.</x:v>
      </x:c>
      <x:c r="J10" s="40" t="str">
        <x:v>Yes</x:v>
      </x:c>
      <x:c r="K10" s="40" t="str">
        <x:v>Domain test</x:v>
      </x:c>
      <x:c r="L10" s="40" t="str">
        <x:v>Not Started</x:v>
      </x:c>
      <x:c r="M10" s="40"/>
    </x:row>
    <x:row r="11">
      <x:c r="A11" s="40" t="str">
        <x:v>VS-01</x:v>
      </x:c>
      <x:c r="B11" s="40" t="n">
        <x:v>1</x:v>
      </x:c>
      <x:c r="C11" s="40" t="str">
        <x:v>Wave 1 — Foundation</x:v>
      </x:c>
      <x:c r="D11" s="40" t="str">
        <x:v>A. App Startup and Guest Onboarding</x:v>
      </x:c>
      <x:c r="E11" s="40" t="str">
        <x:v>AC-A-008</x:v>
      </x:c>
      <x:c r="F11" s="40" t="str">
        <x:v>FR-A-008</x:v>
      </x:c>
      <x:c r="G11" s="40" t="str">
        <x:v>Given the applicable App Startup and Guest Onboarding preconditions and a valid Local Profile</x:v>
      </x:c>
      <x:c r="H11" s="40" t="str">
        <x:v>When the user performs the relevant action or the relevant system condition occurs</x:v>
      </x:c>
      <x:c r="I11" s="40" t="str">
        <x:v>Then protect content before privacy-lock authentication.</x:v>
      </x:c>
      <x:c r="J11" s="40" t="str">
        <x:v>Yes</x:v>
      </x:c>
      <x:c r="K11" s="40" t="str">
        <x:v>Domain test</x:v>
      </x:c>
      <x:c r="L11" s="40" t="str">
        <x:v>Not Started</x:v>
      </x:c>
      <x:c r="M11" s="40"/>
    </x:row>
    <x:row r="12">
      <x:c r="A12" s="40" t="str">
        <x:v>VS-01</x:v>
      </x:c>
      <x:c r="B12" s="40" t="n">
        <x:v>1</x:v>
      </x:c>
      <x:c r="C12" s="40" t="str">
        <x:v>Wave 1 — Foundation</x:v>
      </x:c>
      <x:c r="D12" s="40" t="str">
        <x:v>A. App Startup and Guest Onboarding</x:v>
      </x:c>
      <x:c r="E12" s="40" t="str">
        <x:v>AC-A-009</x:v>
      </x:c>
      <x:c r="F12" s="40" t="str">
        <x:v>FR-A-009</x:v>
      </x:c>
      <x:c r="G12" s="40" t="str">
        <x:v>Given the applicable App Startup and Guest Onboarding preconditions and a valid Local Profile</x:v>
      </x:c>
      <x:c r="H12" s="40" t="str">
        <x:v>When the user performs the relevant action or the relevant system condition occurs</x:v>
      </x:c>
      <x:c r="I12" s="40" t="str">
        <x:v>Then support recovery from an interrupted or failed migration.</x:v>
      </x:c>
      <x:c r="J12" s="40" t="str">
        <x:v>No</x:v>
      </x:c>
      <x:c r="K12" s="40" t="str">
        <x:v>Integration test</x:v>
      </x:c>
      <x:c r="L12" s="40" t="str">
        <x:v>Not Started</x:v>
      </x:c>
      <x:c r="M12" s="40"/>
    </x:row>
    <x:row r="13">
      <x:c r="A13" s="40" t="str">
        <x:v>VS-01</x:v>
      </x:c>
      <x:c r="B13" s="40" t="n">
        <x:v>1</x:v>
      </x:c>
      <x:c r="C13" s="40" t="str">
        <x:v>Wave 1 — Foundation</x:v>
      </x:c>
      <x:c r="D13" s="40" t="str">
        <x:v>A. App Startup and Guest Onboarding</x:v>
      </x:c>
      <x:c r="E13" s="40" t="str">
        <x:v>AC-A-010</x:v>
      </x:c>
      <x:c r="F13" s="40" t="str">
        <x:v>FR-A-010</x:v>
      </x:c>
      <x:c r="G13" s="40" t="str">
        <x:v>Given the applicable App Startup and Guest Onboarding preconditions and a valid Local Profile</x:v>
      </x:c>
      <x:c r="H13" s="40" t="str">
        <x:v>When the user performs the relevant action or the relevant system condition occurs</x:v>
      </x:c>
      <x:c r="I13" s="40" t="str">
        <x:v>Then not silently destroy or recreate local data following migration failure.</x:v>
      </x:c>
      <x:c r="J13" s="40" t="str">
        <x:v>Yes</x:v>
      </x:c>
      <x:c r="K13" s="40" t="str">
        <x:v>Domain test</x:v>
      </x:c>
      <x:c r="L13" s="40" t="str">
        <x:v>Not Started</x:v>
      </x:c>
      <x:c r="M13" s="40"/>
    </x:row>
    <x:row r="14">
      <x:c r="A14" s="40" t="str">
        <x:v>VS-01</x:v>
      </x:c>
      <x:c r="B14" s="40" t="n">
        <x:v>1</x:v>
      </x:c>
      <x:c r="C14" s="40" t="str">
        <x:v>Wave 1 — Foundation</x:v>
      </x:c>
      <x:c r="D14" s="40" t="str">
        <x:v>A. App Startup and Guest Onboarding</x:v>
      </x:c>
      <x:c r="E14" s="40" t="str">
        <x:v>AC-A-011</x:v>
      </x:c>
      <x:c r="F14" s="40" t="str">
        <x:v>FR-A-011</x:v>
      </x:c>
      <x:c r="G14" s="40" t="str">
        <x:v>Given the applicable App Startup and Guest Onboarding preconditions and a valid Local Profile</x:v>
      </x:c>
      <x:c r="H14" s="40" t="str">
        <x:v>When the user performs the relevant action or the relevant system condition occurs</x:v>
      </x:c>
      <x:c r="I14" s="40" t="str">
        <x:v>Then display a clear distinction between local readiness, account state, and sync state.</x:v>
      </x:c>
      <x:c r="J14" s="40" t="str">
        <x:v>No</x:v>
      </x:c>
      <x:c r="K14" s="40" t="str">
        <x:v>Widget test / Integration test</x:v>
      </x:c>
      <x:c r="L14" s="40" t="str">
        <x:v>Not Started</x:v>
      </x:c>
      <x:c r="M14" s="40"/>
    </x:row>
    <x:row r="15">
      <x:c r="A15" s="40" t="str">
        <x:v>VS-01</x:v>
      </x:c>
      <x:c r="B15" s="40" t="n">
        <x:v>1</x:v>
      </x:c>
      <x:c r="C15" s="40" t="str">
        <x:v>Wave 1 — Foundation</x:v>
      </x:c>
      <x:c r="D15" s="40" t="str">
        <x:v>A. App Startup and Guest Onboarding</x:v>
      </x:c>
      <x:c r="E15" s="40" t="str">
        <x:v>AC-A-012</x:v>
      </x:c>
      <x:c r="F15" s="40" t="str">
        <x:v>FR-A-012</x:v>
      </x:c>
      <x:c r="G15" s="40" t="str">
        <x:v>Given the applicable App Startup and Guest Onboarding preconditions and a valid Local Profile</x:v>
      </x:c>
      <x:c r="H15" s="40" t="str">
        <x:v>When the user performs the relevant action or the relevant system condition occurs</x:v>
      </x:c>
      <x:c r="I15" s="40" t="str">
        <x:v>Then allow local use when an account session expires.</x:v>
      </x:c>
      <x:c r="J15" s="40" t="str">
        <x:v>No</x:v>
      </x:c>
      <x:c r="K15" s="40" t="str">
        <x:v>Domain test</x:v>
      </x:c>
      <x:c r="L15" s="40" t="str">
        <x:v>Not Started</x:v>
      </x:c>
      <x:c r="M15" s="40"/>
    </x:row>
    <x:row r="16">
      <x:c r="A16" s="40" t="str">
        <x:v>VS-01</x:v>
      </x:c>
      <x:c r="B16" s="40" t="n">
        <x:v>1</x:v>
      </x:c>
      <x:c r="C16" s="40" t="str">
        <x:v>Wave 1 — Foundation</x:v>
      </x:c>
      <x:c r="D16" s="40" t="str">
        <x:v>A. App Startup and Guest Onboarding</x:v>
      </x:c>
      <x:c r="E16" s="40" t="str">
        <x:v>AC-A-013</x:v>
      </x:c>
      <x:c r="F16" s="40" t="str">
        <x:v>FR-A-013</x:v>
      </x:c>
      <x:c r="G16" s="40" t="str">
        <x:v>Given the applicable App Startup and Guest Onboarding preconditions and a valid Local Profile</x:v>
      </x:c>
      <x:c r="H16" s="40" t="str">
        <x:v>When the user performs the relevant action or the relevant system condition occurs</x:v>
      </x:c>
      <x:c r="I16" s="40" t="str">
        <x:v>Then provide safe handling of invalid startup links.</x:v>
      </x:c>
      <x:c r="J16" s="40" t="str">
        <x:v>No</x:v>
      </x:c>
      <x:c r="K16" s="40" t="str">
        <x:v>Domain test</x:v>
      </x:c>
      <x:c r="L16" s="40" t="str">
        <x:v>Not Started</x:v>
      </x:c>
      <x:c r="M16" s="40"/>
    </x:row>
    <x:row r="17">
      <x:c r="A17" s="40" t="str">
        <x:v>VS-01</x:v>
      </x:c>
      <x:c r="B17" s="40" t="n">
        <x:v>1</x:v>
      </x:c>
      <x:c r="C17" s="40" t="str">
        <x:v>Wave 1 — Foundation</x:v>
      </x:c>
      <x:c r="D17" s="40" t="str">
        <x:v>A. App Startup and Guest Onboarding</x:v>
      </x:c>
      <x:c r="E17" s="40" t="str">
        <x:v>AC-A-014</x:v>
      </x:c>
      <x:c r="F17" s="40" t="str">
        <x:v>FR-A-014</x:v>
      </x:c>
      <x:c r="G17" s="40" t="str">
        <x:v>Given the applicable App Startup and Guest Onboarding preconditions and a valid Local Profile</x:v>
      </x:c>
      <x:c r="H17" s="40" t="str">
        <x:v>When the user performs the relevant action or the relevant system condition occurs</x:v>
      </x:c>
      <x:c r="I17" s="40" t="str">
        <x:v>Then preserve an interrupted onboarding state where safe.</x:v>
      </x:c>
      <x:c r="J17" s="40" t="str">
        <x:v>Yes</x:v>
      </x:c>
      <x:c r="K17" s="40" t="str">
        <x:v>Domain test</x:v>
      </x:c>
      <x:c r="L17" s="40" t="str">
        <x:v>Not Started</x:v>
      </x:c>
      <x:c r="M17" s="40"/>
    </x:row>
    <x:row r="18">
      <x:c r="A18" s="40" t="str">
        <x:v>VS-01</x:v>
      </x:c>
      <x:c r="B18" s="40" t="n">
        <x:v>1</x:v>
      </x:c>
      <x:c r="C18" s="40" t="str">
        <x:v>Wave 1 — Foundation</x:v>
      </x:c>
      <x:c r="D18" s="40" t="str">
        <x:v>A. App Startup and Guest Onboarding</x:v>
      </x:c>
      <x:c r="E18" s="40" t="str">
        <x:v>AC-A-015</x:v>
      </x:c>
      <x:c r="F18" s="40" t="str">
        <x:v>FR-A-015</x:v>
      </x:c>
      <x:c r="G18" s="40" t="str">
        <x:v>Given the applicable App Startup and Guest Onboarding preconditions and a valid Local Profile</x:v>
      </x:c>
      <x:c r="H18" s="40" t="str">
        <x:v>When the user performs the relevant action or the relevant system condition occurs</x:v>
      </x:c>
      <x:c r="I18" s="40" t="str">
        <x:v>Then show an actionable first-use Home state.</x:v>
      </x:c>
      <x:c r="J18" s="40" t="str">
        <x:v>No</x:v>
      </x:c>
      <x:c r="K18" s="40" t="str">
        <x:v>Domain test</x:v>
      </x:c>
      <x:c r="L18" s="40" t="str">
        <x:v>Not Started</x:v>
      </x:c>
      <x:c r="M18" s="40"/>
    </x:row>
    <x:row r="19">
      <x:c r="A19" s="40" t="str">
        <x:v>VS-01</x:v>
      </x:c>
      <x:c r="B19" s="40" t="n">
        <x:v>1</x:v>
      </x:c>
      <x:c r="C19" s="40" t="str">
        <x:v>Wave 1 — Foundation</x:v>
      </x:c>
      <x:c r="D19" s="40" t="str">
        <x:v>A. App Startup and Guest Onboarding</x:v>
      </x:c>
      <x:c r="E19" s="40" t="str">
        <x:v>AC-A-016</x:v>
      </x:c>
      <x:c r="F19" s="40" t="str">
        <x:v>FR-A-016</x:v>
      </x:c>
      <x:c r="G19" s="40" t="str">
        <x:v>Given the applicable App Startup and Guest Onboarding preconditions and a valid Local Profile</x:v>
      </x:c>
      <x:c r="H19" s="40" t="str">
        <x:v>When the user performs the relevant action or the relevant system condition occurs</x:v>
      </x:c>
      <x:c r="I19" s="40" t="str">
        <x:v>Then prevent duplicate Local Profiles from being created through repeated startup attempts.</x:v>
      </x:c>
      <x:c r="J19" s="40" t="str">
        <x:v>Yes</x:v>
      </x:c>
      <x:c r="K19" s="40" t="str">
        <x:v>Domain test</x:v>
      </x:c>
      <x:c r="L19" s="40" t="str">
        <x:v>Not Started</x:v>
      </x:c>
      <x:c r="M19" s="40"/>
    </x:row>
    <x:row r="20">
      <x:c r="A20" s="40" t="str">
        <x:v>VS-01</x:v>
      </x:c>
      <x:c r="B20" s="40" t="n">
        <x:v>1</x:v>
      </x:c>
      <x:c r="C20" s="40" t="str">
        <x:v>Wave 1 — Foundation</x:v>
      </x:c>
      <x:c r="D20" s="40" t="str">
        <x:v>A. App Startup and Guest Onboarding</x:v>
      </x:c>
      <x:c r="E20" s="40" t="str">
        <x:v>AC-A-017</x:v>
      </x:c>
      <x:c r="F20" s="40" t="str">
        <x:v>FR-A-017</x:v>
      </x:c>
      <x:c r="G20" s="40" t="str">
        <x:v>Given the applicable App Startup and Guest Onboarding preconditions and a valid Local Profile</x:v>
      </x:c>
      <x:c r="H20" s="40" t="str">
        <x:v>When the user performs the relevant action or the relevant system condition occurs</x:v>
      </x:c>
      <x:c r="I20" s="40" t="str">
        <x:v>Then not request unrelated Android permissions during onboarding.</x:v>
      </x:c>
      <x:c r="J20" s="40" t="str">
        <x:v>Yes</x:v>
      </x:c>
      <x:c r="K20" s="40" t="str">
        <x:v>Widget test</x:v>
      </x:c>
      <x:c r="L20" s="40" t="str">
        <x:v>Not Started</x:v>
      </x:c>
      <x:c r="M20" s="40"/>
    </x:row>
    <x:row r="21">
      <x:c r="A21" s="40" t="str">
        <x:v>VS-01</x:v>
      </x:c>
      <x:c r="B21" s="40" t="n">
        <x:v>1</x:v>
      </x:c>
      <x:c r="C21" s="40" t="str">
        <x:v>Wave 1 — Foundation</x:v>
      </x:c>
      <x:c r="D21" s="40" t="str">
        <x:v>A. App Startup and Guest Onboarding</x:v>
      </x:c>
      <x:c r="E21" s="40" t="str">
        <x:v>AC-A-018</x:v>
      </x:c>
      <x:c r="F21" s="40" t="str">
        <x:v>FR-A-018</x:v>
      </x:c>
      <x:c r="G21" s="40" t="str">
        <x:v>Given the applicable App Startup and Guest Onboarding preconditions and a valid Local Profile</x:v>
      </x:c>
      <x:c r="H21" s="40" t="str">
        <x:v>When the user performs the relevant action or the relevant system condition occurs</x:v>
      </x:c>
      <x:c r="I21" s="40" t="str">
        <x:v>Then surface data-loss risk before any reset.</x:v>
      </x:c>
      <x:c r="J21" s="40" t="str">
        <x:v>No</x:v>
      </x:c>
      <x:c r="K21" s="40" t="str">
        <x:v>Domain test</x:v>
      </x:c>
      <x:c r="L21" s="40" t="str">
        <x:v>Not Started</x:v>
      </x:c>
      <x:c r="M21" s="40"/>
    </x:row>
    <x:row r="22">
      <x:c r="A22" s="40" t="str">
        <x:v>VS-01</x:v>
      </x:c>
      <x:c r="B22" s="40" t="n">
        <x:v>1</x:v>
      </x:c>
      <x:c r="C22" s="40" t="str">
        <x:v>Wave 1 — Foundation</x:v>
      </x:c>
      <x:c r="D22" s="40" t="str">
        <x:v>A. App Startup and Guest Onboarding</x:v>
      </x:c>
      <x:c r="E22" s="40" t="str">
        <x:v>AC-A-019</x:v>
      </x:c>
      <x:c r="F22" s="40" t="str">
        <x:v>FR-A-019</x:v>
      </x:c>
      <x:c r="G22" s="40" t="str">
        <x:v>Given the applicable App Startup and Guest Onboarding preconditions and a valid Local Profile</x:v>
      </x:c>
      <x:c r="H22" s="40" t="str">
        <x:v>When the user performs the relevant action or the relevant system condition occurs</x:v>
      </x:c>
      <x:c r="I22" s="40" t="str">
        <x:v>Then permit account setup later from the approved settings area.</x:v>
      </x:c>
      <x:c r="J22" s="40" t="str">
        <x:v>No</x:v>
      </x:c>
      <x:c r="K22" s="40" t="str">
        <x:v>Domain test</x:v>
      </x:c>
      <x:c r="L22" s="40" t="str">
        <x:v>Not Started</x:v>
      </x:c>
      <x:c r="M22" s="40"/>
    </x:row>
    <x:row r="23">
      <x:c r="A23" s="40" t="str">
        <x:v>VS-01</x:v>
      </x:c>
      <x:c r="B23" s="40" t="n">
        <x:v>1</x:v>
      </x:c>
      <x:c r="C23" s="40" t="str">
        <x:v>Wave 1 — Foundation</x:v>
      </x:c>
      <x:c r="D23" s="40" t="str">
        <x:v>A. App Startup and Guest Onboarding</x:v>
      </x:c>
      <x:c r="E23" s="40" t="str">
        <x:v>AC-A-020</x:v>
      </x:c>
      <x:c r="F23" s="40" t="str">
        <x:v>FR-A-020</x:v>
      </x:c>
      <x:c r="G23" s="40" t="str">
        <x:v>Given the applicable App Startup and Guest Onboarding preconditions and a valid Local Profile</x:v>
      </x:c>
      <x:c r="H23" s="40" t="str">
        <x:v>When the user performs the relevant action or the relevant system condition occurs</x:v>
      </x:c>
      <x:c r="I23" s="40" t="str">
        <x:v>Then keep optional remote initialization from blocking navigation.</x:v>
      </x:c>
      <x:c r="J23" s="40" t="str">
        <x:v>Yes</x:v>
      </x:c>
      <x:c r="K23" s="40" t="str">
        <x:v>Domain test</x:v>
      </x:c>
      <x:c r="L23" s="40" t="str">
        <x:v>Not Started</x:v>
      </x:c>
      <x:c r="M23" s="40"/>
    </x:row>
    <x:row r="24">
      <x:c r="A24" s="40" t="str">
        <x:v>VS-07</x:v>
      </x:c>
      <x:c r="B24" s="40" t="n">
        <x:v>7</x:v>
      </x:c>
      <x:c r="C24" s="40" t="str">
        <x:v>Wave 2 — Core Planning Loop</x:v>
      </x:c>
      <x:c r="D24" s="40" t="str">
        <x:v>B. Home and Life Indicators</x:v>
      </x:c>
      <x:c r="E24" s="40" t="str">
        <x:v>AC-B-001</x:v>
      </x:c>
      <x:c r="F24" s="40" t="str">
        <x:v>FR-B-001</x:v>
      </x:c>
      <x:c r="G24" s="40" t="str">
        <x:v>Given the applicable Home and Life Indicators preconditions and a valid Local Profile</x:v>
      </x:c>
      <x:c r="H24" s="40" t="str">
        <x:v>When the user performs the relevant action or the relevant system condition occurs</x:v>
      </x:c>
      <x:c r="I24" s="40" t="str">
        <x:v>Then display the active period and its date boundaries.</x:v>
      </x:c>
      <x:c r="J24" s="40" t="str">
        <x:v>Yes</x:v>
      </x:c>
      <x:c r="K24" s="40" t="str">
        <x:v>Widget test</x:v>
      </x:c>
      <x:c r="L24" s="40" t="str">
        <x:v>Not Started</x:v>
      </x:c>
      <x:c r="M24" s="40"/>
    </x:row>
    <x:row r="25">
      <x:c r="A25" s="40" t="str">
        <x:v>VS-07</x:v>
      </x:c>
      <x:c r="B25" s="40" t="n">
        <x:v>7</x:v>
      </x:c>
      <x:c r="C25" s="40" t="str">
        <x:v>Wave 2 — Core Planning Loop</x:v>
      </x:c>
      <x:c r="D25" s="40" t="str">
        <x:v>B. Home and Life Indicators</x:v>
      </x:c>
      <x:c r="E25" s="40" t="str">
        <x:v>AC-B-002</x:v>
      </x:c>
      <x:c r="F25" s="40" t="str">
        <x:v>FR-B-002</x:v>
      </x:c>
      <x:c r="G25" s="40" t="str">
        <x:v>Given the applicable Home and Life Indicators preconditions and a valid Local Profile</x:v>
      </x:c>
      <x:c r="H25" s="40" t="str">
        <x:v>When the user performs the relevant action or the relevant system condition occurs</x:v>
      </x:c>
      <x:c r="I25" s="40" t="str">
        <x:v>Then display all six approved initial Life Indicators.</x:v>
      </x:c>
      <x:c r="J25" s="40" t="str">
        <x:v>Yes</x:v>
      </x:c>
      <x:c r="K25" s="40" t="str">
        <x:v>Widget test</x:v>
      </x:c>
      <x:c r="L25" s="40" t="str">
        <x:v>Not Started</x:v>
      </x:c>
      <x:c r="M25" s="40"/>
    </x:row>
    <x:row r="26">
      <x:c r="A26" s="40" t="str">
        <x:v>VS-07</x:v>
      </x:c>
      <x:c r="B26" s="40" t="n">
        <x:v>7</x:v>
      </x:c>
      <x:c r="C26" s="40" t="str">
        <x:v>Wave 2 — Core Planning Loop</x:v>
      </x:c>
      <x:c r="D26" s="40" t="str">
        <x:v>B. Home and Life Indicators</x:v>
      </x:c>
      <x:c r="E26" s="40" t="str">
        <x:v>AC-B-003</x:v>
      </x:c>
      <x:c r="F26" s="40" t="str">
        <x:v>FR-B-003</x:v>
      </x:c>
      <x:c r="G26" s="40" t="str">
        <x:v>Given the applicable Home and Life Indicators preconditions and a valid Local Profile</x:v>
      </x:c>
      <x:c r="H26" s="40" t="str">
        <x:v>When the user performs the relevant action or the relevant system condition occurs</x:v>
      </x:c>
      <x:c r="I26" s="40" t="str">
        <x:v>Then each indicator shall display Actual, Target, and Scheduled Potential as separately labeled values.</x:v>
      </x:c>
      <x:c r="J26" s="40" t="str">
        <x:v>Yes</x:v>
      </x:c>
      <x:c r="K26" s="40" t="str">
        <x:v>Domain test / Widget test</x:v>
      </x:c>
      <x:c r="L26" s="40" t="str">
        <x:v>Not Started</x:v>
      </x:c>
      <x:c r="M26" s="40"/>
    </x:row>
    <x:row r="27">
      <x:c r="A27" s="40" t="str">
        <x:v>VS-07</x:v>
      </x:c>
      <x:c r="B27" s="40" t="n">
        <x:v>7</x:v>
      </x:c>
      <x:c r="C27" s="40" t="str">
        <x:v>Wave 2 — Core Planning Loop</x:v>
      </x:c>
      <x:c r="D27" s="40" t="str">
        <x:v>B. Home and Life Indicators</x:v>
      </x:c>
      <x:c r="E27" s="40" t="str">
        <x:v>AC-B-004</x:v>
      </x:c>
      <x:c r="F27" s="40" t="str">
        <x:v>FR-B-004</x:v>
      </x:c>
      <x:c r="G27" s="40" t="str">
        <x:v>Given the applicable Home and Life Indicators preconditions and a valid Local Profile</x:v>
      </x:c>
      <x:c r="H27" s="40" t="str">
        <x:v>When the user performs the relevant action or the relevant system condition occurs</x:v>
      </x:c>
      <x:c r="I27" s="40" t="str">
        <x:v>Then derive Actual from local Activity Ledger-backed projections.</x:v>
      </x:c>
      <x:c r="J27" s="40" t="str">
        <x:v>Yes</x:v>
      </x:c>
      <x:c r="K27" s="40" t="str">
        <x:v>Domain test / Database test</x:v>
      </x:c>
      <x:c r="L27" s="40" t="str">
        <x:v>Not Started</x:v>
      </x:c>
      <x:c r="M27" s="40"/>
    </x:row>
    <x:row r="28">
      <x:c r="A28" s="40" t="str">
        <x:v>VS-07</x:v>
      </x:c>
      <x:c r="B28" s="40" t="n">
        <x:v>7</x:v>
      </x:c>
      <x:c r="C28" s="40" t="str">
        <x:v>Wave 2 — Core Planning Loop</x:v>
      </x:c>
      <x:c r="D28" s="40" t="str">
        <x:v>B. Home and Life Indicators</x:v>
      </x:c>
      <x:c r="E28" s="40" t="str">
        <x:v>AC-B-005</x:v>
      </x:c>
      <x:c r="F28" s="40" t="str">
        <x:v>FR-B-005</x:v>
      </x:c>
      <x:c r="G28" s="40" t="str">
        <x:v>Given the applicable Home and Life Indicators preconditions and a valid Local Profile</x:v>
      </x:c>
      <x:c r="H28" s="40" t="str">
        <x:v>When the user performs the relevant action or the relevant system condition occurs</x:v>
      </x:c>
      <x:c r="I28" s="40" t="str">
        <x:v>Then provide access to each indicator’s contribution history.</x:v>
      </x:c>
      <x:c r="J28" s="40" t="str">
        <x:v>Yes</x:v>
      </x:c>
      <x:c r="K28" s="40" t="str">
        <x:v>Domain test</x:v>
      </x:c>
      <x:c r="L28" s="40" t="str">
        <x:v>Not Started</x:v>
      </x:c>
      <x:c r="M28" s="40"/>
    </x:row>
    <x:row r="29">
      <x:c r="A29" s="40" t="str">
        <x:v>VS-07</x:v>
      </x:c>
      <x:c r="B29" s="40" t="n">
        <x:v>7</x:v>
      </x:c>
      <x:c r="C29" s="40" t="str">
        <x:v>Wave 2 — Core Planning Loop</x:v>
      </x:c>
      <x:c r="D29" s="40" t="str">
        <x:v>B. Home and Life Indicators</x:v>
      </x:c>
      <x:c r="E29" s="40" t="str">
        <x:v>AC-B-006</x:v>
      </x:c>
      <x:c r="F29" s="40" t="str">
        <x:v>FR-B-006</x:v>
      </x:c>
      <x:c r="G29" s="40" t="str">
        <x:v>Given the applicable Home and Life Indicators preconditions and a valid Local Profile</x:v>
      </x:c>
      <x:c r="H29" s="40" t="str">
        <x:v>When the user performs the relevant action or the relevant system condition occurs</x:v>
      </x:c>
      <x:c r="I29" s="40" t="str">
        <x:v>Then provide access to the sources of Scheduled Potential.</x:v>
      </x:c>
      <x:c r="J29" s="40" t="str">
        <x:v>Yes</x:v>
      </x:c>
      <x:c r="K29" s="40" t="str">
        <x:v>Domain test</x:v>
      </x:c>
      <x:c r="L29" s="40" t="str">
        <x:v>Not Started</x:v>
      </x:c>
      <x:c r="M29" s="40"/>
    </x:row>
    <x:row r="30">
      <x:c r="A30" s="40" t="str">
        <x:v>VS-07</x:v>
      </x:c>
      <x:c r="B30" s="40" t="n">
        <x:v>7</x:v>
      </x:c>
      <x:c r="C30" s="40" t="str">
        <x:v>Wave 2 — Core Planning Loop</x:v>
      </x:c>
      <x:c r="D30" s="40" t="str">
        <x:v>B. Home and Life Indicators</x:v>
      </x:c>
      <x:c r="E30" s="40" t="str">
        <x:v>AC-B-007</x:v>
      </x:c>
      <x:c r="F30" s="40" t="str">
        <x:v>FR-B-007</x:v>
      </x:c>
      <x:c r="G30" s="40" t="str">
        <x:v>Given the applicable Home and Life Indicators preconditions and a valid Local Profile</x:v>
      </x:c>
      <x:c r="H30" s="40" t="str">
        <x:v>When the user performs the relevant action or the relevant system condition occurs</x:v>
      </x:c>
      <x:c r="I30" s="40" t="str">
        <x:v>Then distinguish no target from a zero target.</x:v>
      </x:c>
      <x:c r="J30" s="40" t="str">
        <x:v>Yes</x:v>
      </x:c>
      <x:c r="K30" s="40" t="str">
        <x:v>Domain test</x:v>
      </x:c>
      <x:c r="L30" s="40" t="str">
        <x:v>Not Started</x:v>
      </x:c>
      <x:c r="M30" s="40"/>
    </x:row>
    <x:row r="31">
      <x:c r="A31" s="40" t="str">
        <x:v>VS-07</x:v>
      </x:c>
      <x:c r="B31" s="40" t="n">
        <x:v>7</x:v>
      </x:c>
      <x:c r="C31" s="40" t="str">
        <x:v>Wave 2 — Core Planning Loop</x:v>
      </x:c>
      <x:c r="D31" s="40" t="str">
        <x:v>B. Home and Life Indicators</x:v>
      </x:c>
      <x:c r="E31" s="40" t="str">
        <x:v>AC-B-008</x:v>
      </x:c>
      <x:c r="F31" s="40" t="str">
        <x:v>FR-B-008</x:v>
      </x:c>
      <x:c r="G31" s="40" t="str">
        <x:v>Given the applicable Home and Life Indicators preconditions and a valid Local Profile</x:v>
      </x:c>
      <x:c r="H31" s="40" t="str">
        <x:v>When the user performs the relevant action or the relevant system condition occurs</x:v>
      </x:c>
      <x:c r="I31" s="40" t="str">
        <x:v>Then update after valid reports, reversals, and replacements.</x:v>
      </x:c>
      <x:c r="J31" s="40" t="str">
        <x:v>Yes</x:v>
      </x:c>
      <x:c r="K31" s="40" t="str">
        <x:v>Domain test</x:v>
      </x:c>
      <x:c r="L31" s="40" t="str">
        <x:v>Not Started</x:v>
      </x:c>
      <x:c r="M31" s="40"/>
    </x:row>
    <x:row r="32">
      <x:c r="A32" s="40" t="str">
        <x:v>VS-07</x:v>
      </x:c>
      <x:c r="B32" s="40" t="n">
        <x:v>7</x:v>
      </x:c>
      <x:c r="C32" s="40" t="str">
        <x:v>Wave 2 — Core Planning Loop</x:v>
      </x:c>
      <x:c r="D32" s="40" t="str">
        <x:v>B. Home and Life Indicators</x:v>
      </x:c>
      <x:c r="E32" s="40" t="str">
        <x:v>AC-B-009</x:v>
      </x:c>
      <x:c r="F32" s="40" t="str">
        <x:v>FR-B-009</x:v>
      </x:c>
      <x:c r="G32" s="40" t="str">
        <x:v>Given the applicable Home and Life Indicators preconditions and a valid Local Profile</x:v>
      </x:c>
      <x:c r="H32" s="40" t="str">
        <x:v>When the user performs the relevant action or the relevant system condition occurs</x:v>
      </x:c>
      <x:c r="I32" s="40" t="str">
        <x:v>Then not permit direct Actual editing.</x:v>
      </x:c>
      <x:c r="J32" s="40" t="str">
        <x:v>Yes</x:v>
      </x:c>
      <x:c r="K32" s="40" t="str">
        <x:v>Domain test</x:v>
      </x:c>
      <x:c r="L32" s="40" t="str">
        <x:v>Not Started</x:v>
      </x:c>
      <x:c r="M32" s="40"/>
    </x:row>
    <x:row r="33">
      <x:c r="A33" s="40" t="str">
        <x:v>VS-07</x:v>
      </x:c>
      <x:c r="B33" s="40" t="n">
        <x:v>7</x:v>
      </x:c>
      <x:c r="C33" s="40" t="str">
        <x:v>Wave 2 — Core Planning Loop</x:v>
      </x:c>
      <x:c r="D33" s="40" t="str">
        <x:v>B. Home and Life Indicators</x:v>
      </x:c>
      <x:c r="E33" s="40" t="str">
        <x:v>AC-B-010</x:v>
      </x:c>
      <x:c r="F33" s="40" t="str">
        <x:v>FR-B-010</x:v>
      </x:c>
      <x:c r="G33" s="40" t="str">
        <x:v>Given the applicable Home and Life Indicators preconditions and a valid Local Profile</x:v>
      </x:c>
      <x:c r="H33" s="40" t="str">
        <x:v>When the user performs the relevant action or the relevant system condition occurs</x:v>
      </x:c>
      <x:c r="I33" s="40" t="str">
        <x:v>Then not classify records by title alone.</x:v>
      </x:c>
      <x:c r="J33" s="40" t="str">
        <x:v>Yes</x:v>
      </x:c>
      <x:c r="K33" s="40" t="str">
        <x:v>Domain test</x:v>
      </x:c>
      <x:c r="L33" s="40" t="str">
        <x:v>Not Started</x:v>
      </x:c>
      <x:c r="M33" s="40"/>
    </x:row>
    <x:row r="34">
      <x:c r="A34" s="40" t="str">
        <x:v>VS-07</x:v>
      </x:c>
      <x:c r="B34" s="40" t="n">
        <x:v>7</x:v>
      </x:c>
      <x:c r="C34" s="40" t="str">
        <x:v>Wave 2 — Core Planning Loop</x:v>
      </x:c>
      <x:c r="D34" s="40" t="str">
        <x:v>B. Home and Life Indicators</x:v>
      </x:c>
      <x:c r="E34" s="40" t="str">
        <x:v>AC-B-011</x:v>
      </x:c>
      <x:c r="F34" s="40" t="str">
        <x:v>FR-B-011</x:v>
      </x:c>
      <x:c r="G34" s="40" t="str">
        <x:v>Given the applicable Home and Life Indicators preconditions and a valid Local Profile</x:v>
      </x:c>
      <x:c r="H34" s="40" t="str">
        <x:v>When the user performs the relevant action or the relevant system condition occurs</x:v>
      </x:c>
      <x:c r="I34" s="40" t="str">
        <x:v>Then identify stale or rebuilding projection states.</x:v>
      </x:c>
      <x:c r="J34" s="40" t="str">
        <x:v>No</x:v>
      </x:c>
      <x:c r="K34" s="40" t="str">
        <x:v>Domain test</x:v>
      </x:c>
      <x:c r="L34" s="40" t="str">
        <x:v>Not Started</x:v>
      </x:c>
      <x:c r="M34" s="40"/>
    </x:row>
    <x:row r="35">
      <x:c r="A35" s="40" t="str">
        <x:v>VS-07</x:v>
      </x:c>
      <x:c r="B35" s="40" t="n">
        <x:v>7</x:v>
      </x:c>
      <x:c r="C35" s="40" t="str">
        <x:v>Wave 2 — Core Planning Loop</x:v>
      </x:c>
      <x:c r="D35" s="40" t="str">
        <x:v>B. Home and Life Indicators</x:v>
      </x:c>
      <x:c r="E35" s="40" t="str">
        <x:v>AC-B-012</x:v>
      </x:c>
      <x:c r="F35" s="40" t="str">
        <x:v>FR-B-012</x:v>
      </x:c>
      <x:c r="G35" s="40" t="str">
        <x:v>Given the applicable Home and Life Indicators preconditions and a valid Local Profile</x:v>
      </x:c>
      <x:c r="H35" s="40" t="str">
        <x:v>When the user performs the relevant action or the relevant system condition occurs</x:v>
      </x:c>
      <x:c r="I35" s="40" t="str">
        <x:v>Then remain usable when one projection fails.</x:v>
      </x:c>
      <x:c r="J35" s="40" t="str">
        <x:v>Yes</x:v>
      </x:c>
      <x:c r="K35" s="40" t="str">
        <x:v>Domain test</x:v>
      </x:c>
      <x:c r="L35" s="40" t="str">
        <x:v>Not Started</x:v>
      </x:c>
      <x:c r="M35" s="40"/>
    </x:row>
    <x:row r="36">
      <x:c r="A36" s="40" t="str">
        <x:v>VS-07</x:v>
      </x:c>
      <x:c r="B36" s="40" t="n">
        <x:v>7</x:v>
      </x:c>
      <x:c r="C36" s="40" t="str">
        <x:v>Wave 2 — Core Planning Loop</x:v>
      </x:c>
      <x:c r="D36" s="40" t="str">
        <x:v>B. Home and Life Indicators</x:v>
      </x:c>
      <x:c r="E36" s="40" t="str">
        <x:v>AC-B-013</x:v>
      </x:c>
      <x:c r="F36" s="40" t="str">
        <x:v>FR-B-013</x:v>
      </x:c>
      <x:c r="G36" s="40" t="str">
        <x:v>Given the applicable Home and Life Indicators preconditions and a valid Local Profile</x:v>
      </x:c>
      <x:c r="H36" s="40" t="str">
        <x:v>When the user performs the relevant action or the relevant system condition occurs</x:v>
      </x:c>
      <x:c r="I36" s="40" t="str">
        <x:v>Then provide a route to Planner for the current day.</x:v>
      </x:c>
      <x:c r="J36" s="40" t="str">
        <x:v>No</x:v>
      </x:c>
      <x:c r="K36" s="40" t="str">
        <x:v>Domain test</x:v>
      </x:c>
      <x:c r="L36" s="40" t="str">
        <x:v>Not Started</x:v>
      </x:c>
      <x:c r="M36" s="40"/>
    </x:row>
    <x:row r="37">
      <x:c r="A37" s="40" t="str">
        <x:v>VS-07</x:v>
      </x:c>
      <x:c r="B37" s="40" t="n">
        <x:v>7</x:v>
      </x:c>
      <x:c r="C37" s="40" t="str">
        <x:v>Wave 2 — Core Planning Loop</x:v>
      </x:c>
      <x:c r="D37" s="40" t="str">
        <x:v>B. Home and Life Indicators</x:v>
      </x:c>
      <x:c r="E37" s="40" t="str">
        <x:v>AC-B-014</x:v>
      </x:c>
      <x:c r="F37" s="40" t="str">
        <x:v>FR-B-014</x:v>
      </x:c>
      <x:c r="G37" s="40" t="str">
        <x:v>Given the applicable Home and Life Indicators preconditions and a valid Local Profile</x:v>
      </x:c>
      <x:c r="H37" s="40" t="str">
        <x:v>When the user performs the relevant action or the relevant system condition occurs</x:v>
      </x:c>
      <x:c r="I37" s="40" t="str">
        <x:v>Then provide a route to Weekly Planning for target changes.</x:v>
      </x:c>
      <x:c r="J37" s="40" t="str">
        <x:v>No</x:v>
      </x:c>
      <x:c r="K37" s="40" t="str">
        <x:v>Domain test</x:v>
      </x:c>
      <x:c r="L37" s="40" t="str">
        <x:v>Not Started</x:v>
      </x:c>
      <x:c r="M37" s="40"/>
    </x:row>
    <x:row r="38">
      <x:c r="A38" s="40" t="str">
        <x:v>VS-07</x:v>
      </x:c>
      <x:c r="B38" s="40" t="n">
        <x:v>7</x:v>
      </x:c>
      <x:c r="C38" s="40" t="str">
        <x:v>Wave 2 — Core Planning Loop</x:v>
      </x:c>
      <x:c r="D38" s="40" t="str">
        <x:v>B. Home and Life Indicators</x:v>
      </x:c>
      <x:c r="E38" s="40" t="str">
        <x:v>AC-B-015</x:v>
      </x:c>
      <x:c r="F38" s="40" t="str">
        <x:v>FR-B-015</x:v>
      </x:c>
      <x:c r="G38" s="40" t="str">
        <x:v>Given the applicable Home and Life Indicators preconditions and a valid Local Profile</x:v>
      </x:c>
      <x:c r="H38" s="40" t="str">
        <x:v>When the user performs the relevant action or the relevant system condition occurs</x:v>
      </x:c>
      <x:c r="I38" s="40" t="str">
        <x:v>Then show counts for relevant attention items, including overdue Tasks and Calendar Events Awaiting Report, when those summaries are included.</x:v>
      </x:c>
      <x:c r="J38" s="40" t="str">
        <x:v>No</x:v>
      </x:c>
      <x:c r="K38" s="40" t="str">
        <x:v>Integration test</x:v>
      </x:c>
      <x:c r="L38" s="40" t="str">
        <x:v>Not Started</x:v>
      </x:c>
      <x:c r="M38" s="40"/>
    </x:row>
    <x:row r="39">
      <x:c r="A39" s="40" t="str">
        <x:v>VS-07</x:v>
      </x:c>
      <x:c r="B39" s="40" t="n">
        <x:v>7</x:v>
      </x:c>
      <x:c r="C39" s="40" t="str">
        <x:v>Wave 2 — Core Planning Loop</x:v>
      </x:c>
      <x:c r="D39" s="40" t="str">
        <x:v>B. Home and Life Indicators</x:v>
      </x:c>
      <x:c r="E39" s="40" t="str">
        <x:v>AC-B-016</x:v>
      </x:c>
      <x:c r="F39" s="40" t="str">
        <x:v>FR-B-016</x:v>
      </x:c>
      <x:c r="G39" s="40" t="str">
        <x:v>Given the applicable Home and Life Indicators preconditions and a valid Local Profile</x:v>
      </x:c>
      <x:c r="H39" s="40" t="str">
        <x:v>When the user performs the relevant action or the relevant system condition occurs</x:v>
      </x:c>
      <x:c r="I39" s="40" t="str">
        <x:v>Then display spiritual-adjacent indicators without scoring spiritual quality.</x:v>
      </x:c>
      <x:c r="J39" s="40" t="str">
        <x:v>Yes</x:v>
      </x:c>
      <x:c r="K39" s="40" t="str">
        <x:v>Widget test / Manual review</x:v>
      </x:c>
      <x:c r="L39" s="40" t="str">
        <x:v>Not Started</x:v>
      </x:c>
      <x:c r="M39" s="40"/>
    </x:row>
    <x:row r="40">
      <x:c r="A40" s="40" t="str">
        <x:v>VS-07</x:v>
      </x:c>
      <x:c r="B40" s="40" t="n">
        <x:v>7</x:v>
      </x:c>
      <x:c r="C40" s="40" t="str">
        <x:v>Wave 2 — Core Planning Loop</x:v>
      </x:c>
      <x:c r="D40" s="40" t="str">
        <x:v>B. Home and Life Indicators</x:v>
      </x:c>
      <x:c r="E40" s="40" t="str">
        <x:v>AC-B-017</x:v>
      </x:c>
      <x:c r="F40" s="40" t="str">
        <x:v>FR-B-017</x:v>
      </x:c>
      <x:c r="G40" s="40" t="str">
        <x:v>Given the applicable Home and Life Indicators preconditions and a valid Local Profile</x:v>
      </x:c>
      <x:c r="H40" s="40" t="str">
        <x:v>When the user performs the relevant action or the relevant system condition occurs</x:v>
      </x:c>
      <x:c r="I40" s="40" t="str">
        <x:v>Then not combine the six indicators into a worthiness or life-quality score.</x:v>
      </x:c>
      <x:c r="J40" s="40" t="str">
        <x:v>Yes</x:v>
      </x:c>
      <x:c r="K40" s="40" t="str">
        <x:v>Domain test</x:v>
      </x:c>
      <x:c r="L40" s="40" t="str">
        <x:v>Not Started</x:v>
      </x:c>
      <x:c r="M40" s="40"/>
    </x:row>
    <x:row r="41">
      <x:c r="A41" s="40" t="str">
        <x:v>VS-07</x:v>
      </x:c>
      <x:c r="B41" s="40" t="n">
        <x:v>7</x:v>
      </x:c>
      <x:c r="C41" s="40" t="str">
        <x:v>Wave 2 — Core Planning Loop</x:v>
      </x:c>
      <x:c r="D41" s="40" t="str">
        <x:v>B. Home and Life Indicators</x:v>
      </x:c>
      <x:c r="E41" s="40" t="str">
        <x:v>AC-B-018</x:v>
      </x:c>
      <x:c r="F41" s="40" t="str">
        <x:v>FR-B-018</x:v>
      </x:c>
      <x:c r="G41" s="40" t="str">
        <x:v>Given the applicable Home and Life Indicators preconditions and a valid Local Profile</x:v>
      </x:c>
      <x:c r="H41" s="40" t="str">
        <x:v>When the user performs the relevant action or the relevant system condition occurs</x:v>
      </x:c>
      <x:c r="I41" s="40" t="str">
        <x:v>Then retain period context when navigating into an indicator.</x:v>
      </x:c>
      <x:c r="J41" s="40" t="str">
        <x:v>No</x:v>
      </x:c>
      <x:c r="K41" s="40" t="str">
        <x:v>Domain test</x:v>
      </x:c>
      <x:c r="L41" s="40" t="str">
        <x:v>Not Started</x:v>
      </x:c>
      <x:c r="M41" s="40"/>
    </x:row>
    <x:row r="42">
      <x:c r="A42" s="40" t="str">
        <x:v>VS-07</x:v>
      </x:c>
      <x:c r="B42" s="40" t="n">
        <x:v>7</x:v>
      </x:c>
      <x:c r="C42" s="40" t="str">
        <x:v>Wave 2 — Core Planning Loop</x:v>
      </x:c>
      <x:c r="D42" s="40" t="str">
        <x:v>B. Home and Life Indicators</x:v>
      </x:c>
      <x:c r="E42" s="40" t="str">
        <x:v>AC-B-019</x:v>
      </x:c>
      <x:c r="F42" s="40" t="str">
        <x:v>FR-B-019</x:v>
      </x:c>
      <x:c r="G42" s="40" t="str">
        <x:v>Given the applicable Home and Life Indicators preconditions and a valid Local Profile</x:v>
      </x:c>
      <x:c r="H42" s="40" t="str">
        <x:v>When the user performs the relevant action or the relevant system condition occurs</x:v>
      </x:c>
      <x:c r="I42" s="40" t="str">
        <x:v>Then correctly handle rescheduled and cancelled planned items in Scheduled Potential.</x:v>
      </x:c>
      <x:c r="J42" s="40" t="str">
        <x:v>No</x:v>
      </x:c>
      <x:c r="K42" s="40" t="str">
        <x:v>Domain test</x:v>
      </x:c>
      <x:c r="L42" s="40" t="str">
        <x:v>Not Started</x:v>
      </x:c>
      <x:c r="M42" s="40"/>
    </x:row>
    <x:row r="43">
      <x:c r="A43" s="40" t="str">
        <x:v>VS-07</x:v>
      </x:c>
      <x:c r="B43" s="40" t="n">
        <x:v>7</x:v>
      </x:c>
      <x:c r="C43" s="40" t="str">
        <x:v>Wave 2 — Core Planning Loop</x:v>
      </x:c>
      <x:c r="D43" s="40" t="str">
        <x:v>B. Home and Life Indicators</x:v>
      </x:c>
      <x:c r="E43" s="40" t="str">
        <x:v>AC-B-020</x:v>
      </x:c>
      <x:c r="F43" s="40" t="str">
        <x:v>FR-B-020</x:v>
      </x:c>
      <x:c r="G43" s="40" t="str">
        <x:v>Given the applicable Home and Life Indicators preconditions and a valid Local Profile</x:v>
      </x:c>
      <x:c r="H43" s="40" t="str">
        <x:v>When the user performs the relevant action or the relevant system condition occurs</x:v>
      </x:c>
      <x:c r="I43" s="40" t="str">
        <x:v>Then use local state as the immediate displayed source.</x:v>
      </x:c>
      <x:c r="J43" s="40" t="str">
        <x:v>No</x:v>
      </x:c>
      <x:c r="K43" s="40" t="str">
        <x:v>Widget test</x:v>
      </x:c>
      <x:c r="L43" s="40" t="str">
        <x:v>Not Started</x:v>
      </x:c>
      <x:c r="M43" s="40"/>
    </x:row>
    <x:row r="44">
      <x:c r="A44" s="40" t="str">
        <x:v>VS-03</x:v>
      </x:c>
      <x:c r="B44" s="40" t="n">
        <x:v>3</x:v>
      </x:c>
      <x:c r="C44" s="40" t="str">
        <x:v>Wave 2 — Core Planning Loop</x:v>
      </x:c>
      <x:c r="D44" s="40" t="str">
        <x:v>C. Planner Day View</x:v>
      </x:c>
      <x:c r="E44" s="40" t="str">
        <x:v>AC-C-001</x:v>
      </x:c>
      <x:c r="F44" s="40" t="str">
        <x:v>FR-C-001</x:v>
      </x:c>
      <x:c r="G44" s="40" t="str">
        <x:v>Given the applicable Planner Day View preconditions and a valid Local Profile</x:v>
      </x:c>
      <x:c r="H44" s="40" t="str">
        <x:v>When the user performs the relevant action or the relevant system condition occurs</x:v>
      </x:c>
      <x:c r="I44" s="40" t="str">
        <x:v>Then display a clearly identified selected date.</x:v>
      </x:c>
      <x:c r="J44" s="40" t="str">
        <x:v>Yes</x:v>
      </x:c>
      <x:c r="K44" s="40" t="str">
        <x:v>Widget test</x:v>
      </x:c>
      <x:c r="L44" s="40" t="str">
        <x:v>Not Started</x:v>
      </x:c>
      <x:c r="M44" s="40"/>
    </x:row>
    <x:row r="45">
      <x:c r="A45" s="40" t="str">
        <x:v>VS-03</x:v>
      </x:c>
      <x:c r="B45" s="40" t="n">
        <x:v>3</x:v>
      </x:c>
      <x:c r="C45" s="40" t="str">
        <x:v>Wave 2 — Core Planning Loop</x:v>
      </x:c>
      <x:c r="D45" s="40" t="str">
        <x:v>C. Planner Day View</x:v>
      </x:c>
      <x:c r="E45" s="40" t="str">
        <x:v>AC-C-002</x:v>
      </x:c>
      <x:c r="F45" s="40" t="str">
        <x:v>FR-C-002</x:v>
      </x:c>
      <x:c r="G45" s="40" t="str">
        <x:v>Given the applicable Planner Day View preconditions and a valid Local Profile</x:v>
      </x:c>
      <x:c r="H45" s="40" t="str">
        <x:v>When the user performs the relevant action or the relevant system condition occurs</x:v>
      </x:c>
      <x:c r="I45" s="40" t="str">
        <x:v>Then display Tasks and Calendar Events with different type indicators and interactions.</x:v>
      </x:c>
      <x:c r="J45" s="40" t="str">
        <x:v>Yes</x:v>
      </x:c>
      <x:c r="K45" s="40" t="str">
        <x:v>Widget test / Integration test</x:v>
      </x:c>
      <x:c r="L45" s="40" t="str">
        <x:v>Not Started</x:v>
      </x:c>
      <x:c r="M45" s="40"/>
    </x:row>
    <x:row r="46">
      <x:c r="A46" s="40" t="str">
        <x:v>VS-03</x:v>
      </x:c>
      <x:c r="B46" s="40" t="n">
        <x:v>3</x:v>
      </x:c>
      <x:c r="C46" s="40" t="str">
        <x:v>Wave 2 — Core Planning Loop</x:v>
      </x:c>
      <x:c r="D46" s="40" t="str">
        <x:v>C. Planner Day View</x:v>
      </x:c>
      <x:c r="E46" s="40" t="str">
        <x:v>AC-C-003</x:v>
      </x:c>
      <x:c r="F46" s="40" t="str">
        <x:v>FR-C-003</x:v>
      </x:c>
      <x:c r="G46" s="40" t="str">
        <x:v>Given the applicable Planner Day View preconditions and a valid Local Profile</x:v>
      </x:c>
      <x:c r="H46" s="40" t="str">
        <x:v>When the user performs the relevant action or the relevant system condition occurs</x:v>
      </x:c>
      <x:c r="I46" s="40" t="str">
        <x:v>Then support all-day and timed Calendar Events.</x:v>
      </x:c>
      <x:c r="J46" s="40" t="str">
        <x:v>Yes</x:v>
      </x:c>
      <x:c r="K46" s="40" t="str">
        <x:v>Integration test</x:v>
      </x:c>
      <x:c r="L46" s="40" t="str">
        <x:v>Not Started</x:v>
      </x:c>
      <x:c r="M46" s="40"/>
    </x:row>
    <x:row r="47">
      <x:c r="A47" s="40" t="str">
        <x:v>VS-03</x:v>
      </x:c>
      <x:c r="B47" s="40" t="n">
        <x:v>3</x:v>
      </x:c>
      <x:c r="C47" s="40" t="str">
        <x:v>Wave 2 — Core Planning Loop</x:v>
      </x:c>
      <x:c r="D47" s="40" t="str">
        <x:v>C. Planner Day View</x:v>
      </x:c>
      <x:c r="E47" s="40" t="str">
        <x:v>AC-C-004</x:v>
      </x:c>
      <x:c r="F47" s="40" t="str">
        <x:v>FR-C-004</x:v>
      </x:c>
      <x:c r="G47" s="40" t="str">
        <x:v>Given the applicable Planner Day View preconditions and a valid Local Profile</x:v>
      </x:c>
      <x:c r="H47" s="40" t="str">
        <x:v>When the user performs the relevant action or the relevant system condition occurs</x:v>
      </x:c>
      <x:c r="I47" s="40" t="str">
        <x:v>Then show Tasks due on the selected day.</x:v>
      </x:c>
      <x:c r="J47" s="40" t="str">
        <x:v>Yes</x:v>
      </x:c>
      <x:c r="K47" s="40" t="str">
        <x:v>Domain test</x:v>
      </x:c>
      <x:c r="L47" s="40" t="str">
        <x:v>Not Started</x:v>
      </x:c>
      <x:c r="M47" s="40"/>
    </x:row>
    <x:row r="48">
      <x:c r="A48" s="40" t="str">
        <x:v>VS-03</x:v>
      </x:c>
      <x:c r="B48" s="40" t="n">
        <x:v>3</x:v>
      </x:c>
      <x:c r="C48" s="40" t="str">
        <x:v>Wave 2 — Core Planning Loop</x:v>
      </x:c>
      <x:c r="D48" s="40" t="str">
        <x:v>C. Planner Day View</x:v>
      </x:c>
      <x:c r="E48" s="40" t="str">
        <x:v>AC-C-005</x:v>
      </x:c>
      <x:c r="F48" s="40" t="str">
        <x:v>FR-C-005</x:v>
      </x:c>
      <x:c r="G48" s="40" t="str">
        <x:v>Given the applicable Planner Day View preconditions and a valid Local Profile</x:v>
      </x:c>
      <x:c r="H48" s="40" t="str">
        <x:v>When the user performs the relevant action or the relevant system condition occurs</x:v>
      </x:c>
      <x:c r="I48" s="40" t="str">
        <x:v>Then show overdue Incomplete Tasks.</x:v>
      </x:c>
      <x:c r="J48" s="40" t="str">
        <x:v>Yes</x:v>
      </x:c>
      <x:c r="K48" s="40" t="str">
        <x:v>Domain test</x:v>
      </x:c>
      <x:c r="L48" s="40" t="str">
        <x:v>Not Started</x:v>
      </x:c>
      <x:c r="M48" s="40"/>
    </x:row>
    <x:row r="49">
      <x:c r="A49" s="40" t="str">
        <x:v>VS-03</x:v>
      </x:c>
      <x:c r="B49" s="40" t="n">
        <x:v>3</x:v>
      </x:c>
      <x:c r="C49" s="40" t="str">
        <x:v>Wave 2 — Core Planning Loop</x:v>
      </x:c>
      <x:c r="D49" s="40" t="str">
        <x:v>C. Planner Day View</x:v>
      </x:c>
      <x:c r="E49" s="40" t="str">
        <x:v>AC-C-006</x:v>
      </x:c>
      <x:c r="F49" s="40" t="str">
        <x:v>FR-C-006</x:v>
      </x:c>
      <x:c r="G49" s="40" t="str">
        <x:v>Given the applicable Planner Day View preconditions and a valid Local Profile</x:v>
      </x:c>
      <x:c r="H49" s="40" t="str">
        <x:v>When the user performs the relevant action or the relevant system condition occurs</x:v>
      </x:c>
      <x:c r="I49" s="40" t="str">
        <x:v>Then show ended report-required Calendar Events as Awaiting Report.</x:v>
      </x:c>
      <x:c r="J49" s="40" t="str">
        <x:v>Yes</x:v>
      </x:c>
      <x:c r="K49" s="40" t="str">
        <x:v>Integration test</x:v>
      </x:c>
      <x:c r="L49" s="40" t="str">
        <x:v>Not Started</x:v>
      </x:c>
      <x:c r="M49" s="40"/>
    </x:row>
    <x:row r="50">
      <x:c r="A50" s="40" t="str">
        <x:v>VS-03</x:v>
      </x:c>
      <x:c r="B50" s="40" t="n">
        <x:v>3</x:v>
      </x:c>
      <x:c r="C50" s="40" t="str">
        <x:v>Wave 2 — Core Planning Loop</x:v>
      </x:c>
      <x:c r="D50" s="40" t="str">
        <x:v>C. Planner Day View</x:v>
      </x:c>
      <x:c r="E50" s="40" t="str">
        <x:v>AC-C-007</x:v>
      </x:c>
      <x:c r="F50" s="40" t="str">
        <x:v>FR-C-007</x:v>
      </x:c>
      <x:c r="G50" s="40" t="str">
        <x:v>Given the applicable Planner Day View preconditions and a valid Local Profile</x:v>
      </x:c>
      <x:c r="H50" s="40" t="str">
        <x:v>When the user performs the relevant action or the relevant system condition occurs</x:v>
      </x:c>
      <x:c r="I50" s="40" t="str">
        <x:v>Then represent cancelled events.</x:v>
      </x:c>
      <x:c r="J50" s="40" t="str">
        <x:v>Yes</x:v>
      </x:c>
      <x:c r="K50" s="40" t="str">
        <x:v>Domain test</x:v>
      </x:c>
      <x:c r="L50" s="40" t="str">
        <x:v>Not Started</x:v>
      </x:c>
      <x:c r="M50" s="40"/>
    </x:row>
    <x:row r="51">
      <x:c r="A51" s="40" t="str">
        <x:v>VS-03</x:v>
      </x:c>
      <x:c r="B51" s="40" t="n">
        <x:v>3</x:v>
      </x:c>
      <x:c r="C51" s="40" t="str">
        <x:v>Wave 2 — Core Planning Loop</x:v>
      </x:c>
      <x:c r="D51" s="40" t="str">
        <x:v>C. Planner Day View</x:v>
      </x:c>
      <x:c r="E51" s="40" t="str">
        <x:v>AC-C-008</x:v>
      </x:c>
      <x:c r="F51" s="40" t="str">
        <x:v>FR-C-008</x:v>
      </x:c>
      <x:c r="G51" s="40" t="str">
        <x:v>Given the applicable Planner Day View preconditions and a valid Local Profile</x:v>
      </x:c>
      <x:c r="H51" s="40" t="str">
        <x:v>When the user performs the relevant action or the relevant system condition occurs</x:v>
      </x:c>
      <x:c r="I51" s="40" t="str">
        <x:v>Then represent original rescheduled occurrences and their replacement events without double-presenting them as active commitments.</x:v>
      </x:c>
      <x:c r="J51" s="40" t="str">
        <x:v>Yes</x:v>
      </x:c>
      <x:c r="K51" s="40" t="str">
        <x:v>Domain test</x:v>
      </x:c>
      <x:c r="L51" s="40" t="str">
        <x:v>Not Started</x:v>
      </x:c>
      <x:c r="M51" s="40"/>
    </x:row>
    <x:row r="52">
      <x:c r="A52" s="40" t="str">
        <x:v>VS-03</x:v>
      </x:c>
      <x:c r="B52" s="40" t="n">
        <x:v>3</x:v>
      </x:c>
      <x:c r="C52" s="40" t="str">
        <x:v>Wave 2 — Core Planning Loop</x:v>
      </x:c>
      <x:c r="D52" s="40" t="str">
        <x:v>C. Planner Day View</x:v>
      </x:c>
      <x:c r="E52" s="40" t="str">
        <x:v>AC-C-009</x:v>
      </x:c>
      <x:c r="F52" s="40" t="str">
        <x:v>FR-C-009</x:v>
      </x:c>
      <x:c r="G52" s="40" t="str">
        <x:v>Given the applicable Planner Day View preconditions and a valid Local Profile</x:v>
      </x:c>
      <x:c r="H52" s="40" t="str">
        <x:v>When the user performs the relevant action or the relevant system condition occurs</x:v>
      </x:c>
      <x:c r="I52" s="40" t="str">
        <x:v>Then support date navigation.</x:v>
      </x:c>
      <x:c r="J52" s="40" t="str">
        <x:v>No</x:v>
      </x:c>
      <x:c r="K52" s="40" t="str">
        <x:v>Domain test</x:v>
      </x:c>
      <x:c r="L52" s="40" t="str">
        <x:v>Not Started</x:v>
      </x:c>
      <x:c r="M52" s="40"/>
    </x:row>
    <x:row r="53">
      <x:c r="A53" s="40" t="str">
        <x:v>VS-03</x:v>
      </x:c>
      <x:c r="B53" s="40" t="n">
        <x:v>3</x:v>
      </x:c>
      <x:c r="C53" s="40" t="str">
        <x:v>Wave 2 — Core Planning Loop</x:v>
      </x:c>
      <x:c r="D53" s="40" t="str">
        <x:v>C. Planner Day View</x:v>
      </x:c>
      <x:c r="E53" s="40" t="str">
        <x:v>AC-C-010</x:v>
      </x:c>
      <x:c r="F53" s="40" t="str">
        <x:v>FR-C-010</x:v>
      </x:c>
      <x:c r="G53" s="40" t="str">
        <x:v>Given the applicable Planner Day View preconditions and a valid Local Profile</x:v>
      </x:c>
      <x:c r="H53" s="40" t="str">
        <x:v>When the user performs the relevant action or the relevant system condition occurs</x:v>
      </x:c>
      <x:c r="I53" s="40" t="str">
        <x:v>Then provide distinct creation actions for Task and Calendar Event.</x:v>
      </x:c>
      <x:c r="J53" s="40" t="str">
        <x:v>No</x:v>
      </x:c>
      <x:c r="K53" s="40" t="str">
        <x:v>Integration test</x:v>
      </x:c>
      <x:c r="L53" s="40" t="str">
        <x:v>Not Started</x:v>
      </x:c>
      <x:c r="M53" s="40"/>
    </x:row>
    <x:row r="54">
      <x:c r="A54" s="40" t="str">
        <x:v>VS-03</x:v>
      </x:c>
      <x:c r="B54" s="40" t="n">
        <x:v>3</x:v>
      </x:c>
      <x:c r="C54" s="40" t="str">
        <x:v>Wave 2 — Core Planning Loop</x:v>
      </x:c>
      <x:c r="D54" s="40" t="str">
        <x:v>C. Planner Day View</x:v>
      </x:c>
      <x:c r="E54" s="40" t="str">
        <x:v>AC-C-011</x:v>
      </x:c>
      <x:c r="F54" s="40" t="str">
        <x:v>FR-C-011</x:v>
      </x:c>
      <x:c r="G54" s="40" t="str">
        <x:v>Given the applicable Planner Day View preconditions and a valid Local Profile</x:v>
      </x:c>
      <x:c r="H54" s="40" t="str">
        <x:v>When the user performs the relevant action or the relevant system condition occurs</x:v>
      </x:c>
      <x:c r="I54" s="40" t="str">
        <x:v>Then support offline creation and editing.</x:v>
      </x:c>
      <x:c r="J54" s="40" t="str">
        <x:v>Yes</x:v>
      </x:c>
      <x:c r="K54" s="40" t="str">
        <x:v>Domain test</x:v>
      </x:c>
      <x:c r="L54" s="40" t="str">
        <x:v>Not Started</x:v>
      </x:c>
      <x:c r="M54" s="40"/>
    </x:row>
    <x:row r="55">
      <x:c r="A55" s="40" t="str">
        <x:v>VS-03</x:v>
      </x:c>
      <x:c r="B55" s="40" t="n">
        <x:v>3</x:v>
      </x:c>
      <x:c r="C55" s="40" t="str">
        <x:v>Wave 2 — Core Planning Loop</x:v>
      </x:c>
      <x:c r="D55" s="40" t="str">
        <x:v>C. Planner Day View</x:v>
      </x:c>
      <x:c r="E55" s="40" t="str">
        <x:v>AC-C-012</x:v>
      </x:c>
      <x:c r="F55" s="40" t="str">
        <x:v>FR-C-012</x:v>
      </x:c>
      <x:c r="G55" s="40" t="str">
        <x:v>Given the applicable Planner Day View preconditions and a valid Local Profile</x:v>
      </x:c>
      <x:c r="H55" s="40" t="str">
        <x:v>When the user performs the relevant action or the relevant system condition occurs</x:v>
      </x:c>
      <x:c r="I55" s="40" t="str">
        <x:v>Then route to the correct detail type.</x:v>
      </x:c>
      <x:c r="J55" s="40" t="str">
        <x:v>No</x:v>
      </x:c>
      <x:c r="K55" s="40" t="str">
        <x:v>Domain test</x:v>
      </x:c>
      <x:c r="L55" s="40" t="str">
        <x:v>Not Started</x:v>
      </x:c>
      <x:c r="M55" s="40"/>
    </x:row>
    <x:row r="56">
      <x:c r="A56" s="40" t="str">
        <x:v>VS-03</x:v>
      </x:c>
      <x:c r="B56" s="40" t="n">
        <x:v>3</x:v>
      </x:c>
      <x:c r="C56" s="40" t="str">
        <x:v>Wave 2 — Core Planning Loop</x:v>
      </x:c>
      <x:c r="D56" s="40" t="str">
        <x:v>C. Planner Day View</x:v>
      </x:c>
      <x:c r="E56" s="40" t="str">
        <x:v>AC-C-013</x:v>
      </x:c>
      <x:c r="F56" s="40" t="str">
        <x:v>FR-C-013</x:v>
      </x:c>
      <x:c r="G56" s="40" t="str">
        <x:v>Given the applicable Planner Day View preconditions and a valid Local Profile</x:v>
      </x:c>
      <x:c r="H56" s="40" t="str">
        <x:v>When the user performs the relevant action or the relevant system condition occurs</x:v>
      </x:c>
      <x:c r="I56" s="40" t="str">
        <x:v>Then display recurring-event identity.</x:v>
      </x:c>
      <x:c r="J56" s="40" t="str">
        <x:v>No</x:v>
      </x:c>
      <x:c r="K56" s="40" t="str">
        <x:v>Widget test</x:v>
      </x:c>
      <x:c r="L56" s="40" t="str">
        <x:v>Not Started</x:v>
      </x:c>
      <x:c r="M56" s="40"/>
    </x:row>
    <x:row r="57">
      <x:c r="A57" s="40" t="str">
        <x:v>VS-03</x:v>
      </x:c>
      <x:c r="B57" s="40" t="n">
        <x:v>3</x:v>
      </x:c>
      <x:c r="C57" s="40" t="str">
        <x:v>Wave 2 — Core Planning Loop</x:v>
      </x:c>
      <x:c r="D57" s="40" t="str">
        <x:v>C. Planner Day View</x:v>
      </x:c>
      <x:c r="E57" s="40" t="str">
        <x:v>AC-C-014</x:v>
      </x:c>
      <x:c r="F57" s="40" t="str">
        <x:v>FR-C-014</x:v>
      </x:c>
      <x:c r="G57" s="40" t="str">
        <x:v>Given the applicable Planner Day View preconditions and a valid Local Profile</x:v>
      </x:c>
      <x:c r="H57" s="40" t="str">
        <x:v>When the user performs the relevant action or the relevant system condition occurs</x:v>
      </x:c>
      <x:c r="I57" s="40" t="str">
        <x:v>Then support contextual location and map actions.</x:v>
      </x:c>
      <x:c r="J57" s="40" t="str">
        <x:v>No</x:v>
      </x:c>
      <x:c r="K57" s="40" t="str">
        <x:v>Domain test</x:v>
      </x:c>
      <x:c r="L57" s="40" t="str">
        <x:v>Not Started</x:v>
      </x:c>
      <x:c r="M57" s="40"/>
    </x:row>
    <x:row r="58">
      <x:c r="A58" s="40" t="str">
        <x:v>VS-03</x:v>
      </x:c>
      <x:c r="B58" s="40" t="n">
        <x:v>3</x:v>
      </x:c>
      <x:c r="C58" s="40" t="str">
        <x:v>Wave 2 — Core Planning Loop</x:v>
      </x:c>
      <x:c r="D58" s="40" t="str">
        <x:v>C. Planner Day View</x:v>
      </x:c>
      <x:c r="E58" s="40" t="str">
        <x:v>AC-C-015</x:v>
      </x:c>
      <x:c r="F58" s="40" t="str">
        <x:v>FR-C-015</x:v>
      </x:c>
      <x:c r="G58" s="40" t="str">
        <x:v>Given the applicable Planner Day View preconditions and a valid Local Profile</x:v>
      </x:c>
      <x:c r="H58" s="40" t="str">
        <x:v>When the user performs the relevant action or the relevant system condition occurs</x:v>
      </x:c>
      <x:c r="I58" s="40" t="str">
        <x:v>Then retain stored location text when permission is denied.</x:v>
      </x:c>
      <x:c r="J58" s="40" t="str">
        <x:v>Yes</x:v>
      </x:c>
      <x:c r="K58" s="40" t="str">
        <x:v>Widget test</x:v>
      </x:c>
      <x:c r="L58" s="40" t="str">
        <x:v>Not Started</x:v>
      </x:c>
      <x:c r="M58" s="40"/>
    </x:row>
    <x:row r="59">
      <x:c r="A59" s="40" t="str">
        <x:v>VS-03</x:v>
      </x:c>
      <x:c r="B59" s="40" t="n">
        <x:v>3</x:v>
      </x:c>
      <x:c r="C59" s="40" t="str">
        <x:v>Wave 2 — Core Planning Loop</x:v>
      </x:c>
      <x:c r="D59" s="40" t="str">
        <x:v>C. Planner Day View</x:v>
      </x:c>
      <x:c r="E59" s="40" t="str">
        <x:v>AC-C-016</x:v>
      </x:c>
      <x:c r="F59" s="40" t="str">
        <x:v>FR-C-016</x:v>
      </x:c>
      <x:c r="G59" s="40" t="str">
        <x:v>Given the applicable Planner Day View preconditions and a valid Local Profile</x:v>
      </x:c>
      <x:c r="H59" s="40" t="str">
        <x:v>When the user performs the relevant action or the relevant system condition occurs</x:v>
      </x:c>
      <x:c r="I59" s="40" t="str">
        <x:v>Then not change event outcomes based on the current time.</x:v>
      </x:c>
      <x:c r="J59" s="40" t="str">
        <x:v>Yes</x:v>
      </x:c>
      <x:c r="K59" s="40" t="str">
        <x:v>Domain test</x:v>
      </x:c>
      <x:c r="L59" s="40" t="str">
        <x:v>Not Started</x:v>
      </x:c>
      <x:c r="M59" s="40"/>
    </x:row>
    <x:row r="60">
      <x:c r="A60" s="40" t="str">
        <x:v>VS-03</x:v>
      </x:c>
      <x:c r="B60" s="40" t="n">
        <x:v>3</x:v>
      </x:c>
      <x:c r="C60" s="40" t="str">
        <x:v>Wave 2 — Core Planning Loop</x:v>
      </x:c>
      <x:c r="D60" s="40" t="str">
        <x:v>C. Planner Day View</x:v>
      </x:c>
      <x:c r="E60" s="40" t="str">
        <x:v>AC-C-017</x:v>
      </x:c>
      <x:c r="F60" s="40" t="str">
        <x:v>FR-C-017</x:v>
      </x:c>
      <x:c r="G60" s="40" t="str">
        <x:v>Given the applicable Planner Day View preconditions and a valid Local Profile</x:v>
      </x:c>
      <x:c r="H60" s="40" t="str">
        <x:v>When the user performs the relevant action or the relevant system condition occurs</x:v>
      </x:c>
      <x:c r="I60" s="40" t="str">
        <x:v>Then preserve the selected date after returning from item details where practical.</x:v>
      </x:c>
      <x:c r="J60" s="40" t="str">
        <x:v>Yes</x:v>
      </x:c>
      <x:c r="K60" s="40" t="str">
        <x:v>Domain test</x:v>
      </x:c>
      <x:c r="L60" s="40" t="str">
        <x:v>Not Started</x:v>
      </x:c>
      <x:c r="M60" s="40"/>
    </x:row>
    <x:row r="61">
      <x:c r="A61" s="40" t="str">
        <x:v>VS-03</x:v>
      </x:c>
      <x:c r="B61" s="40" t="n">
        <x:v>3</x:v>
      </x:c>
      <x:c r="C61" s="40" t="str">
        <x:v>Wave 2 — Core Planning Loop</x:v>
      </x:c>
      <x:c r="D61" s="40" t="str">
        <x:v>C. Planner Day View</x:v>
      </x:c>
      <x:c r="E61" s="40" t="str">
        <x:v>AC-C-018</x:v>
      </x:c>
      <x:c r="F61" s="40" t="str">
        <x:v>FR-C-018</x:v>
      </x:c>
      <x:c r="G61" s="40" t="str">
        <x:v>Given the applicable Planner Day View preconditions and a valid Local Profile</x:v>
      </x:c>
      <x:c r="H61" s="40" t="str">
        <x:v>When the user performs the relevant action or the relevant system condition occurs</x:v>
      </x:c>
      <x:c r="I61" s="40" t="str">
        <x:v>Then allow filtering or collapsing historical-status items without deleting them.</x:v>
      </x:c>
      <x:c r="J61" s="40" t="str">
        <x:v>Yes</x:v>
      </x:c>
      <x:c r="K61" s="40" t="str">
        <x:v>Domain test</x:v>
      </x:c>
      <x:c r="L61" s="40" t="str">
        <x:v>Not Started</x:v>
      </x:c>
      <x:c r="M61" s="40"/>
    </x:row>
    <x:row r="62">
      <x:c r="A62" s="40" t="str">
        <x:v>VS-03</x:v>
      </x:c>
      <x:c r="B62" s="40" t="n">
        <x:v>3</x:v>
      </x:c>
      <x:c r="C62" s="40" t="str">
        <x:v>Wave 2 — Core Planning Loop</x:v>
      </x:c>
      <x:c r="D62" s="40" t="str">
        <x:v>C. Planner Day View</x:v>
      </x:c>
      <x:c r="E62" s="40" t="str">
        <x:v>AC-C-019</x:v>
      </x:c>
      <x:c r="F62" s="40" t="str">
        <x:v>FR-C-019</x:v>
      </x:c>
      <x:c r="G62" s="40" t="str">
        <x:v>Given the applicable Planner Day View preconditions and a valid Local Profile</x:v>
      </x:c>
      <x:c r="H62" s="40" t="str">
        <x:v>When the user performs the relevant action or the relevant system condition occurs</x:v>
      </x:c>
      <x:c r="I62" s="40" t="str">
        <x:v>Then show save failures without creating false records.</x:v>
      </x:c>
      <x:c r="J62" s="40" t="str">
        <x:v>Yes</x:v>
      </x:c>
      <x:c r="K62" s="40" t="str">
        <x:v>Domain test</x:v>
      </x:c>
      <x:c r="L62" s="40" t="str">
        <x:v>Not Started</x:v>
      </x:c>
      <x:c r="M62" s="40"/>
    </x:row>
    <x:row r="63">
      <x:c r="A63" s="40" t="str">
        <x:v>VS-03</x:v>
      </x:c>
      <x:c r="B63" s="40" t="n">
        <x:v>3</x:v>
      </x:c>
      <x:c r="C63" s="40" t="str">
        <x:v>Wave 2 — Core Planning Loop</x:v>
      </x:c>
      <x:c r="D63" s="40" t="str">
        <x:v>C. Planner Day View</x:v>
      </x:c>
      <x:c r="E63" s="40" t="str">
        <x:v>AC-C-020</x:v>
      </x:c>
      <x:c r="F63" s="40" t="str">
        <x:v>FR-C-020</x:v>
      </x:c>
      <x:c r="G63" s="40" t="str">
        <x:v>Given the applicable Planner Day View preconditions and a valid Local Profile</x:v>
      </x:c>
      <x:c r="H63" s="40" t="str">
        <x:v>When the user performs the relevant action or the relevant system condition occurs</x:v>
      </x:c>
      <x:c r="I63" s="40" t="str">
        <x:v>Then expose linked-record context without merging Task and Calendar Event identities.</x:v>
      </x:c>
      <x:c r="J63" s="40" t="str">
        <x:v>Yes</x:v>
      </x:c>
      <x:c r="K63" s="40" t="str">
        <x:v>Integration test</x:v>
      </x:c>
      <x:c r="L63" s="40" t="str">
        <x:v>Not Started</x:v>
      </x:c>
      <x:c r="M63" s="40"/>
    </x:row>
    <x:row r="64">
      <x:c r="A64" s="40" t="str">
        <x:v>VS-03</x:v>
      </x:c>
      <x:c r="B64" s="40" t="n">
        <x:v>3</x:v>
      </x:c>
      <x:c r="C64" s="40" t="str">
        <x:v>Wave 2 — Core Planning Loop</x:v>
      </x:c>
      <x:c r="D64" s="40" t="str">
        <x:v>D. Tasks</x:v>
      </x:c>
      <x:c r="E64" s="40" t="str">
        <x:v>AC-D-001</x:v>
      </x:c>
      <x:c r="F64" s="40" t="str">
        <x:v>FR-D-001</x:v>
      </x:c>
      <x:c r="G64" s="40" t="str">
        <x:v>Given the applicable Tasks preconditions and a valid Local Profile</x:v>
      </x:c>
      <x:c r="H64" s="40" t="str">
        <x:v>When the user performs the relevant action or the relevant system condition occurs</x:v>
      </x:c>
      <x:c r="I64" s="40" t="str">
        <x:v>Then be able to create a Task offline.</x:v>
      </x:c>
      <x:c r="J64" s="40" t="str">
        <x:v>Yes</x:v>
      </x:c>
      <x:c r="K64" s="40" t="str">
        <x:v>Widget test</x:v>
      </x:c>
      <x:c r="L64" s="40" t="str">
        <x:v>Not Started</x:v>
      </x:c>
      <x:c r="M64" s="40"/>
    </x:row>
    <x:row r="65">
      <x:c r="A65" s="40" t="str">
        <x:v>VS-03</x:v>
      </x:c>
      <x:c r="B65" s="40" t="n">
        <x:v>3</x:v>
      </x:c>
      <x:c r="C65" s="40" t="str">
        <x:v>Wave 2 — Core Planning Loop</x:v>
      </x:c>
      <x:c r="D65" s="40" t="str">
        <x:v>D. Tasks</x:v>
      </x:c>
      <x:c r="E65" s="40" t="str">
        <x:v>AC-D-002</x:v>
      </x:c>
      <x:c r="F65" s="40" t="str">
        <x:v>FR-D-002</x:v>
      </x:c>
      <x:c r="G65" s="40" t="str">
        <x:v>Given the applicable Tasks preconditions and a valid Local Profile</x:v>
      </x:c>
      <x:c r="H65" s="40" t="str">
        <x:v>When the user performs the relevant action or the relevant system condition occurs</x:v>
      </x:c>
      <x:c r="I65" s="40" t="str">
        <x:v>Then a Task shall require a nonblank user-visible title.</x:v>
      </x:c>
      <x:c r="J65" s="40" t="str">
        <x:v>Yes</x:v>
      </x:c>
      <x:c r="K65" s="40" t="str">
        <x:v>Domain test</x:v>
      </x:c>
      <x:c r="L65" s="40" t="str">
        <x:v>Not Started</x:v>
      </x:c>
      <x:c r="M65" s="40"/>
    </x:row>
    <x:row r="66">
      <x:c r="A66" s="40" t="str">
        <x:v>VS-03</x:v>
      </x:c>
      <x:c r="B66" s="40" t="n">
        <x:v>3</x:v>
      </x:c>
      <x:c r="C66" s="40" t="str">
        <x:v>Wave 2 — Core Planning Loop</x:v>
      </x:c>
      <x:c r="D66" s="40" t="str">
        <x:v>D. Tasks</x:v>
      </x:c>
      <x:c r="E66" s="40" t="str">
        <x:v>AC-D-003</x:v>
      </x:c>
      <x:c r="F66" s="40" t="str">
        <x:v>FR-D-003</x:v>
      </x:c>
      <x:c r="G66" s="40" t="str">
        <x:v>Given the applicable Tasks preconditions and a valid Local Profile</x:v>
      </x:c>
      <x:c r="H66" s="40" t="str">
        <x:v>When the user performs the relevant action or the relevant system condition occurs</x:v>
      </x:c>
      <x:c r="I66" s="40" t="str">
        <x:v>Then new Tasks shall default to Incomplete.</x:v>
      </x:c>
      <x:c r="J66" s="40" t="str">
        <x:v>Yes</x:v>
      </x:c>
      <x:c r="K66" s="40" t="str">
        <x:v>Domain test</x:v>
      </x:c>
      <x:c r="L66" s="40" t="str">
        <x:v>Not Started</x:v>
      </x:c>
      <x:c r="M66" s="40"/>
    </x:row>
    <x:row r="67">
      <x:c r="A67" s="40" t="str">
        <x:v>VS-03</x:v>
      </x:c>
      <x:c r="B67" s="40" t="n">
        <x:v>3</x:v>
      </x:c>
      <x:c r="C67" s="40" t="str">
        <x:v>Wave 2 — Core Planning Loop</x:v>
      </x:c>
      <x:c r="D67" s="40" t="str">
        <x:v>D. Tasks</x:v>
      </x:c>
      <x:c r="E67" s="40" t="str">
        <x:v>AC-D-004</x:v>
      </x:c>
      <x:c r="F67" s="40" t="str">
        <x:v>FR-D-004</x:v>
      </x:c>
      <x:c r="G67" s="40" t="str">
        <x:v>Given the applicable Tasks preconditions and a valid Local Profile</x:v>
      </x:c>
      <x:c r="H67" s="40" t="str">
        <x:v>When the user performs the relevant action or the relevant system condition occurs</x:v>
      </x:c>
      <x:c r="I67" s="40" t="str">
        <x:v>Then be able to edit supported Task planning fields.</x:v>
      </x:c>
      <x:c r="J67" s="40" t="str">
        <x:v>Yes</x:v>
      </x:c>
      <x:c r="K67" s="40" t="str">
        <x:v>Widget test</x:v>
      </x:c>
      <x:c r="L67" s="40" t="str">
        <x:v>Not Started</x:v>
      </x:c>
      <x:c r="M67" s="40"/>
    </x:row>
    <x:row r="68">
      <x:c r="A68" s="40" t="str">
        <x:v>VS-03</x:v>
      </x:c>
      <x:c r="B68" s="40" t="n">
        <x:v>3</x:v>
      </x:c>
      <x:c r="C68" s="40" t="str">
        <x:v>Wave 2 — Core Planning Loop</x:v>
      </x:c>
      <x:c r="D68" s="40" t="str">
        <x:v>D. Tasks</x:v>
      </x:c>
      <x:c r="E68" s="40" t="str">
        <x:v>AC-D-005</x:v>
      </x:c>
      <x:c r="F68" s="40" t="str">
        <x:v>FR-D-005</x:v>
      </x:c>
      <x:c r="G68" s="40" t="str">
        <x:v>Given the applicable Tasks preconditions and a valid Local Profile</x:v>
      </x:c>
      <x:c r="H68" s="40" t="str">
        <x:v>When the user performs the relevant action or the relevant system condition occurs</x:v>
      </x:c>
      <x:c r="I68" s="40" t="str">
        <x:v>Then be able to set Task status to Completed, Skipped, or Cancelled.</x:v>
      </x:c>
      <x:c r="J68" s="40" t="str">
        <x:v>Yes</x:v>
      </x:c>
      <x:c r="K68" s="40" t="str">
        <x:v>Domain test / Widget test</x:v>
      </x:c>
      <x:c r="L68" s="40" t="str">
        <x:v>Not Started</x:v>
      </x:c>
      <x:c r="M68" s="40"/>
    </x:row>
    <x:row r="69">
      <x:c r="A69" s="40" t="str">
        <x:v>VS-03</x:v>
      </x:c>
      <x:c r="B69" s="40" t="n">
        <x:v>3</x:v>
      </x:c>
      <x:c r="C69" s="40" t="str">
        <x:v>Wave 2 — Core Planning Loop</x:v>
      </x:c>
      <x:c r="D69" s="40" t="str">
        <x:v>D. Tasks</x:v>
      </x:c>
      <x:c r="E69" s="40" t="str">
        <x:v>AC-D-006</x:v>
      </x:c>
      <x:c r="F69" s="40" t="str">
        <x:v>FR-D-006</x:v>
      </x:c>
      <x:c r="G69" s="40" t="str">
        <x:v>Given the applicable Tasks preconditions and a valid Local Profile</x:v>
      </x:c>
      <x:c r="H69" s="40" t="str">
        <x:v>When the user performs the relevant action or the relevant system condition occurs</x:v>
      </x:c>
      <x:c r="I69" s="40" t="str">
        <x:v>Then derive overdue state for applicable Incomplete Tasks.</x:v>
      </x:c>
      <x:c r="J69" s="40" t="str">
        <x:v>Yes</x:v>
      </x:c>
      <x:c r="K69" s="40" t="str">
        <x:v>Domain test</x:v>
      </x:c>
      <x:c r="L69" s="40" t="str">
        <x:v>Not Started</x:v>
      </x:c>
      <x:c r="M69" s="40"/>
    </x:row>
    <x:row r="70">
      <x:c r="A70" s="40" t="str">
        <x:v>VS-03</x:v>
      </x:c>
      <x:c r="B70" s="40" t="n">
        <x:v>3</x:v>
      </x:c>
      <x:c r="C70" s="40" t="str">
        <x:v>Wave 2 — Core Planning Loop</x:v>
      </x:c>
      <x:c r="D70" s="40" t="str">
        <x:v>D. Tasks</x:v>
      </x:c>
      <x:c r="E70" s="40" t="str">
        <x:v>AC-D-007</x:v>
      </x:c>
      <x:c r="F70" s="40" t="str">
        <x:v>FR-D-007</x:v>
      </x:c>
      <x:c r="G70" s="40" t="str">
        <x:v>Given the applicable Tasks preconditions and a valid Local Profile</x:v>
      </x:c>
      <x:c r="H70" s="40" t="str">
        <x:v>When the user performs the relevant action or the relevant system condition occurs</x:v>
      </x:c>
      <x:c r="I70" s="40" t="str">
        <x:v>Then support Tasks without due dates.</x:v>
      </x:c>
      <x:c r="J70" s="40" t="str">
        <x:v>Yes</x:v>
      </x:c>
      <x:c r="K70" s="40" t="str">
        <x:v>Domain test</x:v>
      </x:c>
      <x:c r="L70" s="40" t="str">
        <x:v>Not Started</x:v>
      </x:c>
      <x:c r="M70" s="40"/>
    </x:row>
    <x:row r="71">
      <x:c r="A71" s="40" t="str">
        <x:v>VS-03</x:v>
      </x:c>
      <x:c r="B71" s="40" t="n">
        <x:v>3</x:v>
      </x:c>
      <x:c r="C71" s="40" t="str">
        <x:v>Wave 2 — Core Planning Loop</x:v>
      </x:c>
      <x:c r="D71" s="40" t="str">
        <x:v>D. Tasks</x:v>
      </x:c>
      <x:c r="E71" s="40" t="str">
        <x:v>AC-D-008</x:v>
      </x:c>
      <x:c r="F71" s="40" t="str">
        <x:v>FR-D-008</x:v>
      </x:c>
      <x:c r="G71" s="40" t="str">
        <x:v>Given the applicable Tasks preconditions and a valid Local Profile</x:v>
      </x:c>
      <x:c r="H71" s="40" t="str">
        <x:v>When the user performs the relevant action or the relevant system condition occurs</x:v>
      </x:c>
      <x:c r="I71" s="40" t="str">
        <x:v>Then keep linked Calendar Event statuses independent.</x:v>
      </x:c>
      <x:c r="J71" s="40" t="str">
        <x:v>Yes</x:v>
      </x:c>
      <x:c r="K71" s="40" t="str">
        <x:v>Domain test / Integration test</x:v>
      </x:c>
      <x:c r="L71" s="40" t="str">
        <x:v>Not Started</x:v>
      </x:c>
      <x:c r="M71" s="40"/>
    </x:row>
    <x:row r="72">
      <x:c r="A72" s="40" t="str">
        <x:v>VS-03</x:v>
      </x:c>
      <x:c r="B72" s="40" t="n">
        <x:v>3</x:v>
      </x:c>
      <x:c r="C72" s="40" t="str">
        <x:v>Wave 2 — Core Planning Loop</x:v>
      </x:c>
      <x:c r="D72" s="40" t="str">
        <x:v>D. Tasks</x:v>
      </x:c>
      <x:c r="E72" s="40" t="str">
        <x:v>AC-D-009</x:v>
      </x:c>
      <x:c r="F72" s="40" t="str">
        <x:v>FR-D-009</x:v>
      </x:c>
      <x:c r="G72" s="40" t="str">
        <x:v>Given the applicable Tasks preconditions and a valid Local Profile</x:v>
      </x:c>
      <x:c r="H72" s="40" t="str">
        <x:v>When the user performs the relevant action or the relevant system condition occurs</x:v>
      </x:c>
      <x:c r="I72" s="40" t="str">
        <x:v>Then identify when structured reporting is required.</x:v>
      </x:c>
      <x:c r="J72" s="40" t="str">
        <x:v>No</x:v>
      </x:c>
      <x:c r="K72" s="40" t="str">
        <x:v>Domain test</x:v>
      </x:c>
      <x:c r="L72" s="40" t="str">
        <x:v>Not Started</x:v>
      </x:c>
      <x:c r="M72" s="40"/>
    </x:row>
    <x:row r="73">
      <x:c r="A73" s="40" t="str">
        <x:v>VS-03</x:v>
      </x:c>
      <x:c r="B73" s="40" t="n">
        <x:v>3</x:v>
      </x:c>
      <x:c r="C73" s="40" t="str">
        <x:v>Wave 2 — Core Planning Loop</x:v>
      </x:c>
      <x:c r="D73" s="40" t="str">
        <x:v>D. Tasks</x:v>
      </x:c>
      <x:c r="E73" s="40" t="str">
        <x:v>AC-D-010</x:v>
      </x:c>
      <x:c r="F73" s="40" t="str">
        <x:v>FR-D-010</x:v>
      </x:c>
      <x:c r="G73" s="40" t="str">
        <x:v>Given the applicable Tasks preconditions and a valid Local Profile</x:v>
      </x:c>
      <x:c r="H73" s="40" t="str">
        <x:v>When the user performs the relevant action or the relevant system condition occurs</x:v>
      </x:c>
      <x:c r="I73" s="40" t="str">
        <x:v>Then prevent bypass of required reporting.</x:v>
      </x:c>
      <x:c r="J73" s="40" t="str">
        <x:v>Yes</x:v>
      </x:c>
      <x:c r="K73" s="40" t="str">
        <x:v>Domain test</x:v>
      </x:c>
      <x:c r="L73" s="40" t="str">
        <x:v>Not Started</x:v>
      </x:c>
      <x:c r="M73" s="40"/>
    </x:row>
    <x:row r="74">
      <x:c r="A74" s="40" t="str">
        <x:v>VS-03</x:v>
      </x:c>
      <x:c r="B74" s="40" t="n">
        <x:v>3</x:v>
      </x:c>
      <x:c r="C74" s="40" t="str">
        <x:v>Wave 2 — Core Planning Loop</x:v>
      </x:c>
      <x:c r="D74" s="40" t="str">
        <x:v>D. Tasks</x:v>
      </x:c>
      <x:c r="E74" s="40" t="str">
        <x:v>AC-D-011</x:v>
      </x:c>
      <x:c r="F74" s="40" t="str">
        <x:v>FR-D-011</x:v>
      </x:c>
      <x:c r="G74" s="40" t="str">
        <x:v>Given the applicable Tasks preconditions and a valid Local Profile</x:v>
      </x:c>
      <x:c r="H74" s="40" t="str">
        <x:v>When the user performs the relevant action or the relevant system condition occurs</x:v>
      </x:c>
      <x:c r="I74" s="40" t="str">
        <x:v>Then task completion shall not directly edit Actual.</x:v>
      </x:c>
      <x:c r="J74" s="40" t="str">
        <x:v>Yes</x:v>
      </x:c>
      <x:c r="K74" s="40" t="str">
        <x:v>Domain test</x:v>
      </x:c>
      <x:c r="L74" s="40" t="str">
        <x:v>Not Started</x:v>
      </x:c>
      <x:c r="M74" s="40"/>
    </x:row>
    <x:row r="75">
      <x:c r="A75" s="40" t="str">
        <x:v>VS-03</x:v>
      </x:c>
      <x:c r="B75" s="40" t="n">
        <x:v>3</x:v>
      </x:c>
      <x:c r="C75" s="40" t="str">
        <x:v>Wave 2 — Core Planning Loop</x:v>
      </x:c>
      <x:c r="D75" s="40" t="str">
        <x:v>D. Tasks</x:v>
      </x:c>
      <x:c r="E75" s="40" t="str">
        <x:v>AC-D-012</x:v>
      </x:c>
      <x:c r="F75" s="40" t="str">
        <x:v>FR-D-012</x:v>
      </x:c>
      <x:c r="G75" s="40" t="str">
        <x:v>Given the applicable Tasks preconditions and a valid Local Profile</x:v>
      </x:c>
      <x:c r="H75" s="40" t="str">
        <x:v>When the user performs the relevant action or the relevant system condition occurs</x:v>
      </x:c>
      <x:c r="I75" s="40" t="str">
        <x:v>Then task contribution classification shall use explicit configuration rather than title matching.</x:v>
      </x:c>
      <x:c r="J75" s="40" t="str">
        <x:v>No</x:v>
      </x:c>
      <x:c r="K75" s="40" t="str">
        <x:v>Domain test</x:v>
      </x:c>
      <x:c r="L75" s="40" t="str">
        <x:v>Not Started</x:v>
      </x:c>
      <x:c r="M75" s="40"/>
    </x:row>
    <x:row r="76">
      <x:c r="A76" s="40" t="str">
        <x:v>VS-03</x:v>
      </x:c>
      <x:c r="B76" s="40" t="n">
        <x:v>3</x:v>
      </x:c>
      <x:c r="C76" s="40" t="str">
        <x:v>Wave 2 — Core Planning Loop</x:v>
      </x:c>
      <x:c r="D76" s="40" t="str">
        <x:v>D. Tasks</x:v>
      </x:c>
      <x:c r="E76" s="40" t="str">
        <x:v>AC-D-013</x:v>
      </x:c>
      <x:c r="F76" s="40" t="str">
        <x:v>FR-D-013</x:v>
      </x:c>
      <x:c r="G76" s="40" t="str">
        <x:v>Given the applicable Tasks preconditions and a valid Local Profile</x:v>
      </x:c>
      <x:c r="H76" s="40" t="str">
        <x:v>When the user performs the relevant action or the relevant system condition occurs</x:v>
      </x:c>
      <x:c r="I76" s="40" t="str">
        <x:v>Then display linked Calendar Events.</x:v>
      </x:c>
      <x:c r="J76" s="40" t="str">
        <x:v>No</x:v>
      </x:c>
      <x:c r="K76" s="40" t="str">
        <x:v>Widget test / Integration test</x:v>
      </x:c>
      <x:c r="L76" s="40" t="str">
        <x:v>Not Started</x:v>
      </x:c>
      <x:c r="M76" s="40"/>
    </x:row>
    <x:row r="77">
      <x:c r="A77" s="40" t="str">
        <x:v>VS-03</x:v>
      </x:c>
      <x:c r="B77" s="40" t="n">
        <x:v>3</x:v>
      </x:c>
      <x:c r="C77" s="40" t="str">
        <x:v>Wave 2 — Core Planning Loop</x:v>
      </x:c>
      <x:c r="D77" s="40" t="str">
        <x:v>D. Tasks</x:v>
      </x:c>
      <x:c r="E77" s="40" t="str">
        <x:v>AC-D-014</x:v>
      </x:c>
      <x:c r="F77" s="40" t="str">
        <x:v>FR-D-014</x:v>
      </x:c>
      <x:c r="G77" s="40" t="str">
        <x:v>Given the applicable Tasks preconditions and a valid Local Profile</x:v>
      </x:c>
      <x:c r="H77" s="40" t="str">
        <x:v>When the user performs the relevant action or the relevant system condition occurs</x:v>
      </x:c>
      <x:c r="I77" s="40" t="str">
        <x:v>Then display Pathway, Goal, or Milestone context where linked.</x:v>
      </x:c>
      <x:c r="J77" s="40" t="str">
        <x:v>No</x:v>
      </x:c>
      <x:c r="K77" s="40" t="str">
        <x:v>Widget test</x:v>
      </x:c>
      <x:c r="L77" s="40" t="str">
        <x:v>Not Started</x:v>
      </x:c>
      <x:c r="M77" s="40"/>
    </x:row>
    <x:row r="78">
      <x:c r="A78" s="40" t="str">
        <x:v>VS-03</x:v>
      </x:c>
      <x:c r="B78" s="40" t="n">
        <x:v>3</x:v>
      </x:c>
      <x:c r="C78" s="40" t="str">
        <x:v>Wave 2 — Core Planning Loop</x:v>
      </x:c>
      <x:c r="D78" s="40" t="str">
        <x:v>D. Tasks</x:v>
      </x:c>
      <x:c r="E78" s="40" t="str">
        <x:v>AC-D-015</x:v>
      </x:c>
      <x:c r="F78" s="40" t="str">
        <x:v>FR-D-015</x:v>
      </x:c>
      <x:c r="G78" s="40" t="str">
        <x:v>Given the applicable Tasks preconditions and a valid Local Profile</x:v>
      </x:c>
      <x:c r="H78" s="40" t="str">
        <x:v>When the user performs the relevant action or the relevant system condition occurs</x:v>
      </x:c>
      <x:c r="I78" s="40" t="str">
        <x:v>Then preserve Task state during sync failure.</x:v>
      </x:c>
      <x:c r="J78" s="40" t="str">
        <x:v>Yes</x:v>
      </x:c>
      <x:c r="K78" s="40" t="str">
        <x:v>Integration test</x:v>
      </x:c>
      <x:c r="L78" s="40" t="str">
        <x:v>Not Started</x:v>
      </x:c>
      <x:c r="M78" s="40"/>
    </x:row>
    <x:row r="79">
      <x:c r="A79" s="40" t="str">
        <x:v>VS-03</x:v>
      </x:c>
      <x:c r="B79" s="40" t="n">
        <x:v>3</x:v>
      </x:c>
      <x:c r="C79" s="40" t="str">
        <x:v>Wave 2 — Core Planning Loop</x:v>
      </x:c>
      <x:c r="D79" s="40" t="str">
        <x:v>D. Tasks</x:v>
      </x:c>
      <x:c r="E79" s="40" t="str">
        <x:v>AC-D-016</x:v>
      </x:c>
      <x:c r="F79" s="40" t="str">
        <x:v>FR-D-016</x:v>
      </x:c>
      <x:c r="G79" s="40" t="str">
        <x:v>Given the applicable Tasks preconditions and a valid Local Profile</x:v>
      </x:c>
      <x:c r="H79" s="40" t="str">
        <x:v>When the user performs the relevant action or the relevant system condition occurs</x:v>
      </x:c>
      <x:c r="I79" s="40" t="str">
        <x:v>Then retain user input after a recoverable save failure.</x:v>
      </x:c>
      <x:c r="J79" s="40" t="str">
        <x:v>No</x:v>
      </x:c>
      <x:c r="K79" s="40" t="str">
        <x:v>Domain test</x:v>
      </x:c>
      <x:c r="L79" s="40" t="str">
        <x:v>Not Started</x:v>
      </x:c>
      <x:c r="M79" s="40"/>
    </x:row>
    <x:row r="80">
      <x:c r="A80" s="40" t="str">
        <x:v>VS-03</x:v>
      </x:c>
      <x:c r="B80" s="40" t="n">
        <x:v>3</x:v>
      </x:c>
      <x:c r="C80" s="40" t="str">
        <x:v>Wave 2 — Core Planning Loop</x:v>
      </x:c>
      <x:c r="D80" s="40" t="str">
        <x:v>D. Tasks</x:v>
      </x:c>
      <x:c r="E80" s="40" t="str">
        <x:v>AC-D-017</x:v>
      </x:c>
      <x:c r="F80" s="40" t="str">
        <x:v>FR-D-017</x:v>
      </x:c>
      <x:c r="G80" s="40" t="str">
        <x:v>Given the applicable Tasks preconditions and a valid Local Profile</x:v>
      </x:c>
      <x:c r="H80" s="40" t="str">
        <x:v>When the user performs the relevant action or the relevant system condition occurs</x:v>
      </x:c>
      <x:c r="I80" s="40" t="str">
        <x:v>Then avoid duplicate outcome reports and ledger contributions during retries.</x:v>
      </x:c>
      <x:c r="J80" s="40" t="str">
        <x:v>No</x:v>
      </x:c>
      <x:c r="K80" s="40" t="str">
        <x:v>Domain test / Database test</x:v>
      </x:c>
      <x:c r="L80" s="40" t="str">
        <x:v>Not Started</x:v>
      </x:c>
      <x:c r="M80" s="40"/>
    </x:row>
    <x:row r="81">
      <x:c r="A81" s="40" t="str">
        <x:v>VS-03</x:v>
      </x:c>
      <x:c r="B81" s="40" t="n">
        <x:v>3</x:v>
      </x:c>
      <x:c r="C81" s="40" t="str">
        <x:v>Wave 2 — Core Planning Loop</x:v>
      </x:c>
      <x:c r="D81" s="40" t="str">
        <x:v>D. Tasks</x:v>
      </x:c>
      <x:c r="E81" s="40" t="str">
        <x:v>AC-D-018</x:v>
      </x:c>
      <x:c r="F81" s="40" t="str">
        <x:v>FR-D-018</x:v>
      </x:c>
      <x:c r="G81" s="40" t="str">
        <x:v>Given the applicable Tasks preconditions and a valid Local Profile</x:v>
      </x:c>
      <x:c r="H81" s="40" t="str">
        <x:v>When the user performs the relevant action or the relevant system condition occurs</x:v>
      </x:c>
      <x:c r="I81" s="40" t="str">
        <x:v>Then support status correction according to historical correction rules.</x:v>
      </x:c>
      <x:c r="J81" s="40" t="str">
        <x:v>No</x:v>
      </x:c>
      <x:c r="K81" s="40" t="str">
        <x:v>Domain test</x:v>
      </x:c>
      <x:c r="L81" s="40" t="str">
        <x:v>Not Started</x:v>
      </x:c>
      <x:c r="M81" s="40"/>
    </x:row>
    <x:row r="82">
      <x:c r="A82" s="40" t="str">
        <x:v>VS-03</x:v>
      </x:c>
      <x:c r="B82" s="40" t="n">
        <x:v>3</x:v>
      </x:c>
      <x:c r="C82" s="40" t="str">
        <x:v>Wave 2 — Core Planning Loop</x:v>
      </x:c>
      <x:c r="D82" s="40" t="str">
        <x:v>D. Tasks</x:v>
      </x:c>
      <x:c r="E82" s="40" t="str">
        <x:v>AC-D-019</x:v>
      </x:c>
      <x:c r="F82" s="40" t="str">
        <x:v>FR-D-019</x:v>
      </x:c>
      <x:c r="G82" s="40" t="str">
        <x:v>Given the applicable Tasks preconditions and a valid Local Profile</x:v>
      </x:c>
      <x:c r="H82" s="40" t="str">
        <x:v>When the user performs the relevant action or the relevant system condition occurs</x:v>
      </x:c>
      <x:c r="I82" s="40" t="str">
        <x:v>Then distinguish Cancelled from Skipped.</x:v>
      </x:c>
      <x:c r="J82" s="40" t="str">
        <x:v>No</x:v>
      </x:c>
      <x:c r="K82" s="40" t="str">
        <x:v>Domain test</x:v>
      </x:c>
      <x:c r="L82" s="40" t="str">
        <x:v>Not Started</x:v>
      </x:c>
      <x:c r="M82" s="40"/>
    </x:row>
    <x:row r="83">
      <x:c r="A83" s="40" t="str">
        <x:v>VS-03</x:v>
      </x:c>
      <x:c r="B83" s="40" t="n">
        <x:v>3</x:v>
      </x:c>
      <x:c r="C83" s="40" t="str">
        <x:v>Wave 2 — Core Planning Loop</x:v>
      </x:c>
      <x:c r="D83" s="40" t="str">
        <x:v>D. Tasks</x:v>
      </x:c>
      <x:c r="E83" s="40" t="str">
        <x:v>AC-D-020</x:v>
      </x:c>
      <x:c r="F83" s="40" t="str">
        <x:v>FR-D-020</x:v>
      </x:c>
      <x:c r="G83" s="40" t="str">
        <x:v>Given the applicable Tasks preconditions and a valid Local Profile</x:v>
      </x:c>
      <x:c r="H83" s="40" t="str">
        <x:v>When the user performs the relevant action or the relevant system condition occurs</x:v>
      </x:c>
      <x:c r="I83" s="40" t="str">
        <x:v>Then make Task type clear in mixed Planner views.</x:v>
      </x:c>
      <x:c r="J83" s="40" t="str">
        <x:v>No</x:v>
      </x:c>
      <x:c r="K83" s="40" t="str">
        <x:v>Domain test</x:v>
      </x:c>
      <x:c r="L83" s="40" t="str">
        <x:v>Not Started</x:v>
      </x:c>
      <x:c r="M83" s="40"/>
    </x:row>
    <x:row r="84">
      <x:c r="A84" s="40" t="str">
        <x:v>VS-04</x:v>
      </x:c>
      <x:c r="B84" s="40" t="n">
        <x:v>4</x:v>
      </x:c>
      <x:c r="C84" s="40" t="str">
        <x:v>Wave 2 — Core Planning Loop</x:v>
      </x:c>
      <x:c r="D84" s="40" t="str">
        <x:v>E. Calendar Events and Recurrence</x:v>
      </x:c>
      <x:c r="E84" s="40" t="str">
        <x:v>AC-E-001</x:v>
      </x:c>
      <x:c r="F84" s="40" t="str">
        <x:v>FR-E-001</x:v>
      </x:c>
      <x:c r="G84" s="40" t="str">
        <x:v>Given the applicable Calendar Events and Recurrence preconditions and a valid Local Profile</x:v>
      </x:c>
      <x:c r="H84" s="40" t="str">
        <x:v>When the user performs the relevant action or the relevant system condition occurs</x:v>
      </x:c>
      <x:c r="I84" s="40" t="str">
        <x:v>Then be able to create one-time Calendar Events offline.</x:v>
      </x:c>
      <x:c r="J84" s="40" t="str">
        <x:v>Yes</x:v>
      </x:c>
      <x:c r="K84" s="40" t="str">
        <x:v>Widget test / Integration test</x:v>
      </x:c>
      <x:c r="L84" s="40" t="str">
        <x:v>Not Started</x:v>
      </x:c>
      <x:c r="M84" s="40"/>
    </x:row>
    <x:row r="85">
      <x:c r="A85" s="40" t="str">
        <x:v>VS-04</x:v>
      </x:c>
      <x:c r="B85" s="40" t="n">
        <x:v>4</x:v>
      </x:c>
      <x:c r="C85" s="40" t="str">
        <x:v>Wave 2 — Core Planning Loop</x:v>
      </x:c>
      <x:c r="D85" s="40" t="str">
        <x:v>E. Calendar Events and Recurrence</x:v>
      </x:c>
      <x:c r="E85" s="40" t="str">
        <x:v>AC-E-002</x:v>
      </x:c>
      <x:c r="F85" s="40" t="str">
        <x:v>FR-E-002</x:v>
      </x:c>
      <x:c r="G85" s="40" t="str">
        <x:v>Given the applicable Calendar Events and Recurrence preconditions and a valid Local Profile</x:v>
      </x:c>
      <x:c r="H85" s="40" t="str">
        <x:v>When the user performs the relevant action or the relevant system condition occurs</x:v>
      </x:c>
      <x:c r="I85" s="40" t="str">
        <x:v>Then be able to create all-day and timed events.</x:v>
      </x:c>
      <x:c r="J85" s="40" t="str">
        <x:v>Yes</x:v>
      </x:c>
      <x:c r="K85" s="40" t="str">
        <x:v>Widget test</x:v>
      </x:c>
      <x:c r="L85" s="40" t="str">
        <x:v>Not Started</x:v>
      </x:c>
      <x:c r="M85" s="40"/>
    </x:row>
    <x:row r="86">
      <x:c r="A86" s="40" t="str">
        <x:v>VS-04</x:v>
      </x:c>
      <x:c r="B86" s="40" t="n">
        <x:v>4</x:v>
      </x:c>
      <x:c r="C86" s="40" t="str">
        <x:v>Wave 2 — Core Planning Loop</x:v>
      </x:c>
      <x:c r="D86" s="40" t="str">
        <x:v>E. Calendar Events and Recurrence</x:v>
      </x:c>
      <x:c r="E86" s="40" t="str">
        <x:v>AC-E-003</x:v>
      </x:c>
      <x:c r="F86" s="40" t="str">
        <x:v>FR-E-003</x:v>
      </x:c>
      <x:c r="G86" s="40" t="str">
        <x:v>Given the applicable Calendar Events and Recurrence preconditions and a valid Local Profile</x:v>
      </x:c>
      <x:c r="H86" s="40" t="str">
        <x:v>When the user performs the relevant action or the relevant system condition occurs</x:v>
      </x:c>
      <x:c r="I86" s="40" t="str">
        <x:v>Then new Calendar Events shall begin as Scheduled.</x:v>
      </x:c>
      <x:c r="J86" s="40" t="str">
        <x:v>Yes</x:v>
      </x:c>
      <x:c r="K86" s="40" t="str">
        <x:v>Integration test</x:v>
      </x:c>
      <x:c r="L86" s="40" t="str">
        <x:v>Not Started</x:v>
      </x:c>
      <x:c r="M86" s="40"/>
    </x:row>
    <x:row r="87">
      <x:c r="A87" s="40" t="str">
        <x:v>VS-04</x:v>
      </x:c>
      <x:c r="B87" s="40" t="n">
        <x:v>4</x:v>
      </x:c>
      <x:c r="C87" s="40" t="str">
        <x:v>Wave 2 — Core Planning Loop</x:v>
      </x:c>
      <x:c r="D87" s="40" t="str">
        <x:v>E. Calendar Events and Recurrence</x:v>
      </x:c>
      <x:c r="E87" s="40" t="str">
        <x:v>AC-E-004</x:v>
      </x:c>
      <x:c r="F87" s="40" t="str">
        <x:v>FR-E-004</x:v>
      </x:c>
      <x:c r="G87" s="40" t="str">
        <x:v>Given the applicable Calendar Events and Recurrence preconditions and a valid Local Profile</x:v>
      </x:c>
      <x:c r="H87" s="40" t="str">
        <x:v>When the user performs the relevant action or the relevant system condition occurs</x:v>
      </x:c>
      <x:c r="I87" s="40" t="str">
        <x:v>Then be able to create Daily recurrence.</x:v>
      </x:c>
      <x:c r="J87" s="40" t="str">
        <x:v>Yes</x:v>
      </x:c>
      <x:c r="K87" s="40" t="str">
        <x:v>Widget test</x:v>
      </x:c>
      <x:c r="L87" s="40" t="str">
        <x:v>Not Started</x:v>
      </x:c>
      <x:c r="M87" s="40"/>
    </x:row>
    <x:row r="88">
      <x:c r="A88" s="40" t="str">
        <x:v>VS-04</x:v>
      </x:c>
      <x:c r="B88" s="40" t="n">
        <x:v>4</x:v>
      </x:c>
      <x:c r="C88" s="40" t="str">
        <x:v>Wave 2 — Core Planning Loop</x:v>
      </x:c>
      <x:c r="D88" s="40" t="str">
        <x:v>E. Calendar Events and Recurrence</x:v>
      </x:c>
      <x:c r="E88" s="40" t="str">
        <x:v>AC-E-005</x:v>
      </x:c>
      <x:c r="F88" s="40" t="str">
        <x:v>FR-E-005</x:v>
      </x:c>
      <x:c r="G88" s="40" t="str">
        <x:v>Given the applicable Calendar Events and Recurrence preconditions and a valid Local Profile</x:v>
      </x:c>
      <x:c r="H88" s="40" t="str">
        <x:v>When the user performs the relevant action or the relevant system condition occurs</x:v>
      </x:c>
      <x:c r="I88" s="40" t="str">
        <x:v>Then be able to create Weekly recurrence.</x:v>
      </x:c>
      <x:c r="J88" s="40" t="str">
        <x:v>Yes</x:v>
      </x:c>
      <x:c r="K88" s="40" t="str">
        <x:v>Widget test</x:v>
      </x:c>
      <x:c r="L88" s="40" t="str">
        <x:v>Not Started</x:v>
      </x:c>
      <x:c r="M88" s="40"/>
    </x:row>
    <x:row r="89">
      <x:c r="A89" s="40" t="str">
        <x:v>VS-04</x:v>
      </x:c>
      <x:c r="B89" s="40" t="n">
        <x:v>4</x:v>
      </x:c>
      <x:c r="C89" s="40" t="str">
        <x:v>Wave 2 — Core Planning Loop</x:v>
      </x:c>
      <x:c r="D89" s="40" t="str">
        <x:v>E. Calendar Events and Recurrence</x:v>
      </x:c>
      <x:c r="E89" s="40" t="str">
        <x:v>AC-E-006</x:v>
      </x:c>
      <x:c r="F89" s="40" t="str">
        <x:v>FR-E-006</x:v>
      </x:c>
      <x:c r="G89" s="40" t="str">
        <x:v>Given the applicable Calendar Events and Recurrence preconditions and a valid Local Profile</x:v>
      </x:c>
      <x:c r="H89" s="40" t="str">
        <x:v>When the user performs the relevant action or the relevant system condition occurs</x:v>
      </x:c>
      <x:c r="I89" s="40" t="str">
        <x:v>Then be able to create Monthly recurrence.</x:v>
      </x:c>
      <x:c r="J89" s="40" t="str">
        <x:v>Yes</x:v>
      </x:c>
      <x:c r="K89" s="40" t="str">
        <x:v>Widget test</x:v>
      </x:c>
      <x:c r="L89" s="40" t="str">
        <x:v>Not Started</x:v>
      </x:c>
      <x:c r="M89" s="40"/>
    </x:row>
    <x:row r="90">
      <x:c r="A90" s="40" t="str">
        <x:v>VS-04</x:v>
      </x:c>
      <x:c r="B90" s="40" t="n">
        <x:v>4</x:v>
      </x:c>
      <x:c r="C90" s="40" t="str">
        <x:v>Wave 2 — Core Planning Loop</x:v>
      </x:c>
      <x:c r="D90" s="40" t="str">
        <x:v>E. Calendar Events and Recurrence</x:v>
      </x:c>
      <x:c r="E90" s="40" t="str">
        <x:v>AC-E-007</x:v>
      </x:c>
      <x:c r="F90" s="40" t="str">
        <x:v>FR-E-007</x:v>
      </x:c>
      <x:c r="G90" s="40" t="str">
        <x:v>Given the applicable Calendar Events and Recurrence preconditions and a valid Local Profile</x:v>
      </x:c>
      <x:c r="H90" s="40" t="str">
        <x:v>When the user performs the relevant action or the relevant system condition occurs</x:v>
      </x:c>
      <x:c r="I90" s="40" t="str">
        <x:v>Then be able to create Yearly recurrence.</x:v>
      </x:c>
      <x:c r="J90" s="40" t="str">
        <x:v>Yes</x:v>
      </x:c>
      <x:c r="K90" s="40" t="str">
        <x:v>Widget test</x:v>
      </x:c>
      <x:c r="L90" s="40" t="str">
        <x:v>Not Started</x:v>
      </x:c>
      <x:c r="M90" s="40"/>
    </x:row>
    <x:row r="91">
      <x:c r="A91" s="40" t="str">
        <x:v>VS-04</x:v>
      </x:c>
      <x:c r="B91" s="40" t="n">
        <x:v>4</x:v>
      </x:c>
      <x:c r="C91" s="40" t="str">
        <x:v>Wave 2 — Core Planning Loop</x:v>
      </x:c>
      <x:c r="D91" s="40" t="str">
        <x:v>E. Calendar Events and Recurrence</x:v>
      </x:c>
      <x:c r="E91" s="40" t="str">
        <x:v>AC-E-008</x:v>
      </x:c>
      <x:c r="F91" s="40" t="str">
        <x:v>FR-E-008</x:v>
      </x:c>
      <x:c r="G91" s="40" t="str">
        <x:v>Given the applicable Calendar Events and Recurrence preconditions and a valid Local Profile</x:v>
      </x:c>
      <x:c r="H91" s="40" t="str">
        <x:v>When the user performs the relevant action or the relevant system condition occurs</x:v>
      </x:c>
      <x:c r="I91" s="40" t="str">
        <x:v>Then each occurrence shall have an independently reportable identity.</x:v>
      </x:c>
      <x:c r="J91" s="40" t="str">
        <x:v>Yes</x:v>
      </x:c>
      <x:c r="K91" s="40" t="str">
        <x:v>Domain test</x:v>
      </x:c>
      <x:c r="L91" s="40" t="str">
        <x:v>Not Started</x:v>
      </x:c>
      <x:c r="M91" s="40"/>
    </x:row>
    <x:row r="92">
      <x:c r="A92" s="40" t="str">
        <x:v>VS-04</x:v>
      </x:c>
      <x:c r="B92" s="40" t="n">
        <x:v>4</x:v>
      </x:c>
      <x:c r="C92" s="40" t="str">
        <x:v>Wave 2 — Core Planning Loop</x:v>
      </x:c>
      <x:c r="D92" s="40" t="str">
        <x:v>E. Calendar Events and Recurrence</x:v>
      </x:c>
      <x:c r="E92" s="40" t="str">
        <x:v>AC-E-009</x:v>
      </x:c>
      <x:c r="F92" s="40" t="str">
        <x:v>FR-E-009</x:v>
      </x:c>
      <x:c r="G92" s="40" t="str">
        <x:v>Given the applicable Calendar Events and Recurrence preconditions and a valid Local Profile</x:v>
      </x:c>
      <x:c r="H92" s="40" t="str">
        <x:v>When the user performs the relevant action or the relevant system condition occurs</x:v>
      </x:c>
      <x:c r="I92" s="40" t="str">
        <x:v>Then derive Awaiting Report for ended report-required occurrences.</x:v>
      </x:c>
      <x:c r="J92" s="40" t="str">
        <x:v>No</x:v>
      </x:c>
      <x:c r="K92" s="40" t="str">
        <x:v>Domain test</x:v>
      </x:c>
      <x:c r="L92" s="40" t="str">
        <x:v>Not Started</x:v>
      </x:c>
      <x:c r="M92" s="40"/>
    </x:row>
    <x:row r="93">
      <x:c r="A93" s="40" t="str">
        <x:v>VS-04</x:v>
      </x:c>
      <x:c r="B93" s="40" t="n">
        <x:v>4</x:v>
      </x:c>
      <x:c r="C93" s="40" t="str">
        <x:v>Wave 2 — Core Planning Loop</x:v>
      </x:c>
      <x:c r="D93" s="40" t="str">
        <x:v>E. Calendar Events and Recurrence</x:v>
      </x:c>
      <x:c r="E93" s="40" t="str">
        <x:v>AC-E-010</x:v>
      </x:c>
      <x:c r="F93" s="40" t="str">
        <x:v>FR-E-010</x:v>
      </x:c>
      <x:c r="G93" s="40" t="str">
        <x:v>Given the applicable Calendar Events and Recurrence preconditions and a valid Local Profile</x:v>
      </x:c>
      <x:c r="H93" s="40" t="str">
        <x:v>When the user performs the relevant action or the relevant system condition occurs</x:v>
      </x:c>
      <x:c r="I93" s="40" t="str">
        <x:v>Then not infer outcome from elapsed time.</x:v>
      </x:c>
      <x:c r="J93" s="40" t="str">
        <x:v>Yes</x:v>
      </x:c>
      <x:c r="K93" s="40" t="str">
        <x:v>Domain test</x:v>
      </x:c>
      <x:c r="L93" s="40" t="str">
        <x:v>Not Started</x:v>
      </x:c>
      <x:c r="M93" s="40"/>
    </x:row>
    <x:row r="94">
      <x:c r="A94" s="40" t="str">
        <x:v>VS-04</x:v>
      </x:c>
      <x:c r="B94" s="40" t="n">
        <x:v>4</x:v>
      </x:c>
      <x:c r="C94" s="40" t="str">
        <x:v>Wave 2 — Core Planning Loop</x:v>
      </x:c>
      <x:c r="D94" s="40" t="str">
        <x:v>E. Calendar Events and Recurrence</x:v>
      </x:c>
      <x:c r="E94" s="40" t="str">
        <x:v>AC-E-011</x:v>
      </x:c>
      <x:c r="F94" s="40" t="str">
        <x:v>FR-E-011</x:v>
      </x:c>
      <x:c r="G94" s="40" t="str">
        <x:v>Given the applicable Calendar Events and Recurrence preconditions and a valid Local Profile</x:v>
      </x:c>
      <x:c r="H94" s="40" t="str">
        <x:v>When the user performs the relevant action or the relevant system condition occurs</x:v>
      </x:c>
      <x:c r="I94" s="40" t="str">
        <x:v>Then valid reports shall support Completed/Happened, Partially Completed, and Did Not Happen.</x:v>
      </x:c>
      <x:c r="J94" s="40" t="str">
        <x:v>No</x:v>
      </x:c>
      <x:c r="K94" s="40" t="str">
        <x:v>Domain test</x:v>
      </x:c>
      <x:c r="L94" s="40" t="str">
        <x:v>Not Started</x:v>
      </x:c>
      <x:c r="M94" s="40"/>
    </x:row>
    <x:row r="95">
      <x:c r="A95" s="40" t="str">
        <x:v>VS-04</x:v>
      </x:c>
      <x:c r="B95" s="40" t="n">
        <x:v>4</x:v>
      </x:c>
      <x:c r="C95" s="40" t="str">
        <x:v>Wave 2 — Core Planning Loop</x:v>
      </x:c>
      <x:c r="D95" s="40" t="str">
        <x:v>E. Calendar Events and Recurrence</x:v>
      </x:c>
      <x:c r="E95" s="40" t="str">
        <x:v>AC-E-012</x:v>
      </x:c>
      <x:c r="F95" s="40" t="str">
        <x:v>FR-E-012</x:v>
      </x:c>
      <x:c r="G95" s="40" t="str">
        <x:v>Given the applicable Calendar Events and Recurrence preconditions and a valid Local Profile</x:v>
      </x:c>
      <x:c r="H95" s="40" t="str">
        <x:v>When the user performs the relevant action or the relevant system condition occurs</x:v>
      </x:c>
      <x:c r="I95" s="40" t="str">
        <x:v>Then be able to cancel supported event scopes.</x:v>
      </x:c>
      <x:c r="J95" s="40" t="str">
        <x:v>No</x:v>
      </x:c>
      <x:c r="K95" s="40" t="str">
        <x:v>Widget test</x:v>
      </x:c>
      <x:c r="L95" s="40" t="str">
        <x:v>Not Started</x:v>
      </x:c>
      <x:c r="M95" s="40"/>
    </x:row>
    <x:row r="96">
      <x:c r="A96" s="40" t="str">
        <x:v>VS-04</x:v>
      </x:c>
      <x:c r="B96" s="40" t="n">
        <x:v>4</x:v>
      </x:c>
      <x:c r="C96" s="40" t="str">
        <x:v>Wave 2 — Core Planning Loop</x:v>
      </x:c>
      <x:c r="D96" s="40" t="str">
        <x:v>E. Calendar Events and Recurrence</x:v>
      </x:c>
      <x:c r="E96" s="40" t="str">
        <x:v>AC-E-013</x:v>
      </x:c>
      <x:c r="F96" s="40" t="str">
        <x:v>FR-E-013</x:v>
      </x:c>
      <x:c r="G96" s="40" t="str">
        <x:v>Given the applicable Calendar Events and Recurrence preconditions and a valid Local Profile</x:v>
      </x:c>
      <x:c r="H96" s="40" t="str">
        <x:v>When the user performs the relevant action or the relevant system condition occurs</x:v>
      </x:c>
      <x:c r="I96" s="40" t="str">
        <x:v>Then be able to reschedule supported event scopes.</x:v>
      </x:c>
      <x:c r="J96" s="40" t="str">
        <x:v>No</x:v>
      </x:c>
      <x:c r="K96" s="40" t="str">
        <x:v>Widget test</x:v>
      </x:c>
      <x:c r="L96" s="40" t="str">
        <x:v>Not Started</x:v>
      </x:c>
      <x:c r="M96" s="40"/>
    </x:row>
    <x:row r="97">
      <x:c r="A97" s="40" t="str">
        <x:v>VS-04</x:v>
      </x:c>
      <x:c r="B97" s="40" t="n">
        <x:v>4</x:v>
      </x:c>
      <x:c r="C97" s="40" t="str">
        <x:v>Wave 2 — Core Planning Loop</x:v>
      </x:c>
      <x:c r="D97" s="40" t="str">
        <x:v>E. Calendar Events and Recurrence</x:v>
      </x:c>
      <x:c r="E97" s="40" t="str">
        <x:v>AC-E-014</x:v>
      </x:c>
      <x:c r="F97" s="40" t="str">
        <x:v>FR-E-014</x:v>
      </x:c>
      <x:c r="G97" s="40" t="str">
        <x:v>Given the applicable Calendar Events and Recurrence preconditions and a valid Local Profile</x:v>
      </x:c>
      <x:c r="H97" s="40" t="str">
        <x:v>When the user performs the relevant action or the relevant system condition occurs</x:v>
      </x:c>
      <x:c r="I97" s="40" t="str">
        <x:v>Then rescheduling shall preserve the original occurrence’s Rescheduled status.</x:v>
      </x:c>
      <x:c r="J97" s="40" t="str">
        <x:v>Yes</x:v>
      </x:c>
      <x:c r="K97" s="40" t="str">
        <x:v>Domain test</x:v>
      </x:c>
      <x:c r="L97" s="40" t="str">
        <x:v>Not Started</x:v>
      </x:c>
      <x:c r="M97" s="40"/>
    </x:row>
    <x:row r="98">
      <x:c r="A98" s="40" t="str">
        <x:v>VS-04</x:v>
      </x:c>
      <x:c r="B98" s="40" t="n">
        <x:v>4</x:v>
      </x:c>
      <x:c r="C98" s="40" t="str">
        <x:v>Wave 2 — Core Planning Loop</x:v>
      </x:c>
      <x:c r="D98" s="40" t="str">
        <x:v>E. Calendar Events and Recurrence</x:v>
      </x:c>
      <x:c r="E98" s="40" t="str">
        <x:v>AC-E-015</x:v>
      </x:c>
      <x:c r="F98" s="40" t="str">
        <x:v>FR-E-015</x:v>
      </x:c>
      <x:c r="G98" s="40" t="str">
        <x:v>Given the applicable Calendar Events and Recurrence preconditions and a valid Local Profile</x:v>
      </x:c>
      <x:c r="H98" s="40" t="str">
        <x:v>When the user performs the relevant action or the relevant system condition occurs</x:v>
      </x:c>
      <x:c r="I98" s="40" t="str">
        <x:v>Then rescheduling shall create or identify a linked replacement.</x:v>
      </x:c>
      <x:c r="J98" s="40" t="str">
        <x:v>No</x:v>
      </x:c>
      <x:c r="K98" s="40" t="str">
        <x:v>Domain test</x:v>
      </x:c>
      <x:c r="L98" s="40" t="str">
        <x:v>Not Started</x:v>
      </x:c>
      <x:c r="M98" s="40"/>
    </x:row>
    <x:row r="99">
      <x:c r="A99" s="40" t="str">
        <x:v>VS-04</x:v>
      </x:c>
      <x:c r="B99" s="40" t="n">
        <x:v>4</x:v>
      </x:c>
      <x:c r="C99" s="40" t="str">
        <x:v>Wave 2 — Core Planning Loop</x:v>
      </x:c>
      <x:c r="D99" s="40" t="str">
        <x:v>E. Calendar Events and Recurrence</x:v>
      </x:c>
      <x:c r="E99" s="40" t="str">
        <x:v>AC-E-016</x:v>
      </x:c>
      <x:c r="F99" s="40" t="str">
        <x:v>FR-E-016</x:v>
      </x:c>
      <x:c r="G99" s="40" t="str">
        <x:v>Given the applicable Calendar Events and Recurrence preconditions and a valid Local Profile</x:v>
      </x:c>
      <x:c r="H99" s="40" t="str">
        <x:v>When the user performs the relevant action or the relevant system condition occurs</x:v>
      </x:c>
      <x:c r="I99" s="40" t="str">
        <x:v>Then scheduled Potential shall exclude the inactive original after rescheduling.</x:v>
      </x:c>
      <x:c r="J99" s="40" t="str">
        <x:v>No</x:v>
      </x:c>
      <x:c r="K99" s="40" t="str">
        <x:v>Domain test</x:v>
      </x:c>
      <x:c r="L99" s="40" t="str">
        <x:v>Not Started</x:v>
      </x:c>
      <x:c r="M99" s="40"/>
    </x:row>
    <x:row r="100">
      <x:c r="A100" s="40" t="str">
        <x:v>VS-04</x:v>
      </x:c>
      <x:c r="B100" s="40" t="n">
        <x:v>4</x:v>
      </x:c>
      <x:c r="C100" s="40" t="str">
        <x:v>Wave 2 — Core Planning Loop</x:v>
      </x:c>
      <x:c r="D100" s="40" t="str">
        <x:v>E. Calendar Events and Recurrence</x:v>
      </x:c>
      <x:c r="E100" s="40" t="str">
        <x:v>AC-E-017</x:v>
      </x:c>
      <x:c r="F100" s="40" t="str">
        <x:v>FR-E-017</x:v>
      </x:c>
      <x:c r="G100" s="40" t="str">
        <x:v>Given the applicable Calendar Events and Recurrence preconditions and a valid Local Profile</x:v>
      </x:c>
      <x:c r="H100" s="40" t="str">
        <x:v>When the user performs the relevant action or the relevant system condition occurs</x:v>
      </x:c>
      <x:c r="I100" s="40" t="str">
        <x:v>Then recurring series edits shall preserve reported historical occurrences.</x:v>
      </x:c>
      <x:c r="J100" s="40" t="str">
        <x:v>Yes</x:v>
      </x:c>
      <x:c r="K100" s="40" t="str">
        <x:v>Domain test</x:v>
      </x:c>
      <x:c r="L100" s="40" t="str">
        <x:v>Not Started</x:v>
      </x:c>
      <x:c r="M100" s="40"/>
    </x:row>
    <x:row r="101">
      <x:c r="A101" s="40" t="str">
        <x:v>VS-04</x:v>
      </x:c>
      <x:c r="B101" s="40" t="n">
        <x:v>4</x:v>
      </x:c>
      <x:c r="C101" s="40" t="str">
        <x:v>Wave 2 — Core Planning Loop</x:v>
      </x:c>
      <x:c r="D101" s="40" t="str">
        <x:v>E. Calendar Events and Recurrence</x:v>
      </x:c>
      <x:c r="E101" s="40" t="str">
        <x:v>AC-E-018</x:v>
      </x:c>
      <x:c r="F101" s="40" t="str">
        <x:v>FR-E-018</x:v>
      </x:c>
      <x:c r="G101" s="40" t="str">
        <x:v>Given the applicable Calendar Events and Recurrence preconditions and a valid Local Profile</x:v>
      </x:c>
      <x:c r="H101" s="40" t="str">
        <x:v>When the user performs the relevant action or the relevant system condition occurs</x:v>
      </x:c>
      <x:c r="I101" s="40" t="str">
        <x:v>Then display the selected edit scope before changing a recurring series.</x:v>
      </x:c>
      <x:c r="J101" s="40" t="str">
        <x:v>No</x:v>
      </x:c>
      <x:c r="K101" s="40" t="str">
        <x:v>Widget test</x:v>
      </x:c>
      <x:c r="L101" s="40" t="str">
        <x:v>Not Started</x:v>
      </x:c>
      <x:c r="M101" s="40"/>
    </x:row>
    <x:row r="102">
      <x:c r="A102" s="40" t="str">
        <x:v>VS-04</x:v>
      </x:c>
      <x:c r="B102" s="40" t="n">
        <x:v>4</x:v>
      </x:c>
      <x:c r="C102" s="40" t="str">
        <x:v>Wave 2 — Core Planning Loop</x:v>
      </x:c>
      <x:c r="D102" s="40" t="str">
        <x:v>E. Calendar Events and Recurrence</x:v>
      </x:c>
      <x:c r="E102" s="40" t="str">
        <x:v>AC-E-019</x:v>
      </x:c>
      <x:c r="F102" s="40" t="str">
        <x:v>FR-E-019</x:v>
      </x:c>
      <x:c r="G102" s="40" t="str">
        <x:v>Given the applicable Calendar Events and Recurrence preconditions and a valid Local Profile</x:v>
      </x:c>
      <x:c r="H102" s="40" t="str">
        <x:v>When the user performs the relevant action or the relevant system condition occurs</x:v>
      </x:c>
      <x:c r="I102" s="40" t="str">
        <x:v>Then events shall support optional typed locations without location permission.</x:v>
      </x:c>
      <x:c r="J102" s="40" t="str">
        <x:v>Yes</x:v>
      </x:c>
      <x:c r="K102" s="40" t="str">
        <x:v>Widget test</x:v>
      </x:c>
      <x:c r="L102" s="40" t="str">
        <x:v>Not Started</x:v>
      </x:c>
      <x:c r="M102" s="40"/>
    </x:row>
    <x:row r="103">
      <x:c r="A103" s="40" t="str">
        <x:v>VS-04</x:v>
      </x:c>
      <x:c r="B103" s="40" t="n">
        <x:v>4</x:v>
      </x:c>
      <x:c r="C103" s="40" t="str">
        <x:v>Wave 2 — Core Planning Loop</x:v>
      </x:c>
      <x:c r="D103" s="40" t="str">
        <x:v>E. Calendar Events and Recurrence</x:v>
      </x:c>
      <x:c r="E103" s="40" t="str">
        <x:v>AC-E-020</x:v>
      </x:c>
      <x:c r="F103" s="40" t="str">
        <x:v>FR-E-020</x:v>
      </x:c>
      <x:c r="G103" s="40" t="str">
        <x:v>Given the applicable Calendar Events and Recurrence preconditions and a valid Local Profile</x:v>
      </x:c>
      <x:c r="H103" s="40" t="str">
        <x:v>When the user performs the relevant action or the relevant system condition occurs</x:v>
      </x:c>
      <x:c r="I103" s="40" t="str">
        <x:v>Then function without Android calendar permission.</x:v>
      </x:c>
      <x:c r="J103" s="40" t="str">
        <x:v>Yes</x:v>
      </x:c>
      <x:c r="K103" s="40" t="str">
        <x:v>Widget test / Integration test</x:v>
      </x:c>
      <x:c r="L103" s="40" t="str">
        <x:v>Not Started</x:v>
      </x:c>
      <x:c r="M103" s="40"/>
    </x:row>
    <x:row r="104">
      <x:c r="A104" s="40" t="str">
        <x:v>VS-04</x:v>
      </x:c>
      <x:c r="B104" s="40" t="n">
        <x:v>4</x:v>
      </x:c>
      <x:c r="C104" s="40" t="str">
        <x:v>Wave 2 — Core Planning Loop</x:v>
      </x:c>
      <x:c r="D104" s="40" t="str">
        <x:v>E. Calendar Events and Recurrence</x:v>
      </x:c>
      <x:c r="E104" s="40" t="str">
        <x:v>AC-E-021</x:v>
      </x:c>
      <x:c r="F104" s="40" t="str">
        <x:v>FR-E-021</x:v>
      </x:c>
      <x:c r="G104" s="40" t="str">
        <x:v>Given the applicable Calendar Events and Recurrence preconditions and a valid Local Profile</x:v>
      </x:c>
      <x:c r="H104" s="40" t="str">
        <x:v>When the user performs the relevant action or the relevant system condition occurs</x:v>
      </x:c>
      <x:c r="I104" s="40" t="str">
        <x:v>Then event save and report retries shall be idempotent from the user’s perspective.</x:v>
      </x:c>
      <x:c r="J104" s="40" t="str">
        <x:v>Yes</x:v>
      </x:c>
      <x:c r="K104" s="40" t="str">
        <x:v>Domain test</x:v>
      </x:c>
      <x:c r="L104" s="40" t="str">
        <x:v>Not Started</x:v>
      </x:c>
      <x:c r="M104" s="40"/>
    </x:row>
    <x:row r="105">
      <x:c r="A105" s="40" t="str">
        <x:v>VS-04</x:v>
      </x:c>
      <x:c r="B105" s="40" t="n">
        <x:v>4</x:v>
      </x:c>
      <x:c r="C105" s="40" t="str">
        <x:v>Wave 2 — Core Planning Loop</x:v>
      </x:c>
      <x:c r="D105" s="40" t="str">
        <x:v>E. Calendar Events and Recurrence</x:v>
      </x:c>
      <x:c r="E105" s="40" t="str">
        <x:v>AC-E-022</x:v>
      </x:c>
      <x:c r="F105" s="40" t="str">
        <x:v>FR-E-022</x:v>
      </x:c>
      <x:c r="G105" s="40" t="str">
        <x:v>Given the applicable Calendar Events and Recurrence preconditions and a valid Local Profile</x:v>
      </x:c>
      <x:c r="H105" s="40" t="str">
        <x:v>When the user performs the relevant action or the relevant system condition occurs</x:v>
      </x:c>
      <x:c r="I105" s="40" t="str">
        <x:v>Then prevent title-only indicator classification.</x:v>
      </x:c>
      <x:c r="J105" s="40" t="str">
        <x:v>Yes</x:v>
      </x:c>
      <x:c r="K105" s="40" t="str">
        <x:v>Domain test</x:v>
      </x:c>
      <x:c r="L105" s="40" t="str">
        <x:v>Not Started</x:v>
      </x:c>
      <x:c r="M105" s="40"/>
    </x:row>
    <x:row r="106">
      <x:c r="A106" s="40" t="str">
        <x:v>VS-04</x:v>
      </x:c>
      <x:c r="B106" s="40" t="n">
        <x:v>4</x:v>
      </x:c>
      <x:c r="C106" s="40" t="str">
        <x:v>Wave 2 — Core Planning Loop</x:v>
      </x:c>
      <x:c r="D106" s="40" t="str">
        <x:v>E. Calendar Events and Recurrence</x:v>
      </x:c>
      <x:c r="E106" s="40" t="str">
        <x:v>AC-E-023</x:v>
      </x:c>
      <x:c r="F106" s="40" t="str">
        <x:v>FR-E-023</x:v>
      </x:c>
      <x:c r="G106" s="40" t="str">
        <x:v>Given the applicable Calendar Events and Recurrence preconditions and a valid Local Profile</x:v>
      </x:c>
      <x:c r="H106" s="40" t="str">
        <x:v>When the user performs the relevant action or the relevant system condition occurs</x:v>
      </x:c>
      <x:c r="I106" s="40" t="str">
        <x:v>Then expose linked Tasks without merging statuses.</x:v>
      </x:c>
      <x:c r="J106" s="40" t="str">
        <x:v>Yes</x:v>
      </x:c>
      <x:c r="K106" s="40" t="str">
        <x:v>Domain test</x:v>
      </x:c>
      <x:c r="L106" s="40" t="str">
        <x:v>Not Started</x:v>
      </x:c>
      <x:c r="M106" s="40"/>
    </x:row>
    <x:row r="107">
      <x:c r="A107" s="40" t="str">
        <x:v>VS-04</x:v>
      </x:c>
      <x:c r="B107" s="40" t="n">
        <x:v>4</x:v>
      </x:c>
      <x:c r="C107" s="40" t="str">
        <x:v>Wave 2 — Core Planning Loop</x:v>
      </x:c>
      <x:c r="D107" s="40" t="str">
        <x:v>E. Calendar Events and Recurrence</x:v>
      </x:c>
      <x:c r="E107" s="40" t="str">
        <x:v>AC-E-024</x:v>
      </x:c>
      <x:c r="F107" s="40" t="str">
        <x:v>FR-E-024</x:v>
      </x:c>
      <x:c r="G107" s="40" t="str">
        <x:v>Given the applicable Calendar Events and Recurrence preconditions and a valid Local Profile</x:v>
      </x:c>
      <x:c r="H107" s="40" t="str">
        <x:v>When the user performs the relevant action or the relevant system condition occurs</x:v>
      </x:c>
      <x:c r="I107" s="40" t="str">
        <x:v>Then preserve occurrence reports during synchronization and conflict recovery.</x:v>
      </x:c>
      <x:c r="J107" s="40" t="str">
        <x:v>Yes</x:v>
      </x:c>
      <x:c r="K107" s="40" t="str">
        <x:v>Integration test</x:v>
      </x:c>
      <x:c r="L107" s="40" t="str">
        <x:v>Not Started</x:v>
      </x:c>
      <x:c r="M107" s="40"/>
    </x:row>
    <x:row r="108">
      <x:c r="A108" s="40" t="str">
        <x:v>VS-05</x:v>
      </x:c>
      <x:c r="B108" s="40" t="n">
        <x:v>5</x:v>
      </x:c>
      <x:c r="C108" s="40" t="str">
        <x:v>Wave 2 — Core Planning Loop</x:v>
      </x:c>
      <x:c r="D108" s="40" t="str">
        <x:v>F. Task–Event Linking</x:v>
      </x:c>
      <x:c r="E108" s="40" t="str">
        <x:v>AC-F-001</x:v>
      </x:c>
      <x:c r="F108" s="40" t="str">
        <x:v>FR-F-001</x:v>
      </x:c>
      <x:c r="G108" s="40" t="str">
        <x:v>Given the applicable Task–Event Linking preconditions and a valid Local Profile</x:v>
      </x:c>
      <x:c r="H108" s="40" t="str">
        <x:v>When the user performs the relevant action or the relevant system condition occurs</x:v>
      </x:c>
      <x:c r="I108" s="40" t="str">
        <x:v>Then be able to link an existing Task to an existing Calendar Event.</x:v>
      </x:c>
      <x:c r="J108" s="40" t="str">
        <x:v>Yes</x:v>
      </x:c>
      <x:c r="K108" s="40" t="str">
        <x:v>Widget test / Integration test</x:v>
      </x:c>
      <x:c r="L108" s="40" t="str">
        <x:v>Not Started</x:v>
      </x:c>
      <x:c r="M108" s="40"/>
    </x:row>
    <x:row r="109">
      <x:c r="A109" s="40" t="str">
        <x:v>VS-05</x:v>
      </x:c>
      <x:c r="B109" s="40" t="n">
        <x:v>5</x:v>
      </x:c>
      <x:c r="C109" s="40" t="str">
        <x:v>Wave 2 — Core Planning Loop</x:v>
      </x:c>
      <x:c r="D109" s="40" t="str">
        <x:v>F. Task–Event Linking</x:v>
      </x:c>
      <x:c r="E109" s="40" t="str">
        <x:v>AC-F-002</x:v>
      </x:c>
      <x:c r="F109" s="40" t="str">
        <x:v>FR-F-002</x:v>
      </x:c>
      <x:c r="G109" s="40" t="str">
        <x:v>Given the applicable Task–Event Linking preconditions and a valid Local Profile</x:v>
      </x:c>
      <x:c r="H109" s="40" t="str">
        <x:v>When the user performs the relevant action or the relevant system condition occurs</x:v>
      </x:c>
      <x:c r="I109" s="40" t="str">
        <x:v>Then be able to create a Calendar Event from a Task.</x:v>
      </x:c>
      <x:c r="J109" s="40" t="str">
        <x:v>Yes</x:v>
      </x:c>
      <x:c r="K109" s="40" t="str">
        <x:v>Widget test / Integration test</x:v>
      </x:c>
      <x:c r="L109" s="40" t="str">
        <x:v>Not Started</x:v>
      </x:c>
      <x:c r="M109" s="40"/>
    </x:row>
    <x:row r="110">
      <x:c r="A110" s="40" t="str">
        <x:v>VS-05</x:v>
      </x:c>
      <x:c r="B110" s="40" t="n">
        <x:v>5</x:v>
      </x:c>
      <x:c r="C110" s="40" t="str">
        <x:v>Wave 2 — Core Planning Loop</x:v>
      </x:c>
      <x:c r="D110" s="40" t="str">
        <x:v>F. Task–Event Linking</x:v>
      </x:c>
      <x:c r="E110" s="40" t="str">
        <x:v>AC-F-003</x:v>
      </x:c>
      <x:c r="F110" s="40" t="str">
        <x:v>FR-F-003</x:v>
      </x:c>
      <x:c r="G110" s="40" t="str">
        <x:v>Given the applicable Task–Event Linking preconditions and a valid Local Profile</x:v>
      </x:c>
      <x:c r="H110" s="40" t="str">
        <x:v>When the user performs the relevant action or the relevant system condition occurs</x:v>
      </x:c>
      <x:c r="I110" s="40" t="str">
        <x:v>Then be able to link eligible recurring occurrences.</x:v>
      </x:c>
      <x:c r="J110" s="40" t="str">
        <x:v>Yes</x:v>
      </x:c>
      <x:c r="K110" s="40" t="str">
        <x:v>Widget test</x:v>
      </x:c>
      <x:c r="L110" s="40" t="str">
        <x:v>Not Started</x:v>
      </x:c>
      <x:c r="M110" s="40"/>
    </x:row>
    <x:row r="111">
      <x:c r="A111" s="40" t="str">
        <x:v>VS-05</x:v>
      </x:c>
      <x:c r="B111" s="40" t="n">
        <x:v>5</x:v>
      </x:c>
      <x:c r="C111" s="40" t="str">
        <x:v>Wave 2 — Core Planning Loop</x:v>
      </x:c>
      <x:c r="D111" s="40" t="str">
        <x:v>F. Task–Event Linking</x:v>
      </x:c>
      <x:c r="E111" s="40" t="str">
        <x:v>AC-F-004</x:v>
      </x:c>
      <x:c r="F111" s="40" t="str">
        <x:v>FR-F-004</x:v>
      </x:c>
      <x:c r="G111" s="40" t="str">
        <x:v>Given the applicable Task–Event Linking preconditions and a valid Local Profile</x:v>
      </x:c>
      <x:c r="H111" s="40" t="str">
        <x:v>When the user performs the relevant action or the relevant system condition occurs</x:v>
      </x:c>
      <x:c r="I111" s="40" t="str">
        <x:v>Then display linked records from both Task and event details.</x:v>
      </x:c>
      <x:c r="J111" s="40" t="str">
        <x:v>Yes</x:v>
      </x:c>
      <x:c r="K111" s="40" t="str">
        <x:v>Widget test</x:v>
      </x:c>
      <x:c r="L111" s="40" t="str">
        <x:v>Not Started</x:v>
      </x:c>
      <x:c r="M111" s="40"/>
    </x:row>
    <x:row r="112">
      <x:c r="A112" s="40" t="str">
        <x:v>VS-05</x:v>
      </x:c>
      <x:c r="B112" s="40" t="n">
        <x:v>5</x:v>
      </x:c>
      <x:c r="C112" s="40" t="str">
        <x:v>Wave 2 — Core Planning Loop</x:v>
      </x:c>
      <x:c r="D112" s="40" t="str">
        <x:v>F. Task–Event Linking</x:v>
      </x:c>
      <x:c r="E112" s="40" t="str">
        <x:v>AC-F-005</x:v>
      </x:c>
      <x:c r="F112" s="40" t="str">
        <x:v>FR-F-005</x:v>
      </x:c>
      <x:c r="G112" s="40" t="str">
        <x:v>Given the applicable Task–Event Linking preconditions and a valid Local Profile</x:v>
      </x:c>
      <x:c r="H112" s="40" t="str">
        <x:v>When the user performs the relevant action or the relevant system condition occurs</x:v>
      </x:c>
      <x:c r="I112" s="40" t="str">
        <x:v>Then preserve independent statuses.</x:v>
      </x:c>
      <x:c r="J112" s="40" t="str">
        <x:v>Yes</x:v>
      </x:c>
      <x:c r="K112" s="40" t="str">
        <x:v>Domain test</x:v>
      </x:c>
      <x:c r="L112" s="40" t="str">
        <x:v>Not Started</x:v>
      </x:c>
      <x:c r="M112" s="40"/>
    </x:row>
    <x:row r="113">
      <x:c r="A113" s="40" t="str">
        <x:v>VS-05</x:v>
      </x:c>
      <x:c r="B113" s="40" t="n">
        <x:v>5</x:v>
      </x:c>
      <x:c r="C113" s="40" t="str">
        <x:v>Wave 2 — Core Planning Loop</x:v>
      </x:c>
      <x:c r="D113" s="40" t="str">
        <x:v>F. Task–Event Linking</x:v>
      </x:c>
      <x:c r="E113" s="40" t="str">
        <x:v>AC-F-006</x:v>
      </x:c>
      <x:c r="F113" s="40" t="str">
        <x:v>FR-F-006</x:v>
      </x:c>
      <x:c r="G113" s="40" t="str">
        <x:v>Given the applicable Task–Event Linking preconditions and a valid Local Profile</x:v>
      </x:c>
      <x:c r="H113" s="40" t="str">
        <x:v>When the user performs the relevant action or the relevant system condition occurs</x:v>
      </x:c>
      <x:c r="I113" s="40" t="str">
        <x:v>Then prevent equivalent duplicate active links.</x:v>
      </x:c>
      <x:c r="J113" s="40" t="str">
        <x:v>Yes</x:v>
      </x:c>
      <x:c r="K113" s="40" t="str">
        <x:v>Domain test</x:v>
      </x:c>
      <x:c r="L113" s="40" t="str">
        <x:v>Not Started</x:v>
      </x:c>
      <x:c r="M113" s="40"/>
    </x:row>
    <x:row r="114">
      <x:c r="A114" s="40" t="str">
        <x:v>VS-05</x:v>
      </x:c>
      <x:c r="B114" s="40" t="n">
        <x:v>5</x:v>
      </x:c>
      <x:c r="C114" s="40" t="str">
        <x:v>Wave 2 — Core Planning Loop</x:v>
      </x:c>
      <x:c r="D114" s="40" t="str">
        <x:v>F. Task–Event Linking</x:v>
      </x:c>
      <x:c r="E114" s="40" t="str">
        <x:v>AC-F-007</x:v>
      </x:c>
      <x:c r="F114" s="40" t="str">
        <x:v>FR-F-007</x:v>
      </x:c>
      <x:c r="G114" s="40" t="str">
        <x:v>Given the applicable Task–Event Linking preconditions and a valid Local Profile</x:v>
      </x:c>
      <x:c r="H114" s="40" t="str">
        <x:v>When the user performs the relevant action or the relevant system condition occurs</x:v>
      </x:c>
      <x:c r="I114" s="40" t="str">
        <x:v>Then support link removal without deleting either record.</x:v>
      </x:c>
      <x:c r="J114" s="40" t="str">
        <x:v>Yes</x:v>
      </x:c>
      <x:c r="K114" s="40" t="str">
        <x:v>Domain test</x:v>
      </x:c>
      <x:c r="L114" s="40" t="str">
        <x:v>Not Started</x:v>
      </x:c>
      <x:c r="M114" s="40"/>
    </x:row>
    <x:row r="115">
      <x:c r="A115" s="40" t="str">
        <x:v>VS-05</x:v>
      </x:c>
      <x:c r="B115" s="40" t="n">
        <x:v>5</x:v>
      </x:c>
      <x:c r="C115" s="40" t="str">
        <x:v>Wave 2 — Core Planning Loop</x:v>
      </x:c>
      <x:c r="D115" s="40" t="str">
        <x:v>F. Task–Event Linking</x:v>
      </x:c>
      <x:c r="E115" s="40" t="str">
        <x:v>AC-F-008</x:v>
      </x:c>
      <x:c r="F115" s="40" t="str">
        <x:v>FR-F-008</x:v>
      </x:c>
      <x:c r="G115" s="40" t="str">
        <x:v>Given the applicable Task–Event Linking preconditions and a valid Local Profile</x:v>
      </x:c>
      <x:c r="H115" s="40" t="str">
        <x:v>When the user performs the relevant action or the relevant system condition occurs</x:v>
      </x:c>
      <x:c r="I115" s="40" t="str">
        <x:v>Then preserve historical relationship references where needed.</x:v>
      </x:c>
      <x:c r="J115" s="40" t="str">
        <x:v>Yes</x:v>
      </x:c>
      <x:c r="K115" s="40" t="str">
        <x:v>Domain test</x:v>
      </x:c>
      <x:c r="L115" s="40" t="str">
        <x:v>Not Started</x:v>
      </x:c>
      <x:c r="M115" s="40"/>
    </x:row>
    <x:row r="116">
      <x:c r="A116" s="40" t="str">
        <x:v>VS-05</x:v>
      </x:c>
      <x:c r="B116" s="40" t="n">
        <x:v>5</x:v>
      </x:c>
      <x:c r="C116" s="40" t="str">
        <x:v>Wave 2 — Core Planning Loop</x:v>
      </x:c>
      <x:c r="D116" s="40" t="str">
        <x:v>F. Task–Event Linking</x:v>
      </x:c>
      <x:c r="E116" s="40" t="str">
        <x:v>AC-F-009</x:v>
      </x:c>
      <x:c r="F116" s="40" t="str">
        <x:v>FR-F-009</x:v>
      </x:c>
      <x:c r="G116" s="40" t="str">
        <x:v>Given the applicable Task–Event Linking preconditions and a valid Local Profile</x:v>
      </x:c>
      <x:c r="H116" s="40" t="str">
        <x:v>When the user performs the relevant action or the relevant system condition occurs</x:v>
      </x:c>
      <x:c r="I116" s="40" t="str">
        <x:v>Then distinguish series-level and occurrence-level links.</x:v>
      </x:c>
      <x:c r="J116" s="40" t="str">
        <x:v>No</x:v>
      </x:c>
      <x:c r="K116" s="40" t="str">
        <x:v>Domain test</x:v>
      </x:c>
      <x:c r="L116" s="40" t="str">
        <x:v>Not Started</x:v>
      </x:c>
      <x:c r="M116" s="40"/>
    </x:row>
    <x:row r="117">
      <x:c r="A117" s="40" t="str">
        <x:v>VS-05</x:v>
      </x:c>
      <x:c r="B117" s="40" t="n">
        <x:v>5</x:v>
      </x:c>
      <x:c r="C117" s="40" t="str">
        <x:v>Wave 2 — Core Planning Loop</x:v>
      </x:c>
      <x:c r="D117" s="40" t="str">
        <x:v>F. Task–Event Linking</x:v>
      </x:c>
      <x:c r="E117" s="40" t="str">
        <x:v>AC-F-010</x:v>
      </x:c>
      <x:c r="F117" s="40" t="str">
        <x:v>FR-F-010</x:v>
      </x:c>
      <x:c r="G117" s="40" t="str">
        <x:v>Given the applicable Task–Event Linking preconditions and a valid Local Profile</x:v>
      </x:c>
      <x:c r="H117" s="40" t="str">
        <x:v>When the user performs the relevant action or the relevant system condition occurs</x:v>
      </x:c>
      <x:c r="I117" s="40" t="str">
        <x:v>Then rescheduling shall transfer active planning context to the replacement without losing original history.</x:v>
      </x:c>
      <x:c r="J117" s="40" t="str">
        <x:v>Yes</x:v>
      </x:c>
      <x:c r="K117" s="40" t="str">
        <x:v>Domain test</x:v>
      </x:c>
      <x:c r="L117" s="40" t="str">
        <x:v>Not Started</x:v>
      </x:c>
      <x:c r="M117" s="40"/>
    </x:row>
    <x:row r="118">
      <x:c r="A118" s="40" t="str">
        <x:v>VS-05</x:v>
      </x:c>
      <x:c r="B118" s="40" t="n">
        <x:v>5</x:v>
      </x:c>
      <x:c r="C118" s="40" t="str">
        <x:v>Wave 2 — Core Planning Loop</x:v>
      </x:c>
      <x:c r="D118" s="40" t="str">
        <x:v>F. Task–Event Linking</x:v>
      </x:c>
      <x:c r="E118" s="40" t="str">
        <x:v>AC-F-011</x:v>
      </x:c>
      <x:c r="F118" s="40" t="str">
        <x:v>FR-F-011</x:v>
      </x:c>
      <x:c r="G118" s="40" t="str">
        <x:v>Given the applicable Task–Event Linking preconditions and a valid Local Profile</x:v>
      </x:c>
      <x:c r="H118" s="40" t="str">
        <x:v>When the user performs the relevant action or the relevant system condition occurs</x:v>
      </x:c>
      <x:c r="I118" s="40" t="str">
        <x:v>Then not create Actual or Activity Ledger entries from link creation.</x:v>
      </x:c>
      <x:c r="J118" s="40" t="str">
        <x:v>Yes</x:v>
      </x:c>
      <x:c r="K118" s="40" t="str">
        <x:v>Domain test / Database test</x:v>
      </x:c>
      <x:c r="L118" s="40" t="str">
        <x:v>Not Started</x:v>
      </x:c>
      <x:c r="M118" s="40"/>
    </x:row>
    <x:row r="119">
      <x:c r="A119" s="40" t="str">
        <x:v>VS-05</x:v>
      </x:c>
      <x:c r="B119" s="40" t="n">
        <x:v>5</x:v>
      </x:c>
      <x:c r="C119" s="40" t="str">
        <x:v>Wave 2 — Core Planning Loop</x:v>
      </x:c>
      <x:c r="D119" s="40" t="str">
        <x:v>F. Task–Event Linking</x:v>
      </x:c>
      <x:c r="E119" s="40" t="str">
        <x:v>AC-F-012</x:v>
      </x:c>
      <x:c r="F119" s="40" t="str">
        <x:v>FR-F-012</x:v>
      </x:c>
      <x:c r="G119" s="40" t="str">
        <x:v>Given the applicable Task–Event Linking preconditions and a valid Local Profile</x:v>
      </x:c>
      <x:c r="H119" s="40" t="str">
        <x:v>When the user performs the relevant action or the relevant system condition occurs</x:v>
      </x:c>
      <x:c r="I119" s="40" t="str">
        <x:v>Then not classify links from titles.</x:v>
      </x:c>
      <x:c r="J119" s="40" t="str">
        <x:v>Yes</x:v>
      </x:c>
      <x:c r="K119" s="40" t="str">
        <x:v>Domain test</x:v>
      </x:c>
      <x:c r="L119" s="40" t="str">
        <x:v>Not Started</x:v>
      </x:c>
      <x:c r="M119" s="40"/>
    </x:row>
    <x:row r="120">
      <x:c r="A120" s="40" t="str">
        <x:v>VS-05</x:v>
      </x:c>
      <x:c r="B120" s="40" t="n">
        <x:v>5</x:v>
      </x:c>
      <x:c r="C120" s="40" t="str">
        <x:v>Wave 2 — Core Planning Loop</x:v>
      </x:c>
      <x:c r="D120" s="40" t="str">
        <x:v>F. Task–Event Linking</x:v>
      </x:c>
      <x:c r="E120" s="40" t="str">
        <x:v>AC-F-013</x:v>
      </x:c>
      <x:c r="F120" s="40" t="str">
        <x:v>FR-F-013</x:v>
      </x:c>
      <x:c r="G120" s="40" t="str">
        <x:v>Given the applicable Task–Event Linking preconditions and a valid Local Profile</x:v>
      </x:c>
      <x:c r="H120" s="40" t="str">
        <x:v>When the user performs the relevant action or the relevant system condition occurs</x:v>
      </x:c>
      <x:c r="I120" s="40" t="str">
        <x:v>Then prevent double-counting of Scheduled Potential.</x:v>
      </x:c>
      <x:c r="J120" s="40" t="str">
        <x:v>Yes</x:v>
      </x:c>
      <x:c r="K120" s="40" t="str">
        <x:v>Domain test</x:v>
      </x:c>
      <x:c r="L120" s="40" t="str">
        <x:v>Not Started</x:v>
      </x:c>
      <x:c r="M120" s="40"/>
    </x:row>
    <x:row r="121">
      <x:c r="A121" s="40" t="str">
        <x:v>VS-05</x:v>
      </x:c>
      <x:c r="B121" s="40" t="n">
        <x:v>5</x:v>
      </x:c>
      <x:c r="C121" s="40" t="str">
        <x:v>Wave 2 — Core Planning Loop</x:v>
      </x:c>
      <x:c r="D121" s="40" t="str">
        <x:v>F. Task–Event Linking</x:v>
      </x:c>
      <x:c r="E121" s="40" t="str">
        <x:v>AC-F-014</x:v>
      </x:c>
      <x:c r="F121" s="40" t="str">
        <x:v>FR-F-014</x:v>
      </x:c>
      <x:c r="G121" s="40" t="str">
        <x:v>Given the applicable Task–Event Linking preconditions and a valid Local Profile</x:v>
      </x:c>
      <x:c r="H121" s="40" t="str">
        <x:v>When the user performs the relevant action or the relevant system condition occurs</x:v>
      </x:c>
      <x:c r="I121" s="40" t="str">
        <x:v>Then support broken-link recovery.</x:v>
      </x:c>
      <x:c r="J121" s="40" t="str">
        <x:v>No</x:v>
      </x:c>
      <x:c r="K121" s="40" t="str">
        <x:v>Integration test</x:v>
      </x:c>
      <x:c r="L121" s="40" t="str">
        <x:v>Not Started</x:v>
      </x:c>
      <x:c r="M121" s="40"/>
    </x:row>
    <x:row r="122">
      <x:c r="A122" s="40" t="str">
        <x:v>VS-05</x:v>
      </x:c>
      <x:c r="B122" s="40" t="n">
        <x:v>5</x:v>
      </x:c>
      <x:c r="C122" s="40" t="str">
        <x:v>Wave 2 — Core Planning Loop</x:v>
      </x:c>
      <x:c r="D122" s="40" t="str">
        <x:v>F. Task–Event Linking</x:v>
      </x:c>
      <x:c r="E122" s="40" t="str">
        <x:v>AC-F-015</x:v>
      </x:c>
      <x:c r="F122" s="40" t="str">
        <x:v>FR-F-015</x:v>
      </x:c>
      <x:c r="G122" s="40" t="str">
        <x:v>Given the applicable Task–Event Linking preconditions and a valid Local Profile</x:v>
      </x:c>
      <x:c r="H122" s="40" t="str">
        <x:v>When the user performs the relevant action or the relevant system condition occurs</x:v>
      </x:c>
      <x:c r="I122" s="40" t="str">
        <x:v>Then support offline link creation and removal.</x:v>
      </x:c>
      <x:c r="J122" s="40" t="str">
        <x:v>Yes</x:v>
      </x:c>
      <x:c r="K122" s="40" t="str">
        <x:v>Domain test</x:v>
      </x:c>
      <x:c r="L122" s="40" t="str">
        <x:v>Not Started</x:v>
      </x:c>
      <x:c r="M122" s="40"/>
    </x:row>
    <x:row r="123">
      <x:c r="A123" s="40" t="str">
        <x:v>VS-05</x:v>
      </x:c>
      <x:c r="B123" s="40" t="n">
        <x:v>5</x:v>
      </x:c>
      <x:c r="C123" s="40" t="str">
        <x:v>Wave 2 — Core Planning Loop</x:v>
      </x:c>
      <x:c r="D123" s="40" t="str">
        <x:v>F. Task–Event Linking</x:v>
      </x:c>
      <x:c r="E123" s="40" t="str">
        <x:v>AC-F-016</x:v>
      </x:c>
      <x:c r="F123" s="40" t="str">
        <x:v>FR-F-016</x:v>
      </x:c>
      <x:c r="G123" s="40" t="str">
        <x:v>Given the applicable Task–Event Linking preconditions and a valid Local Profile</x:v>
      </x:c>
      <x:c r="H123" s="40" t="str">
        <x:v>When the user performs the relevant action or the relevant system condition occurs</x:v>
      </x:c>
      <x:c r="I123" s="40" t="str">
        <x:v>Then preserve user selections after recoverable failures.</x:v>
      </x:c>
      <x:c r="J123" s="40" t="str">
        <x:v>Yes</x:v>
      </x:c>
      <x:c r="K123" s="40" t="str">
        <x:v>Domain test</x:v>
      </x:c>
      <x:c r="L123" s="40" t="str">
        <x:v>Not Started</x:v>
      </x:c>
      <x:c r="M123" s="40"/>
    </x:row>
    <x:row r="124">
      <x:c r="A124" s="40" t="str">
        <x:v>VS-05</x:v>
      </x:c>
      <x:c r="B124" s="40" t="n">
        <x:v>5</x:v>
      </x:c>
      <x:c r="C124" s="40" t="str">
        <x:v>Wave 2 — Core Planning Loop</x:v>
      </x:c>
      <x:c r="D124" s="40" t="str">
        <x:v>F. Task–Event Linking</x:v>
      </x:c>
      <x:c r="E124" s="40" t="str">
        <x:v>AC-F-017</x:v>
      </x:c>
      <x:c r="F124" s="40" t="str">
        <x:v>FR-F-017</x:v>
      </x:c>
      <x:c r="G124" s="40" t="str">
        <x:v>Given the applicable Task–Event Linking preconditions and a valid Local Profile</x:v>
      </x:c>
      <x:c r="H124" s="40" t="str">
        <x:v>When the user performs the relevant action or the relevant system condition occurs</x:v>
      </x:c>
      <x:c r="I124" s="40" t="str">
        <x:v>Then expose why a linked item does or does not qualify as Scheduled Potential.</x:v>
      </x:c>
      <x:c r="J124" s="40" t="str">
        <x:v>No</x:v>
      </x:c>
      <x:c r="K124" s="40" t="str">
        <x:v>Domain test</x:v>
      </x:c>
      <x:c r="L124" s="40" t="str">
        <x:v>Not Started</x:v>
      </x:c>
      <x:c r="M124" s="40"/>
    </x:row>
    <x:row r="125">
      <x:c r="A125" s="40" t="str">
        <x:v>VS-05</x:v>
      </x:c>
      <x:c r="B125" s="40" t="n">
        <x:v>5</x:v>
      </x:c>
      <x:c r="C125" s="40" t="str">
        <x:v>Wave 2 — Core Planning Loop</x:v>
      </x:c>
      <x:c r="D125" s="40" t="str">
        <x:v>F. Task–Event Linking</x:v>
      </x:c>
      <x:c r="E125" s="40" t="str">
        <x:v>AC-F-018</x:v>
      </x:c>
      <x:c r="F125" s="40" t="str">
        <x:v>FR-F-018</x:v>
      </x:c>
      <x:c r="G125" s="40" t="str">
        <x:v>Given the applicable Task–Event Linking preconditions and a valid Local Profile</x:v>
      </x:c>
      <x:c r="H125" s="40" t="str">
        <x:v>When the user performs the relevant action or the relevant system condition occurs</x:v>
      </x:c>
      <x:c r="I125" s="40" t="str">
        <x:v>Then not apply one Event Report to multiple linked Tasks automatically.</x:v>
      </x:c>
      <x:c r="J125" s="40" t="str">
        <x:v>Yes</x:v>
      </x:c>
      <x:c r="K125" s="40" t="str">
        <x:v>Domain test</x:v>
      </x:c>
      <x:c r="L125" s="40" t="str">
        <x:v>Not Started</x:v>
      </x:c>
      <x:c r="M125" s="40"/>
    </x:row>
    <x:row r="126">
      <x:c r="A126" s="40" t="str">
        <x:v>VS-06</x:v>
      </x:c>
      <x:c r="B126" s="40" t="n">
        <x:v>6</x:v>
      </x:c>
      <x:c r="C126" s="40" t="str">
        <x:v>Wave 2 — Core Planning Loop</x:v>
      </x:c>
      <x:c r="D126" s="40" t="str">
        <x:v>G. Event and Task Outcome Reporting</x:v>
      </x:c>
      <x:c r="E126" s="40" t="str">
        <x:v>AC-G-001</x:v>
      </x:c>
      <x:c r="F126" s="40" t="str">
        <x:v>FR-G-001</x:v>
      </x:c>
      <x:c r="G126" s="40" t="str">
        <x:v>Given the applicable Event and Task Outcome Reporting preconditions and a valid Local Profile</x:v>
      </x:c>
      <x:c r="H126" s="40" t="str">
        <x:v>When the user performs the relevant action or the relevant system condition occurs</x:v>
      </x:c>
      <x:c r="I126" s="40" t="str">
        <x:v>Then be able to report each Calendar Event occurrence independently.</x:v>
      </x:c>
      <x:c r="J126" s="40" t="str">
        <x:v>Yes</x:v>
      </x:c>
      <x:c r="K126" s="40" t="str">
        <x:v>Widget test / Integration test</x:v>
      </x:c>
      <x:c r="L126" s="40" t="str">
        <x:v>Not Started</x:v>
      </x:c>
      <x:c r="M126" s="40"/>
    </x:row>
    <x:row r="127">
      <x:c r="A127" s="40" t="str">
        <x:v>VS-06</x:v>
      </x:c>
      <x:c r="B127" s="40" t="n">
        <x:v>6</x:v>
      </x:c>
      <x:c r="C127" s="40" t="str">
        <x:v>Wave 2 — Core Planning Loop</x:v>
      </x:c>
      <x:c r="D127" s="40" t="str">
        <x:v>G. Event and Task Outcome Reporting</x:v>
      </x:c>
      <x:c r="E127" s="40" t="str">
        <x:v>AC-G-002</x:v>
      </x:c>
      <x:c r="F127" s="40" t="str">
        <x:v>FR-G-002</x:v>
      </x:c>
      <x:c r="G127" s="40" t="str">
        <x:v>Given the applicable Event and Task Outcome Reporting preconditions and a valid Local Profile</x:v>
      </x:c>
      <x:c r="H127" s="40" t="str">
        <x:v>When the user performs the relevant action or the relevant system condition occurs</x:v>
      </x:c>
      <x:c r="I127" s="40" t="str">
        <x:v>Then support Completed/Happened, Partially Completed, and Did Not Happen.</x:v>
      </x:c>
      <x:c r="J127" s="40" t="str">
        <x:v>Yes</x:v>
      </x:c>
      <x:c r="K127" s="40" t="str">
        <x:v>Domain test</x:v>
      </x:c>
      <x:c r="L127" s="40" t="str">
        <x:v>Not Started</x:v>
      </x:c>
      <x:c r="M127" s="40"/>
    </x:row>
    <x:row r="128">
      <x:c r="A128" s="40" t="str">
        <x:v>VS-06</x:v>
      </x:c>
      <x:c r="B128" s="40" t="n">
        <x:v>6</x:v>
      </x:c>
      <x:c r="C128" s="40" t="str">
        <x:v>Wave 2 — Core Planning Loop</x:v>
      </x:c>
      <x:c r="D128" s="40" t="str">
        <x:v>G. Event and Task Outcome Reporting</x:v>
      </x:c>
      <x:c r="E128" s="40" t="str">
        <x:v>AC-G-003</x:v>
      </x:c>
      <x:c r="F128" s="40" t="str">
        <x:v>FR-G-003</x:v>
      </x:c>
      <x:c r="G128" s="40" t="str">
        <x:v>Given the applicable Event and Task Outcome Reporting preconditions and a valid Local Profile</x:v>
      </x:c>
      <x:c r="H128" s="40" t="str">
        <x:v>When the user performs the relevant action or the relevant system condition occurs</x:v>
      </x:c>
      <x:c r="I128" s="40" t="str">
        <x:v>Then derive Awaiting Report without assigning an event outcome.</x:v>
      </x:c>
      <x:c r="J128" s="40" t="str">
        <x:v>Yes</x:v>
      </x:c>
      <x:c r="K128" s="40" t="str">
        <x:v>Domain test</x:v>
      </x:c>
      <x:c r="L128" s="40" t="str">
        <x:v>Not Started</x:v>
      </x:c>
      <x:c r="M128" s="40"/>
    </x:row>
    <x:row r="129">
      <x:c r="A129" s="40" t="str">
        <x:v>VS-06</x:v>
      </x:c>
      <x:c r="B129" s="40" t="n">
        <x:v>6</x:v>
      </x:c>
      <x:c r="C129" s="40" t="str">
        <x:v>Wave 2 — Core Planning Loop</x:v>
      </x:c>
      <x:c r="D129" s="40" t="str">
        <x:v>G. Event and Task Outcome Reporting</x:v>
      </x:c>
      <x:c r="E129" s="40" t="str">
        <x:v>AC-G-004</x:v>
      </x:c>
      <x:c r="F129" s="40" t="str">
        <x:v>FR-G-004</x:v>
      </x:c>
      <x:c r="G129" s="40" t="str">
        <x:v>Given the applicable Event and Task Outcome Reporting preconditions and a valid Local Profile</x:v>
      </x:c>
      <x:c r="H129" s="40" t="str">
        <x:v>When the user performs the relevant action or the relevant system condition occurs</x:v>
      </x:c>
      <x:c r="I129" s="40" t="str">
        <x:v>Then be able to save report drafts.</x:v>
      </x:c>
      <x:c r="J129" s="40" t="str">
        <x:v>Yes</x:v>
      </x:c>
      <x:c r="K129" s="40" t="str">
        <x:v>Widget test</x:v>
      </x:c>
      <x:c r="L129" s="40" t="str">
        <x:v>Not Started</x:v>
      </x:c>
      <x:c r="M129" s="40"/>
    </x:row>
    <x:row r="130">
      <x:c r="A130" s="40" t="str">
        <x:v>VS-06</x:v>
      </x:c>
      <x:c r="B130" s="40" t="n">
        <x:v>6</x:v>
      </x:c>
      <x:c r="C130" s="40" t="str">
        <x:v>Wave 2 — Core Planning Loop</x:v>
      </x:c>
      <x:c r="D130" s="40" t="str">
        <x:v>G. Event and Task Outcome Reporting</x:v>
      </x:c>
      <x:c r="E130" s="40" t="str">
        <x:v>AC-G-005</x:v>
      </x:c>
      <x:c r="F130" s="40" t="str">
        <x:v>FR-G-005</x:v>
      </x:c>
      <x:c r="G130" s="40" t="str">
        <x:v>Given the applicable Event and Task Outcome Reporting preconditions and a valid Local Profile</x:v>
      </x:c>
      <x:c r="H130" s="40" t="str">
        <x:v>When the user performs the relevant action or the relevant system condition occurs</x:v>
      </x:c>
      <x:c r="I130" s="40" t="str">
        <x:v>Then not affect statuses or Actual.</x:v>
      </x:c>
      <x:c r="J130" s="40" t="str">
        <x:v>Yes</x:v>
      </x:c>
      <x:c r="K130" s="40" t="str">
        <x:v>Domain test</x:v>
      </x:c>
      <x:c r="L130" s="40" t="str">
        <x:v>Not Started</x:v>
      </x:c>
      <x:c r="M130" s="40"/>
    </x:row>
    <x:row r="131">
      <x:c r="A131" s="40" t="str">
        <x:v>VS-06</x:v>
      </x:c>
      <x:c r="B131" s="40" t="n">
        <x:v>6</x:v>
      </x:c>
      <x:c r="C131" s="40" t="str">
        <x:v>Wave 2 — Core Planning Loop</x:v>
      </x:c>
      <x:c r="D131" s="40" t="str">
        <x:v>G. Event and Task Outcome Reporting</x:v>
      </x:c>
      <x:c r="E131" s="40" t="str">
        <x:v>AC-G-006</x:v>
      </x:c>
      <x:c r="F131" s="40" t="str">
        <x:v>FR-G-006</x:v>
      </x:c>
      <x:c r="G131" s="40" t="str">
        <x:v>Given the applicable Event and Task Outcome Reporting preconditions and a valid Local Profile</x:v>
      </x:c>
      <x:c r="H131" s="40" t="str">
        <x:v>When the user performs the relevant action or the relevant system condition occurs</x:v>
      </x:c>
      <x:c r="I131" s="40" t="str">
        <x:v>Then report-required Tasks shall require valid structured reporting.</x:v>
      </x:c>
      <x:c r="J131" s="40" t="str">
        <x:v>Yes</x:v>
      </x:c>
      <x:c r="K131" s="40" t="str">
        <x:v>Domain test</x:v>
      </x:c>
      <x:c r="L131" s="40" t="str">
        <x:v>Not Started</x:v>
      </x:c>
      <x:c r="M131" s="40"/>
    </x:row>
    <x:row r="132">
      <x:c r="A132" s="40" t="str">
        <x:v>VS-06</x:v>
      </x:c>
      <x:c r="B132" s="40" t="n">
        <x:v>6</x:v>
      </x:c>
      <x:c r="C132" s="40" t="str">
        <x:v>Wave 2 — Core Planning Loop</x:v>
      </x:c>
      <x:c r="D132" s="40" t="str">
        <x:v>G. Event and Task Outcome Reporting</x:v>
      </x:c>
      <x:c r="E132" s="40" t="str">
        <x:v>AC-G-007</x:v>
      </x:c>
      <x:c r="F132" s="40" t="str">
        <x:v>FR-G-007</x:v>
      </x:c>
      <x:c r="G132" s="40" t="str">
        <x:v>Given the applicable Event and Task Outcome Reporting preconditions and a valid Local Profile</x:v>
      </x:c>
      <x:c r="H132" s="40" t="str">
        <x:v>When the user performs the relevant action or the relevant system condition occurs</x:v>
      </x:c>
      <x:c r="I132" s="40" t="str">
        <x:v>Then commit Task completion and required reporting coherently.</x:v>
      </x:c>
      <x:c r="J132" s="40" t="str">
        <x:v>Yes</x:v>
      </x:c>
      <x:c r="K132" s="40" t="str">
        <x:v>Domain test</x:v>
      </x:c>
      <x:c r="L132" s="40" t="str">
        <x:v>Not Started</x:v>
      </x:c>
      <x:c r="M132" s="40"/>
    </x:row>
    <x:row r="133">
      <x:c r="A133" s="40" t="str">
        <x:v>VS-06</x:v>
      </x:c>
      <x:c r="B133" s="40" t="n">
        <x:v>6</x:v>
      </x:c>
      <x:c r="C133" s="40" t="str">
        <x:v>Wave 2 — Core Planning Loop</x:v>
      </x:c>
      <x:c r="D133" s="40" t="str">
        <x:v>G. Event and Task Outcome Reporting</x:v>
      </x:c>
      <x:c r="E133" s="40" t="str">
        <x:v>AC-G-008</x:v>
      </x:c>
      <x:c r="F133" s="40" t="str">
        <x:v>FR-G-008</x:v>
      </x:c>
      <x:c r="G133" s="40" t="str">
        <x:v>Given the applicable Event and Task Outcome Reporting preconditions and a valid Local Profile</x:v>
      </x:c>
      <x:c r="H133" s="40" t="str">
        <x:v>When the user performs the relevant action or the relevant system condition occurs</x:v>
      </x:c>
      <x:c r="I133" s="40" t="str">
        <x:v>Then validate reports offline.</x:v>
      </x:c>
      <x:c r="J133" s="40" t="str">
        <x:v>Yes</x:v>
      </x:c>
      <x:c r="K133" s="40" t="str">
        <x:v>Domain test</x:v>
      </x:c>
      <x:c r="L133" s="40" t="str">
        <x:v>Not Started</x:v>
      </x:c>
      <x:c r="M133" s="40"/>
    </x:row>
    <x:row r="134">
      <x:c r="A134" s="40" t="str">
        <x:v>VS-06</x:v>
      </x:c>
      <x:c r="B134" s="40" t="n">
        <x:v>6</x:v>
      </x:c>
      <x:c r="C134" s="40" t="str">
        <x:v>Wave 2 — Core Planning Loop</x:v>
      </x:c>
      <x:c r="D134" s="40" t="str">
        <x:v>G. Event and Task Outcome Reporting</x:v>
      </x:c>
      <x:c r="E134" s="40" t="str">
        <x:v>AC-G-009</x:v>
      </x:c>
      <x:c r="F134" s="40" t="str">
        <x:v>FR-G-009</x:v>
      </x:c>
      <x:c r="G134" s="40" t="str">
        <x:v>Given the applicable Event and Task Outcome Reporting preconditions and a valid Local Profile</x:v>
      </x:c>
      <x:c r="H134" s="40" t="str">
        <x:v>When the user performs the relevant action or the relevant system condition occurs</x:v>
      </x:c>
      <x:c r="I134" s="40" t="str">
        <x:v>Then submitted reports shall retain activity date and submission date.</x:v>
      </x:c>
      <x:c r="J134" s="40" t="str">
        <x:v>No</x:v>
      </x:c>
      <x:c r="K134" s="40" t="str">
        <x:v>Domain test</x:v>
      </x:c>
      <x:c r="L134" s="40" t="str">
        <x:v>Not Started</x:v>
      </x:c>
      <x:c r="M134" s="40"/>
    </x:row>
    <x:row r="135">
      <x:c r="A135" s="40" t="str">
        <x:v>VS-06</x:v>
      </x:c>
      <x:c r="B135" s="40" t="n">
        <x:v>6</x:v>
      </x:c>
      <x:c r="C135" s="40" t="str">
        <x:v>Wave 2 — Core Planning Loop</x:v>
      </x:c>
      <x:c r="D135" s="40" t="str">
        <x:v>G. Event and Task Outcome Reporting</x:v>
      </x:c>
      <x:c r="E135" s="40" t="str">
        <x:v>AC-G-010</x:v>
      </x:c>
      <x:c r="F135" s="40" t="str">
        <x:v>FR-G-010</x:v>
      </x:c>
      <x:c r="G135" s="40" t="str">
        <x:v>Given the applicable Event and Task Outcome Reporting preconditions and a valid Local Profile</x:v>
      </x:c>
      <x:c r="H135" s="40" t="str">
        <x:v>When the user performs the relevant action or the relevant system condition occurs</x:v>
      </x:c>
      <x:c r="I135" s="40" t="str">
        <x:v>Then be able to correct submitted reports.</x:v>
      </x:c>
      <x:c r="J135" s="40" t="str">
        <x:v>No</x:v>
      </x:c>
      <x:c r="K135" s="40" t="str">
        <x:v>Widget test</x:v>
      </x:c>
      <x:c r="L135" s="40" t="str">
        <x:v>Not Started</x:v>
      </x:c>
      <x:c r="M135" s="40"/>
    </x:row>
    <x:row r="136">
      <x:c r="A136" s="40" t="str">
        <x:v>VS-06</x:v>
      </x:c>
      <x:c r="B136" s="40" t="n">
        <x:v>6</x:v>
      </x:c>
      <x:c r="C136" s="40" t="str">
        <x:v>Wave 2 — Core Planning Loop</x:v>
      </x:c>
      <x:c r="D136" s="40" t="str">
        <x:v>G. Event and Task Outcome Reporting</x:v>
      </x:c>
      <x:c r="E136" s="40" t="str">
        <x:v>AC-G-011</x:v>
      </x:c>
      <x:c r="F136" s="40" t="str">
        <x:v>FR-G-011</x:v>
      </x:c>
      <x:c r="G136" s="40" t="str">
        <x:v>Given the applicable Event and Task Outcome Reporting preconditions and a valid Local Profile</x:v>
      </x:c>
      <x:c r="H136" s="40" t="str">
        <x:v>When the user performs the relevant action or the relevant system condition occurs</x:v>
      </x:c>
      <x:c r="I136" s="40" t="str">
        <x:v>Then corrections shall retain original history.</x:v>
      </x:c>
      <x:c r="J136" s="40" t="str">
        <x:v>No</x:v>
      </x:c>
      <x:c r="K136" s="40" t="str">
        <x:v>Domain test</x:v>
      </x:c>
      <x:c r="L136" s="40" t="str">
        <x:v>Not Started</x:v>
      </x:c>
      <x:c r="M136" s="40"/>
    </x:row>
    <x:row r="137">
      <x:c r="A137" s="40" t="str">
        <x:v>VS-06</x:v>
      </x:c>
      <x:c r="B137" s="40" t="n">
        <x:v>6</x:v>
      </x:c>
      <x:c r="C137" s="40" t="str">
        <x:v>Wave 2 — Core Planning Loop</x:v>
      </x:c>
      <x:c r="D137" s="40" t="str">
        <x:v>G. Event and Task Outcome Reporting</x:v>
      </x:c>
      <x:c r="E137" s="40" t="str">
        <x:v>AC-G-012</x:v>
      </x:c>
      <x:c r="F137" s="40" t="str">
        <x:v>FR-G-012</x:v>
      </x:c>
      <x:c r="G137" s="40" t="str">
        <x:v>Given the applicable Event and Task Outcome Reporting preconditions and a valid Local Profile</x:v>
      </x:c>
      <x:c r="H137" s="40" t="str">
        <x:v>When the user performs the relevant action or the relevant system condition occurs</x:v>
      </x:c>
      <x:c r="I137" s="40" t="str">
        <x:v>Then corrections shall trigger reversal and replacement ledger behavior.</x:v>
      </x:c>
      <x:c r="J137" s="40" t="str">
        <x:v>No</x:v>
      </x:c>
      <x:c r="K137" s="40" t="str">
        <x:v>Database test</x:v>
      </x:c>
      <x:c r="L137" s="40" t="str">
        <x:v>Not Started</x:v>
      </x:c>
      <x:c r="M137" s="40"/>
    </x:row>
    <x:row r="138">
      <x:c r="A138" s="40" t="str">
        <x:v>VS-06</x:v>
      </x:c>
      <x:c r="B138" s="40" t="n">
        <x:v>6</x:v>
      </x:c>
      <x:c r="C138" s="40" t="str">
        <x:v>Wave 2 — Core Planning Loop</x:v>
      </x:c>
      <x:c r="D138" s="40" t="str">
        <x:v>G. Event and Task Outcome Reporting</x:v>
      </x:c>
      <x:c r="E138" s="40" t="str">
        <x:v>AC-G-013</x:v>
      </x:c>
      <x:c r="F138" s="40" t="str">
        <x:v>FR-G-013</x:v>
      </x:c>
      <x:c r="G138" s="40" t="str">
        <x:v>Given the applicable Event and Task Outcome Reporting preconditions and a valid Local Profile</x:v>
      </x:c>
      <x:c r="H138" s="40" t="str">
        <x:v>When the user performs the relevant action or the relevant system condition occurs</x:v>
      </x:c>
      <x:c r="I138" s="40" t="str">
        <x:v>Then submission retries shall be idempotent.</x:v>
      </x:c>
      <x:c r="J138" s="40" t="str">
        <x:v>Yes</x:v>
      </x:c>
      <x:c r="K138" s="40" t="str">
        <x:v>Domain test</x:v>
      </x:c>
      <x:c r="L138" s="40" t="str">
        <x:v>Not Started</x:v>
      </x:c>
      <x:c r="M138" s="40"/>
    </x:row>
    <x:row r="139">
      <x:c r="A139" s="40" t="str">
        <x:v>VS-06</x:v>
      </x:c>
      <x:c r="B139" s="40" t="n">
        <x:v>6</x:v>
      </x:c>
      <x:c r="C139" s="40" t="str">
        <x:v>Wave 2 — Core Planning Loop</x:v>
      </x:c>
      <x:c r="D139" s="40" t="str">
        <x:v>G. Event and Task Outcome Reporting</x:v>
      </x:c>
      <x:c r="E139" s="40" t="str">
        <x:v>AC-G-014</x:v>
      </x:c>
      <x:c r="F139" s="40" t="str">
        <x:v>FR-G-014</x:v>
      </x:c>
      <x:c r="G139" s="40" t="str">
        <x:v>Given the applicable Event and Task Outcome Reporting preconditions and a valid Local Profile</x:v>
      </x:c>
      <x:c r="H139" s="40" t="str">
        <x:v>When the user performs the relevant action or the relevant system condition occurs</x:v>
      </x:c>
      <x:c r="I139" s="40" t="str">
        <x:v>Then show whether a report produced contributions.</x:v>
      </x:c>
      <x:c r="J139" s="40" t="str">
        <x:v>No</x:v>
      </x:c>
      <x:c r="K139" s="40" t="str">
        <x:v>Domain test</x:v>
      </x:c>
      <x:c r="L139" s="40" t="str">
        <x:v>Not Started</x:v>
      </x:c>
      <x:c r="M139" s="40"/>
    </x:row>
    <x:row r="140">
      <x:c r="A140" s="40" t="str">
        <x:v>VS-06</x:v>
      </x:c>
      <x:c r="B140" s="40" t="n">
        <x:v>6</x:v>
      </x:c>
      <x:c r="C140" s="40" t="str">
        <x:v>Wave 2 — Core Planning Loop</x:v>
      </x:c>
      <x:c r="D140" s="40" t="str">
        <x:v>G. Event and Task Outcome Reporting</x:v>
      </x:c>
      <x:c r="E140" s="40" t="str">
        <x:v>AC-G-015</x:v>
      </x:c>
      <x:c r="F140" s="40" t="str">
        <x:v>FR-G-015</x:v>
      </x:c>
      <x:c r="G140" s="40" t="str">
        <x:v>Given the applicable Event and Task Outcome Reporting preconditions and a valid Local Profile</x:v>
      </x:c>
      <x:c r="H140" s="40" t="str">
        <x:v>When the user performs the relevant action or the relevant system condition occurs</x:v>
      </x:c>
      <x:c r="I140" s="40" t="str">
        <x:v>Then prevent title-only report classification.</x:v>
      </x:c>
      <x:c r="J140" s="40" t="str">
        <x:v>Yes</x:v>
      </x:c>
      <x:c r="K140" s="40" t="str">
        <x:v>Domain test</x:v>
      </x:c>
      <x:c r="L140" s="40" t="str">
        <x:v>Not Started</x:v>
      </x:c>
      <x:c r="M140" s="40"/>
    </x:row>
    <x:row r="141">
      <x:c r="A141" s="40" t="str">
        <x:v>VS-06</x:v>
      </x:c>
      <x:c r="B141" s="40" t="n">
        <x:v>6</x:v>
      </x:c>
      <x:c r="C141" s="40" t="str">
        <x:v>Wave 2 — Core Planning Loop</x:v>
      </x:c>
      <x:c r="D141" s="40" t="str">
        <x:v>G. Event and Task Outcome Reporting</x:v>
      </x:c>
      <x:c r="E141" s="40" t="str">
        <x:v>AC-G-016</x:v>
      </x:c>
      <x:c r="F141" s="40" t="str">
        <x:v>FR-G-016</x:v>
      </x:c>
      <x:c r="G141" s="40" t="str">
        <x:v>Given the applicable Event and Task Outcome Reporting preconditions and a valid Local Profile</x:v>
      </x:c>
      <x:c r="H141" s="40" t="str">
        <x:v>When the user performs the relevant action or the relevant system condition occurs</x:v>
      </x:c>
      <x:c r="I141" s="40" t="str">
        <x:v>Then support offline report submission and correction.</x:v>
      </x:c>
      <x:c r="J141" s="40" t="str">
        <x:v>Yes</x:v>
      </x:c>
      <x:c r="K141" s="40" t="str">
        <x:v>Domain test</x:v>
      </x:c>
      <x:c r="L141" s="40" t="str">
        <x:v>Not Started</x:v>
      </x:c>
      <x:c r="M141" s="40"/>
    </x:row>
    <x:row r="142">
      <x:c r="A142" s="40" t="str">
        <x:v>VS-06</x:v>
      </x:c>
      <x:c r="B142" s="40" t="n">
        <x:v>6</x:v>
      </x:c>
      <x:c r="C142" s="40" t="str">
        <x:v>Wave 2 — Core Planning Loop</x:v>
      </x:c>
      <x:c r="D142" s="40" t="str">
        <x:v>G. Event and Task Outcome Reporting</x:v>
      </x:c>
      <x:c r="E142" s="40" t="str">
        <x:v>AC-G-017</x:v>
      </x:c>
      <x:c r="F142" s="40" t="str">
        <x:v>FR-G-017</x:v>
      </x:c>
      <x:c r="G142" s="40" t="str">
        <x:v>Given the applicable Event and Task Outcome Reporting preconditions and a valid Local Profile</x:v>
      </x:c>
      <x:c r="H142" s="40" t="str">
        <x:v>When the user performs the relevant action or the relevant system condition occurs</x:v>
      </x:c>
      <x:c r="I142" s="40" t="str">
        <x:v>Then preserve drafts across recoverable interruptions.</x:v>
      </x:c>
      <x:c r="J142" s="40" t="str">
        <x:v>Yes</x:v>
      </x:c>
      <x:c r="K142" s="40" t="str">
        <x:v>Domain test</x:v>
      </x:c>
      <x:c r="L142" s="40" t="str">
        <x:v>Not Started</x:v>
      </x:c>
      <x:c r="M142" s="40"/>
    </x:row>
    <x:row r="143">
      <x:c r="A143" s="40" t="str">
        <x:v>VS-06</x:v>
      </x:c>
      <x:c r="B143" s="40" t="n">
        <x:v>6</x:v>
      </x:c>
      <x:c r="C143" s="40" t="str">
        <x:v>Wave 2 — Core Planning Loop</x:v>
      </x:c>
      <x:c r="D143" s="40" t="str">
        <x:v>G. Event and Task Outcome Reporting</x:v>
      </x:c>
      <x:c r="E143" s="40" t="str">
        <x:v>AC-G-018</x:v>
      </x:c>
      <x:c r="F143" s="40" t="str">
        <x:v>FR-G-018</x:v>
      </x:c>
      <x:c r="G143" s="40" t="str">
        <x:v>Given the applicable Event and Task Outcome Reporting preconditions and a valid Local Profile</x:v>
      </x:c>
      <x:c r="H143" s="40" t="str">
        <x:v>When the user performs the relevant action or the relevant system condition occurs</x:v>
      </x:c>
      <x:c r="I143" s="40" t="str">
        <x:v>Then prevent multiple simultaneous effective reports for one source reporting slot.</x:v>
      </x:c>
      <x:c r="J143" s="40" t="str">
        <x:v>Yes</x:v>
      </x:c>
      <x:c r="K143" s="40" t="str">
        <x:v>Domain test</x:v>
      </x:c>
      <x:c r="L143" s="40" t="str">
        <x:v>Not Started</x:v>
      </x:c>
      <x:c r="M143" s="40"/>
    </x:row>
    <x:row r="144">
      <x:c r="A144" s="40" t="str">
        <x:v>VS-06</x:v>
      </x:c>
      <x:c r="B144" s="40" t="n">
        <x:v>6</x:v>
      </x:c>
      <x:c r="C144" s="40" t="str">
        <x:v>Wave 2 — Core Planning Loop</x:v>
      </x:c>
      <x:c r="D144" s="40" t="str">
        <x:v>G. Event and Task Outcome Reporting</x:v>
      </x:c>
      <x:c r="E144" s="40" t="str">
        <x:v>AC-G-019</x:v>
      </x:c>
      <x:c r="F144" s="40" t="str">
        <x:v>FR-G-019</x:v>
      </x:c>
      <x:c r="G144" s="40" t="str">
        <x:v>Given the applicable Event and Task Outcome Reporting preconditions and a valid Local Profile</x:v>
      </x:c>
      <x:c r="H144" s="40" t="str">
        <x:v>When the user performs the relevant action or the relevant system condition occurs</x:v>
      </x:c>
      <x:c r="I144" s="40" t="str">
        <x:v>Then cancellation and rescheduling shall remain separate from happened reporting.</x:v>
      </x:c>
      <x:c r="J144" s="40" t="str">
        <x:v>Yes</x:v>
      </x:c>
      <x:c r="K144" s="40" t="str">
        <x:v>Domain test</x:v>
      </x:c>
      <x:c r="L144" s="40" t="str">
        <x:v>Not Started</x:v>
      </x:c>
      <x:c r="M144" s="40"/>
    </x:row>
    <x:row r="145">
      <x:c r="A145" s="40" t="str">
        <x:v>VS-06</x:v>
      </x:c>
      <x:c r="B145" s="40" t="n">
        <x:v>6</x:v>
      </x:c>
      <x:c r="C145" s="40" t="str">
        <x:v>Wave 2 — Core Planning Loop</x:v>
      </x:c>
      <x:c r="D145" s="40" t="str">
        <x:v>G. Event and Task Outcome Reporting</x:v>
      </x:c>
      <x:c r="E145" s="40" t="str">
        <x:v>AC-G-020</x:v>
      </x:c>
      <x:c r="F145" s="40" t="str">
        <x:v>FR-G-020</x:v>
      </x:c>
      <x:c r="G145" s="40" t="str">
        <x:v>Given the applicable Event and Task Outcome Reporting preconditions and a valid Local Profile</x:v>
      </x:c>
      <x:c r="H145" s="40" t="str">
        <x:v>When the user performs the relevant action or the relevant system condition occurs</x:v>
      </x:c>
      <x:c r="I145" s="40" t="str">
        <x:v>Then historical reports shall remain accessible through contribution history where needed.</x:v>
      </x:c>
      <x:c r="J145" s="40" t="str">
        <x:v>No</x:v>
      </x:c>
      <x:c r="K145" s="40" t="str">
        <x:v>Domain test</x:v>
      </x:c>
      <x:c r="L145" s="40" t="str">
        <x:v>Not Started</x:v>
      </x:c>
      <x:c r="M145" s="40"/>
    </x:row>
    <x:row r="146">
      <x:c r="A146" s="40" t="str">
        <x:v>VS-06</x:v>
      </x:c>
      <x:c r="B146" s="40" t="n">
        <x:v>6</x:v>
      </x:c>
      <x:c r="C146" s="40" t="str">
        <x:v>Wave 2 — Core Planning Loop</x:v>
      </x:c>
      <x:c r="D146" s="40" t="str">
        <x:v>H. Activity Ledger and Contribution History</x:v>
      </x:c>
      <x:c r="E146" s="40" t="str">
        <x:v>AC-H-001</x:v>
      </x:c>
      <x:c r="F146" s="40" t="str">
        <x:v>FR-H-001</x:v>
      </x:c>
      <x:c r="G146" s="40" t="str">
        <x:v>Given the applicable Activity Ledger and Contribution History preconditions and a valid Local Profile</x:v>
      </x:c>
      <x:c r="H146" s="40" t="str">
        <x:v>When the user performs the relevant action or the relevant system condition occurs</x:v>
      </x:c>
      <x:c r="I146" s="40" t="str">
        <x:v>Then derive Actual from Activity Ledger entries.</x:v>
      </x:c>
      <x:c r="J146" s="40" t="str">
        <x:v>Yes</x:v>
      </x:c>
      <x:c r="K146" s="40" t="str">
        <x:v>Domain test / Database test</x:v>
      </x:c>
      <x:c r="L146" s="40" t="str">
        <x:v>Not Started</x:v>
      </x:c>
      <x:c r="M146" s="40"/>
    </x:row>
    <x:row r="147">
      <x:c r="A147" s="40" t="str">
        <x:v>VS-06</x:v>
      </x:c>
      <x:c r="B147" s="40" t="n">
        <x:v>6</x:v>
      </x:c>
      <x:c r="C147" s="40" t="str">
        <x:v>Wave 2 — Core Planning Loop</x:v>
      </x:c>
      <x:c r="D147" s="40" t="str">
        <x:v>H. Activity Ledger and Contribution History</x:v>
      </x:c>
      <x:c r="E147" s="40" t="str">
        <x:v>AC-H-002</x:v>
      </x:c>
      <x:c r="F147" s="40" t="str">
        <x:v>FR-H-002</x:v>
      </x:c>
      <x:c r="G147" s="40" t="str">
        <x:v>Given the applicable Activity Ledger and Contribution History preconditions and a valid Local Profile</x:v>
      </x:c>
      <x:c r="H147" s="40" t="str">
        <x:v>When the user performs the relevant action or the relevant system condition occurs</x:v>
      </x:c>
      <x:c r="I147" s="40" t="str">
        <x:v>Then prevent direct Actual editing.</x:v>
      </x:c>
      <x:c r="J147" s="40" t="str">
        <x:v>Yes</x:v>
      </x:c>
      <x:c r="K147" s="40" t="str">
        <x:v>Domain test</x:v>
      </x:c>
      <x:c r="L147" s="40" t="str">
        <x:v>Not Started</x:v>
      </x:c>
      <x:c r="M147" s="40"/>
    </x:row>
    <x:row r="148">
      <x:c r="A148" s="40" t="str">
        <x:v>VS-06</x:v>
      </x:c>
      <x:c r="B148" s="40" t="n">
        <x:v>6</x:v>
      </x:c>
      <x:c r="C148" s="40" t="str">
        <x:v>Wave 2 — Core Planning Loop</x:v>
      </x:c>
      <x:c r="D148" s="40" t="str">
        <x:v>H. Activity Ledger and Contribution History</x:v>
      </x:c>
      <x:c r="E148" s="40" t="str">
        <x:v>AC-H-003</x:v>
      </x:c>
      <x:c r="F148" s="40" t="str">
        <x:v>FR-H-003</x:v>
      </x:c>
      <x:c r="G148" s="40" t="str">
        <x:v>Given the applicable Activity Ledger and Contribution History preconditions and a valid Local Profile</x:v>
      </x:c>
      <x:c r="H148" s="40" t="str">
        <x:v>When the user performs the relevant action or the relevant system condition occurs</x:v>
      </x:c>
      <x:c r="I148" s="40" t="str">
        <x:v>Then create contributions only from approved canonical sources.</x:v>
      </x:c>
      <x:c r="J148" s="40" t="str">
        <x:v>Yes</x:v>
      </x:c>
      <x:c r="K148" s="40" t="str">
        <x:v>Domain test</x:v>
      </x:c>
      <x:c r="L148" s="40" t="str">
        <x:v>Not Started</x:v>
      </x:c>
      <x:c r="M148" s="40"/>
    </x:row>
    <x:row r="149">
      <x:c r="A149" s="40" t="str">
        <x:v>VS-06</x:v>
      </x:c>
      <x:c r="B149" s="40" t="n">
        <x:v>6</x:v>
      </x:c>
      <x:c r="C149" s="40" t="str">
        <x:v>Wave 2 — Core Planning Loop</x:v>
      </x:c>
      <x:c r="D149" s="40" t="str">
        <x:v>H. Activity Ledger and Contribution History</x:v>
      </x:c>
      <x:c r="E149" s="40" t="str">
        <x:v>AC-H-004</x:v>
      </x:c>
      <x:c r="F149" s="40" t="str">
        <x:v>FR-H-004</x:v>
      </x:c>
      <x:c r="G149" s="40" t="str">
        <x:v>Given the applicable Activity Ledger and Contribution History preconditions and a valid Local Profile</x:v>
      </x:c>
      <x:c r="H149" s="40" t="str">
        <x:v>When the user performs the relevant action or the relevant system condition occurs</x:v>
      </x:c>
      <x:c r="I149" s="40" t="str">
        <x:v>Then include an explicit Life Indicator.</x:v>
      </x:c>
      <x:c r="J149" s="40" t="str">
        <x:v>Yes</x:v>
      </x:c>
      <x:c r="K149" s="40" t="str">
        <x:v>Domain test</x:v>
      </x:c>
      <x:c r="L149" s="40" t="str">
        <x:v>Not Started</x:v>
      </x:c>
      <x:c r="M149" s="40"/>
    </x:row>
    <x:row r="150">
      <x:c r="A150" s="40" t="str">
        <x:v>VS-06</x:v>
      </x:c>
      <x:c r="B150" s="40" t="n">
        <x:v>6</x:v>
      </x:c>
      <x:c r="C150" s="40" t="str">
        <x:v>Wave 2 — Core Planning Loop</x:v>
      </x:c>
      <x:c r="D150" s="40" t="str">
        <x:v>H. Activity Ledger and Contribution History</x:v>
      </x:c>
      <x:c r="E150" s="40" t="str">
        <x:v>AC-H-005</x:v>
      </x:c>
      <x:c r="F150" s="40" t="str">
        <x:v>FR-H-005</x:v>
      </x:c>
      <x:c r="G150" s="40" t="str">
        <x:v>Given the applicable Activity Ledger and Contribution History preconditions and a valid Local Profile</x:v>
      </x:c>
      <x:c r="H150" s="40" t="str">
        <x:v>When the user performs the relevant action or the relevant system condition occurs</x:v>
      </x:c>
      <x:c r="I150" s="40" t="str">
        <x:v>Then include value and unit.</x:v>
      </x:c>
      <x:c r="J150" s="40" t="str">
        <x:v>Yes</x:v>
      </x:c>
      <x:c r="K150" s="40" t="str">
        <x:v>Domain test</x:v>
      </x:c>
      <x:c r="L150" s="40" t="str">
        <x:v>Not Started</x:v>
      </x:c>
      <x:c r="M150" s="40"/>
    </x:row>
    <x:row r="151">
      <x:c r="A151" s="40" t="str">
        <x:v>VS-06</x:v>
      </x:c>
      <x:c r="B151" s="40" t="n">
        <x:v>6</x:v>
      </x:c>
      <x:c r="C151" s="40" t="str">
        <x:v>Wave 2 — Core Planning Loop</x:v>
      </x:c>
      <x:c r="D151" s="40" t="str">
        <x:v>H. Activity Ledger and Contribution History</x:v>
      </x:c>
      <x:c r="E151" s="40" t="str">
        <x:v>AC-H-006</x:v>
      </x:c>
      <x:c r="F151" s="40" t="str">
        <x:v>FR-H-006</x:v>
      </x:c>
      <x:c r="G151" s="40" t="str">
        <x:v>Given the applicable Activity Ledger and Contribution History preconditions and a valid Local Profile</x:v>
      </x:c>
      <x:c r="H151" s="40" t="str">
        <x:v>When the user performs the relevant action or the relevant system condition occurs</x:v>
      </x:c>
      <x:c r="I151" s="40" t="str">
        <x:v>Then retain activity date and recorded timestamp.</x:v>
      </x:c>
      <x:c r="J151" s="40" t="str">
        <x:v>Yes</x:v>
      </x:c>
      <x:c r="K151" s="40" t="str">
        <x:v>Domain test</x:v>
      </x:c>
      <x:c r="L151" s="40" t="str">
        <x:v>Not Started</x:v>
      </x:c>
      <x:c r="M151" s="40"/>
    </x:row>
    <x:row r="152">
      <x:c r="A152" s="40" t="str">
        <x:v>VS-06</x:v>
      </x:c>
      <x:c r="B152" s="40" t="n">
        <x:v>6</x:v>
      </x:c>
      <x:c r="C152" s="40" t="str">
        <x:v>Wave 2 — Core Planning Loop</x:v>
      </x:c>
      <x:c r="D152" s="40" t="str">
        <x:v>H. Activity Ledger and Contribution History</x:v>
      </x:c>
      <x:c r="E152" s="40" t="str">
        <x:v>AC-H-007</x:v>
      </x:c>
      <x:c r="F152" s="40" t="str">
        <x:v>FR-H-007</x:v>
      </x:c>
      <x:c r="G152" s="40" t="str">
        <x:v>Given the applicable Activity Ledger and Contribution History preconditions and a valid Local Profile</x:v>
      </x:c>
      <x:c r="H152" s="40" t="str">
        <x:v>When the user performs the relevant action or the relevant system condition occurs</x:v>
      </x:c>
      <x:c r="I152" s="40" t="str">
        <x:v>Then reference their source report.</x:v>
      </x:c>
      <x:c r="J152" s="40" t="str">
        <x:v>Yes</x:v>
      </x:c>
      <x:c r="K152" s="40" t="str">
        <x:v>Domain test</x:v>
      </x:c>
      <x:c r="L152" s="40" t="str">
        <x:v>Not Started</x:v>
      </x:c>
      <x:c r="M152" s="40"/>
    </x:row>
    <x:row r="153">
      <x:c r="A153" s="40" t="str">
        <x:v>VS-06</x:v>
      </x:c>
      <x:c r="B153" s="40" t="n">
        <x:v>6</x:v>
      </x:c>
      <x:c r="C153" s="40" t="str">
        <x:v>Wave 2 — Core Planning Loop</x:v>
      </x:c>
      <x:c r="D153" s="40" t="str">
        <x:v>H. Activity Ledger and Contribution History</x:v>
      </x:c>
      <x:c r="E153" s="40" t="str">
        <x:v>AC-H-008</x:v>
      </x:c>
      <x:c r="F153" s="40" t="str">
        <x:v>FR-H-008</x:v>
      </x:c>
      <x:c r="G153" s="40" t="str">
        <x:v>Given the applicable Activity Ledger and Contribution History preconditions and a valid Local Profile</x:v>
      </x:c>
      <x:c r="H153" s="40" t="str">
        <x:v>When the user performs the relevant action or the relevant system condition occurs</x:v>
      </x:c>
      <x:c r="I153" s="40" t="str">
        <x:v>Then reference their qualifying rule.</x:v>
      </x:c>
      <x:c r="J153" s="40" t="str">
        <x:v>Yes</x:v>
      </x:c>
      <x:c r="K153" s="40" t="str">
        <x:v>Domain test</x:v>
      </x:c>
      <x:c r="L153" s="40" t="str">
        <x:v>Not Started</x:v>
      </x:c>
      <x:c r="M153" s="40"/>
    </x:row>
    <x:row r="154">
      <x:c r="A154" s="40" t="str">
        <x:v>VS-06</x:v>
      </x:c>
      <x:c r="B154" s="40" t="n">
        <x:v>6</x:v>
      </x:c>
      <x:c r="C154" s="40" t="str">
        <x:v>Wave 2 — Core Planning Loop</x:v>
      </x:c>
      <x:c r="D154" s="40" t="str">
        <x:v>H. Activity Ledger and Contribution History</x:v>
      </x:c>
      <x:c r="E154" s="40" t="str">
        <x:v>AC-H-009</x:v>
      </x:c>
      <x:c r="F154" s="40" t="str">
        <x:v>FR-H-009</x:v>
      </x:c>
      <x:c r="G154" s="40" t="str">
        <x:v>Given the applicable Activity Ledger and Contribution History preconditions and a valid Local Profile</x:v>
      </x:c>
      <x:c r="H154" s="40" t="str">
        <x:v>When the user performs the relevant action or the relevant system condition occurs</x:v>
      </x:c>
      <x:c r="I154" s="40" t="str">
        <x:v>Then prevent duplicate source-rule application.</x:v>
      </x:c>
      <x:c r="J154" s="40" t="str">
        <x:v>Yes</x:v>
      </x:c>
      <x:c r="K154" s="40" t="str">
        <x:v>Domain test</x:v>
      </x:c>
      <x:c r="L154" s="40" t="str">
        <x:v>Not Started</x:v>
      </x:c>
      <x:c r="M154" s="40"/>
    </x:row>
    <x:row r="155">
      <x:c r="A155" s="40" t="str">
        <x:v>VS-06</x:v>
      </x:c>
      <x:c r="B155" s="40" t="n">
        <x:v>6</x:v>
      </x:c>
      <x:c r="C155" s="40" t="str">
        <x:v>Wave 2 — Core Planning Loop</x:v>
      </x:c>
      <x:c r="D155" s="40" t="str">
        <x:v>H. Activity Ledger and Contribution History</x:v>
      </x:c>
      <x:c r="E155" s="40" t="str">
        <x:v>AC-H-010</x:v>
      </x:c>
      <x:c r="F155" s="40" t="str">
        <x:v>FR-H-010</x:v>
      </x:c>
      <x:c r="G155" s="40" t="str">
        <x:v>Given the applicable Activity Ledger and Contribution History preconditions and a valid Local Profile</x:v>
      </x:c>
      <x:c r="H155" s="40" t="str">
        <x:v>When the user performs the relevant action or the relevant system condition occurs</x:v>
      </x:c>
      <x:c r="I155" s="40" t="str">
        <x:v>Then support reversals.</x:v>
      </x:c>
      <x:c r="J155" s="40" t="str">
        <x:v>No</x:v>
      </x:c>
      <x:c r="K155" s="40" t="str">
        <x:v>Domain test</x:v>
      </x:c>
      <x:c r="L155" s="40" t="str">
        <x:v>Not Started</x:v>
      </x:c>
      <x:c r="M155" s="40"/>
    </x:row>
    <x:row r="156">
      <x:c r="A156" s="40" t="str">
        <x:v>VS-06</x:v>
      </x:c>
      <x:c r="B156" s="40" t="n">
        <x:v>6</x:v>
      </x:c>
      <x:c r="C156" s="40" t="str">
        <x:v>Wave 2 — Core Planning Loop</x:v>
      </x:c>
      <x:c r="D156" s="40" t="str">
        <x:v>H. Activity Ledger and Contribution History</x:v>
      </x:c>
      <x:c r="E156" s="40" t="str">
        <x:v>AC-H-011</x:v>
      </x:c>
      <x:c r="F156" s="40" t="str">
        <x:v>FR-H-011</x:v>
      </x:c>
      <x:c r="G156" s="40" t="str">
        <x:v>Given the applicable Activity Ledger and Contribution History preconditions and a valid Local Profile</x:v>
      </x:c>
      <x:c r="H156" s="40" t="str">
        <x:v>When the user performs the relevant action or the relevant system condition occurs</x:v>
      </x:c>
      <x:c r="I156" s="40" t="str">
        <x:v>Then support replacement lineage.</x:v>
      </x:c>
      <x:c r="J156" s="40" t="str">
        <x:v>No</x:v>
      </x:c>
      <x:c r="K156" s="40" t="str">
        <x:v>Domain test</x:v>
      </x:c>
      <x:c r="L156" s="40" t="str">
        <x:v>Not Started</x:v>
      </x:c>
      <x:c r="M156" s="40"/>
    </x:row>
    <x:row r="157">
      <x:c r="A157" s="40" t="str">
        <x:v>VS-06</x:v>
      </x:c>
      <x:c r="B157" s="40" t="n">
        <x:v>6</x:v>
      </x:c>
      <x:c r="C157" s="40" t="str">
        <x:v>Wave 2 — Core Planning Loop</x:v>
      </x:c>
      <x:c r="D157" s="40" t="str">
        <x:v>H. Activity Ledger and Contribution History</x:v>
      </x:c>
      <x:c r="E157" s="40" t="str">
        <x:v>AC-H-012</x:v>
      </x:c>
      <x:c r="F157" s="40" t="str">
        <x:v>FR-H-012</x:v>
      </x:c>
      <x:c r="G157" s="40" t="str">
        <x:v>Given the applicable Activity Ledger and Contribution History preconditions and a valid Local Profile</x:v>
      </x:c>
      <x:c r="H157" s="40" t="str">
        <x:v>When the user performs the relevant action or the relevant system condition occurs</x:v>
      </x:c>
      <x:c r="I157" s="40" t="str">
        <x:v>Then preserve reversed history.</x:v>
      </x:c>
      <x:c r="J157" s="40" t="str">
        <x:v>Yes</x:v>
      </x:c>
      <x:c r="K157" s="40" t="str">
        <x:v>Domain test</x:v>
      </x:c>
      <x:c r="L157" s="40" t="str">
        <x:v>Not Started</x:v>
      </x:c>
      <x:c r="M157" s="40"/>
    </x:row>
    <x:row r="158">
      <x:c r="A158" s="40" t="str">
        <x:v>VS-06</x:v>
      </x:c>
      <x:c r="B158" s="40" t="n">
        <x:v>6</x:v>
      </x:c>
      <x:c r="C158" s="40" t="str">
        <x:v>Wave 2 — Core Planning Loop</x:v>
      </x:c>
      <x:c r="D158" s="40" t="str">
        <x:v>H. Activity Ledger and Contribution History</x:v>
      </x:c>
      <x:c r="E158" s="40" t="str">
        <x:v>AC-H-013</x:v>
      </x:c>
      <x:c r="F158" s="40" t="str">
        <x:v>FR-H-013</x:v>
      </x:c>
      <x:c r="G158" s="40" t="str">
        <x:v>Given the applicable Activity Ledger and Contribution History preconditions and a valid Local Profile</x:v>
      </x:c>
      <x:c r="H158" s="40" t="str">
        <x:v>When the user performs the relevant action or the relevant system condition occurs</x:v>
      </x:c>
      <x:c r="I158" s="40" t="str">
        <x:v>Then provide contribution history by indicator and period.</x:v>
      </x:c>
      <x:c r="J158" s="40" t="str">
        <x:v>No</x:v>
      </x:c>
      <x:c r="K158" s="40" t="str">
        <x:v>Domain test</x:v>
      </x:c>
      <x:c r="L158" s="40" t="str">
        <x:v>Not Started</x:v>
      </x:c>
      <x:c r="M158" s="40"/>
    </x:row>
    <x:row r="159">
      <x:c r="A159" s="40" t="str">
        <x:v>VS-06</x:v>
      </x:c>
      <x:c r="B159" s="40" t="n">
        <x:v>6</x:v>
      </x:c>
      <x:c r="C159" s="40" t="str">
        <x:v>Wave 2 — Core Planning Loop</x:v>
      </x:c>
      <x:c r="D159" s="40" t="str">
        <x:v>H. Activity Ledger and Contribution History</x:v>
      </x:c>
      <x:c r="E159" s="40" t="str">
        <x:v>AC-H-014</x:v>
      </x:c>
      <x:c r="F159" s="40" t="str">
        <x:v>FR-H-014</x:v>
      </x:c>
      <x:c r="G159" s="40" t="str">
        <x:v>Given the applicable Activity Ledger and Contribution History preconditions and a valid Local Profile</x:v>
      </x:c>
      <x:c r="H159" s="40" t="str">
        <x:v>When the user performs the relevant action or the relevant system condition occurs</x:v>
      </x:c>
      <x:c r="I159" s="40" t="str">
        <x:v>Then provide source-report access.</x:v>
      </x:c>
      <x:c r="J159" s="40" t="str">
        <x:v>No</x:v>
      </x:c>
      <x:c r="K159" s="40" t="str">
        <x:v>Domain test</x:v>
      </x:c>
      <x:c r="L159" s="40" t="str">
        <x:v>Not Started</x:v>
      </x:c>
      <x:c r="M159" s="40"/>
    </x:row>
    <x:row r="160">
      <x:c r="A160" s="40" t="str">
        <x:v>VS-06</x:v>
      </x:c>
      <x:c r="B160" s="40" t="n">
        <x:v>6</x:v>
      </x:c>
      <x:c r="C160" s="40" t="str">
        <x:v>Wave 2 — Core Planning Loop</x:v>
      </x:c>
      <x:c r="D160" s="40" t="str">
        <x:v>H. Activity Ledger and Contribution History</x:v>
      </x:c>
      <x:c r="E160" s="40" t="str">
        <x:v>AC-H-015</x:v>
      </x:c>
      <x:c r="F160" s="40" t="str">
        <x:v>FR-H-015</x:v>
      </x:c>
      <x:c r="G160" s="40" t="str">
        <x:v>Given the applicable Activity Ledger and Contribution History preconditions and a valid Local Profile</x:v>
      </x:c>
      <x:c r="H160" s="40" t="str">
        <x:v>When the user performs the relevant action or the relevant system condition occurs</x:v>
      </x:c>
      <x:c r="I160" s="40" t="str">
        <x:v>Then rebuild projections from local history.</x:v>
      </x:c>
      <x:c r="J160" s="40" t="str">
        <x:v>No</x:v>
      </x:c>
      <x:c r="K160" s="40" t="str">
        <x:v>Domain test</x:v>
      </x:c>
      <x:c r="L160" s="40" t="str">
        <x:v>Not Started</x:v>
      </x:c>
      <x:c r="M160" s="40"/>
    </x:row>
    <x:row r="161">
      <x:c r="A161" s="40" t="str">
        <x:v>VS-06</x:v>
      </x:c>
      <x:c r="B161" s="40" t="n">
        <x:v>6</x:v>
      </x:c>
      <x:c r="C161" s="40" t="str">
        <x:v>Wave 2 — Core Planning Loop</x:v>
      </x:c>
      <x:c r="D161" s="40" t="str">
        <x:v>H. Activity Ledger and Contribution History</x:v>
      </x:c>
      <x:c r="E161" s="40" t="str">
        <x:v>AC-H-016</x:v>
      </x:c>
      <x:c r="F161" s="40" t="str">
        <x:v>FR-H-016</x:v>
      </x:c>
      <x:c r="G161" s="40" t="str">
        <x:v>Given the applicable Activity Ledger and Contribution History preconditions and a valid Local Profile</x:v>
      </x:c>
      <x:c r="H161" s="40" t="str">
        <x:v>When the user performs the relevant action or the relevant system condition occurs</x:v>
      </x:c>
      <x:c r="I161" s="40" t="str">
        <x:v>Then identify stale or inconsistent projections.</x:v>
      </x:c>
      <x:c r="J161" s="40" t="str">
        <x:v>No</x:v>
      </x:c>
      <x:c r="K161" s="40" t="str">
        <x:v>Domain test</x:v>
      </x:c>
      <x:c r="L161" s="40" t="str">
        <x:v>Not Started</x:v>
      </x:c>
      <x:c r="M161" s="40"/>
    </x:row>
    <x:row r="162">
      <x:c r="A162" s="40" t="str">
        <x:v>VS-06</x:v>
      </x:c>
      <x:c r="B162" s="40" t="n">
        <x:v>6</x:v>
      </x:c>
      <x:c r="C162" s="40" t="str">
        <x:v>Wave 2 — Core Planning Loop</x:v>
      </x:c>
      <x:c r="D162" s="40" t="str">
        <x:v>H. Activity Ledger and Contribution History</x:v>
      </x:c>
      <x:c r="E162" s="40" t="str">
        <x:v>AC-H-017</x:v>
      </x:c>
      <x:c r="F162" s="40" t="str">
        <x:v>FR-H-017</x:v>
      </x:c>
      <x:c r="G162" s="40" t="str">
        <x:v>Given the applicable Activity Ledger and Contribution History preconditions and a valid Local Profile</x:v>
      </x:c>
      <x:c r="H162" s="40" t="str">
        <x:v>When the user performs the relevant action or the relevant system condition occurs</x:v>
      </x:c>
      <x:c r="I162" s="40" t="str">
        <x:v>Then not post Scheduled Potential to the ledger.</x:v>
      </x:c>
      <x:c r="J162" s="40" t="str">
        <x:v>Yes</x:v>
      </x:c>
      <x:c r="K162" s="40" t="str">
        <x:v>Database test</x:v>
      </x:c>
      <x:c r="L162" s="40" t="str">
        <x:v>Not Started</x:v>
      </x:c>
      <x:c r="M162" s="40"/>
    </x:row>
    <x:row r="163">
      <x:c r="A163" s="40" t="str">
        <x:v>VS-06</x:v>
      </x:c>
      <x:c r="B163" s="40" t="n">
        <x:v>6</x:v>
      </x:c>
      <x:c r="C163" s="40" t="str">
        <x:v>Wave 2 — Core Planning Loop</x:v>
      </x:c>
      <x:c r="D163" s="40" t="str">
        <x:v>H. Activity Ledger and Contribution History</x:v>
      </x:c>
      <x:c r="E163" s="40" t="str">
        <x:v>AC-H-018</x:v>
      </x:c>
      <x:c r="F163" s="40" t="str">
        <x:v>FR-H-018</x:v>
      </x:c>
      <x:c r="G163" s="40" t="str">
        <x:v>Given the applicable Activity Ledger and Contribution History preconditions and a valid Local Profile</x:v>
      </x:c>
      <x:c r="H163" s="40" t="str">
        <x:v>When the user performs the relevant action or the relevant system condition occurs</x:v>
      </x:c>
      <x:c r="I163" s="40" t="str">
        <x:v>Then not classify contributions from titles.</x:v>
      </x:c>
      <x:c r="J163" s="40" t="str">
        <x:v>Yes</x:v>
      </x:c>
      <x:c r="K163" s="40" t="str">
        <x:v>Domain test</x:v>
      </x:c>
      <x:c r="L163" s="40" t="str">
        <x:v>Not Started</x:v>
      </x:c>
      <x:c r="M163" s="40"/>
    </x:row>
    <x:row r="164">
      <x:c r="A164" s="40" t="str">
        <x:v>VS-06</x:v>
      </x:c>
      <x:c r="B164" s="40" t="n">
        <x:v>6</x:v>
      </x:c>
      <x:c r="C164" s="40" t="str">
        <x:v>Wave 2 — Core Planning Loop</x:v>
      </x:c>
      <x:c r="D164" s="40" t="str">
        <x:v>H. Activity Ledger and Contribution History</x:v>
      </x:c>
      <x:c r="E164" s="40" t="str">
        <x:v>AC-H-019</x:v>
      </x:c>
      <x:c r="F164" s="40" t="str">
        <x:v>FR-H-019</x:v>
      </x:c>
      <x:c r="G164" s="40" t="str">
        <x:v>Given the applicable Activity Ledger and Contribution History preconditions and a valid Local Profile</x:v>
      </x:c>
      <x:c r="H164" s="40" t="str">
        <x:v>When the user performs the relevant action or the relevant system condition occurs</x:v>
      </x:c>
      <x:c r="I164" s="40" t="str">
        <x:v>Then preserve ledger history when source planning records are archived.</x:v>
      </x:c>
      <x:c r="J164" s="40" t="str">
        <x:v>Yes</x:v>
      </x:c>
      <x:c r="K164" s="40" t="str">
        <x:v>Database test</x:v>
      </x:c>
      <x:c r="L164" s="40" t="str">
        <x:v>Not Started</x:v>
      </x:c>
      <x:c r="M164" s="40"/>
    </x:row>
    <x:row r="165">
      <x:c r="A165" s="40" t="str">
        <x:v>VS-06</x:v>
      </x:c>
      <x:c r="B165" s="40" t="n">
        <x:v>6</x:v>
      </x:c>
      <x:c r="C165" s="40" t="str">
        <x:v>Wave 2 — Core Planning Loop</x:v>
      </x:c>
      <x:c r="D165" s="40" t="str">
        <x:v>H. Activity Ledger and Contribution History</x:v>
      </x:c>
      <x:c r="E165" s="40" t="str">
        <x:v>AC-H-020</x:v>
      </x:c>
      <x:c r="F165" s="40" t="str">
        <x:v>FR-H-020</x:v>
      </x:c>
      <x:c r="G165" s="40" t="str">
        <x:v>Given the applicable Activity Ledger and Contribution History preconditions and a valid Local Profile</x:v>
      </x:c>
      <x:c r="H165" s="40" t="str">
        <x:v>When the user performs the relevant action or the relevant system condition occurs</x:v>
      </x:c>
      <x:c r="I165" s="40" t="str">
        <x:v>Then function offline.</x:v>
      </x:c>
      <x:c r="J165" s="40" t="str">
        <x:v>Yes</x:v>
      </x:c>
      <x:c r="K165" s="40" t="str">
        <x:v>Database test</x:v>
      </x:c>
      <x:c r="L165" s="40" t="str">
        <x:v>Not Started</x:v>
      </x:c>
      <x:c r="M165" s="40"/>
    </x:row>
    <x:row r="166">
      <x:c r="A166" s="40" t="str">
        <x:v>VS-08</x:v>
      </x:c>
      <x:c r="B166" s="40" t="n">
        <x:v>8</x:v>
      </x:c>
      <x:c r="C166" s="40" t="str">
        <x:v>Wave 2 — Core Planning Loop</x:v>
      </x:c>
      <x:c r="D166" s="40" t="str">
        <x:v>I. Weekly Planning</x:v>
      </x:c>
      <x:c r="E166" s="40" t="str">
        <x:v>AC-I-001</x:v>
      </x:c>
      <x:c r="F166" s="40" t="str">
        <x:v>FR-I-001</x:v>
      </x:c>
      <x:c r="G166" s="40" t="str">
        <x:v>Given the applicable Weekly Planning preconditions and a valid Local Profile</x:v>
      </x:c>
      <x:c r="H166" s="40" t="str">
        <x:v>When the user performs the relevant action or the relevant system condition occurs</x:v>
      </x:c>
      <x:c r="I166" s="40" t="str">
        <x:v>Then support one effective Weekly Plan per profile and period.</x:v>
      </x:c>
      <x:c r="J166" s="40" t="str">
        <x:v>Yes</x:v>
      </x:c>
      <x:c r="K166" s="40" t="str">
        <x:v>Domain test</x:v>
      </x:c>
      <x:c r="L166" s="40" t="str">
        <x:v>Not Started</x:v>
      </x:c>
      <x:c r="M166" s="40"/>
    </x:row>
    <x:row r="167">
      <x:c r="A167" s="40" t="str">
        <x:v>VS-08</x:v>
      </x:c>
      <x:c r="B167" s="40" t="n">
        <x:v>8</x:v>
      </x:c>
      <x:c r="C167" s="40" t="str">
        <x:v>Wave 2 — Core Planning Loop</x:v>
      </x:c>
      <x:c r="D167" s="40" t="str">
        <x:v>I. Weekly Planning</x:v>
      </x:c>
      <x:c r="E167" s="40" t="str">
        <x:v>AC-I-002</x:v>
      </x:c>
      <x:c r="F167" s="40" t="str">
        <x:v>FR-I-002</x:v>
      </x:c>
      <x:c r="G167" s="40" t="str">
        <x:v>Given the applicable Weekly Planning preconditions and a valid Local Profile</x:v>
      </x:c>
      <x:c r="H167" s="40" t="str">
        <x:v>When the user performs the relevant action or the relevant system condition occurs</x:v>
      </x:c>
      <x:c r="I167" s="40" t="str">
        <x:v>Then display exact start and end dates.</x:v>
      </x:c>
      <x:c r="J167" s="40" t="str">
        <x:v>Yes</x:v>
      </x:c>
      <x:c r="K167" s="40" t="str">
        <x:v>Widget test</x:v>
      </x:c>
      <x:c r="L167" s="40" t="str">
        <x:v>Not Started</x:v>
      </x:c>
      <x:c r="M167" s="40"/>
    </x:row>
    <x:row r="168">
      <x:c r="A168" s="40" t="str">
        <x:v>VS-08</x:v>
      </x:c>
      <x:c r="B168" s="40" t="n">
        <x:v>8</x:v>
      </x:c>
      <x:c r="C168" s="40" t="str">
        <x:v>Wave 2 — Core Planning Loop</x:v>
      </x:c>
      <x:c r="D168" s="40" t="str">
        <x:v>I. Weekly Planning</x:v>
      </x:c>
      <x:c r="E168" s="40" t="str">
        <x:v>AC-I-003</x:v>
      </x:c>
      <x:c r="F168" s="40" t="str">
        <x:v>FR-I-003</x:v>
      </x:c>
      <x:c r="G168" s="40" t="str">
        <x:v>Given the applicable Weekly Planning preconditions and a valid Local Profile</x:v>
      </x:c>
      <x:c r="H168" s="40" t="str">
        <x:v>When the user performs the relevant action or the relevant system condition occurs</x:v>
      </x:c>
      <x:c r="I168" s="40" t="str">
        <x:v>Then be able to create a Weekly Plan offline.</x:v>
      </x:c>
      <x:c r="J168" s="40" t="str">
        <x:v>Yes</x:v>
      </x:c>
      <x:c r="K168" s="40" t="str">
        <x:v>Widget test</x:v>
      </x:c>
      <x:c r="L168" s="40" t="str">
        <x:v>Not Started</x:v>
      </x:c>
      <x:c r="M168" s="40"/>
    </x:row>
    <x:row r="169">
      <x:c r="A169" s="40" t="str">
        <x:v>VS-08</x:v>
      </x:c>
      <x:c r="B169" s="40" t="n">
        <x:v>8</x:v>
      </x:c>
      <x:c r="C169" s="40" t="str">
        <x:v>Wave 2 — Core Planning Loop</x:v>
      </x:c>
      <x:c r="D169" s="40" t="str">
        <x:v>I. Weekly Planning</x:v>
      </x:c>
      <x:c r="E169" s="40" t="str">
        <x:v>AC-I-004</x:v>
      </x:c>
      <x:c r="F169" s="40" t="str">
        <x:v>FR-I-004</x:v>
      </x:c>
      <x:c r="G169" s="40" t="str">
        <x:v>Given the applicable Weekly Planning preconditions and a valid Local Profile</x:v>
      </x:c>
      <x:c r="H169" s="40" t="str">
        <x:v>When the user performs the relevant action or the relevant system condition occurs</x:v>
      </x:c>
      <x:c r="I169" s="40" t="str">
        <x:v>Then be able to set Weekly Targets.</x:v>
      </x:c>
      <x:c r="J169" s="40" t="str">
        <x:v>Yes</x:v>
      </x:c>
      <x:c r="K169" s="40" t="str">
        <x:v>Domain test / Widget test</x:v>
      </x:c>
      <x:c r="L169" s="40" t="str">
        <x:v>Not Started</x:v>
      </x:c>
      <x:c r="M169" s="40"/>
    </x:row>
    <x:row r="170">
      <x:c r="A170" s="40" t="str">
        <x:v>VS-08</x:v>
      </x:c>
      <x:c r="B170" s="40" t="n">
        <x:v>8</x:v>
      </x:c>
      <x:c r="C170" s="40" t="str">
        <x:v>Wave 2 — Core Planning Loop</x:v>
      </x:c>
      <x:c r="D170" s="40" t="str">
        <x:v>I. Weekly Planning</x:v>
      </x:c>
      <x:c r="E170" s="40" t="str">
        <x:v>AC-I-005</x:v>
      </x:c>
      <x:c r="F170" s="40" t="str">
        <x:v>FR-I-005</x:v>
      </x:c>
      <x:c r="G170" s="40" t="str">
        <x:v>Given the applicable Weekly Planning preconditions and a valid Local Profile</x:v>
      </x:c>
      <x:c r="H170" s="40" t="str">
        <x:v>When the user performs the relevant action or the relevant system condition occurs</x:v>
      </x:c>
      <x:c r="I170" s="40" t="str">
        <x:v>Then distinguish zero from Not set.</x:v>
      </x:c>
      <x:c r="J170" s="40" t="str">
        <x:v>Yes</x:v>
      </x:c>
      <x:c r="K170" s="40" t="str">
        <x:v>Domain test</x:v>
      </x:c>
      <x:c r="L170" s="40" t="str">
        <x:v>Not Started</x:v>
      </x:c>
      <x:c r="M170" s="40"/>
    </x:row>
    <x:row r="171">
      <x:c r="A171" s="40" t="str">
        <x:v>VS-08</x:v>
      </x:c>
      <x:c r="B171" s="40" t="n">
        <x:v>8</x:v>
      </x:c>
      <x:c r="C171" s="40" t="str">
        <x:v>Wave 2 — Core Planning Loop</x:v>
      </x:c>
      <x:c r="D171" s="40" t="str">
        <x:v>I. Weekly Planning</x:v>
      </x:c>
      <x:c r="E171" s="40" t="str">
        <x:v>AC-I-006</x:v>
      </x:c>
      <x:c r="F171" s="40" t="str">
        <x:v>FR-I-006</x:v>
      </x:c>
      <x:c r="G171" s="40" t="str">
        <x:v>Given the applicable Weekly Planning preconditions and a valid Local Profile</x:v>
      </x:c>
      <x:c r="H171" s="40" t="str">
        <x:v>When the user performs the relevant action or the relevant system condition occurs</x:v>
      </x:c>
      <x:c r="I171" s="40" t="str">
        <x:v>Then preserve target revisions.</x:v>
      </x:c>
      <x:c r="J171" s="40" t="str">
        <x:v>Yes</x:v>
      </x:c>
      <x:c r="K171" s="40" t="str">
        <x:v>Domain test</x:v>
      </x:c>
      <x:c r="L171" s="40" t="str">
        <x:v>Not Started</x:v>
      </x:c>
      <x:c r="M171" s="40"/>
    </x:row>
    <x:row r="172">
      <x:c r="A172" s="40" t="str">
        <x:v>VS-08</x:v>
      </x:c>
      <x:c r="B172" s="40" t="n">
        <x:v>8</x:v>
      </x:c>
      <x:c r="C172" s="40" t="str">
        <x:v>Wave 2 — Core Planning Loop</x:v>
      </x:c>
      <x:c r="D172" s="40" t="str">
        <x:v>I. Weekly Planning</x:v>
      </x:c>
      <x:c r="E172" s="40" t="str">
        <x:v>AC-I-007</x:v>
      </x:c>
      <x:c r="F172" s="40" t="str">
        <x:v>FR-I-007</x:v>
      </x:c>
      <x:c r="G172" s="40" t="str">
        <x:v>Given the applicable Weekly Planning preconditions and a valid Local Profile</x:v>
      </x:c>
      <x:c r="H172" s="40" t="str">
        <x:v>When the user performs the relevant action or the relevant system condition occurs</x:v>
      </x:c>
      <x:c r="I172" s="40" t="str">
        <x:v>Then display Actual separately from Target and Scheduled Potential.</x:v>
      </x:c>
      <x:c r="J172" s="40" t="str">
        <x:v>Yes</x:v>
      </x:c>
      <x:c r="K172" s="40" t="str">
        <x:v>Domain test / Widget test</x:v>
      </x:c>
      <x:c r="L172" s="40" t="str">
        <x:v>Not Started</x:v>
      </x:c>
      <x:c r="M172" s="40"/>
    </x:row>
    <x:row r="173">
      <x:c r="A173" s="40" t="str">
        <x:v>VS-08</x:v>
      </x:c>
      <x:c r="B173" s="40" t="n">
        <x:v>8</x:v>
      </x:c>
      <x:c r="C173" s="40" t="str">
        <x:v>Wave 2 — Core Planning Loop</x:v>
      </x:c>
      <x:c r="D173" s="40" t="str">
        <x:v>I. Weekly Planning</x:v>
      </x:c>
      <x:c r="E173" s="40" t="str">
        <x:v>AC-I-008</x:v>
      </x:c>
      <x:c r="F173" s="40" t="str">
        <x:v>FR-I-008</x:v>
      </x:c>
      <x:c r="G173" s="40" t="str">
        <x:v>Given the applicable Weekly Planning preconditions and a valid Local Profile</x:v>
      </x:c>
      <x:c r="H173" s="40" t="str">
        <x:v>When the user performs the relevant action or the relevant system condition occurs</x:v>
      </x:c>
      <x:c r="I173" s="40" t="str">
        <x:v>Then be able to add or select Tasks.</x:v>
      </x:c>
      <x:c r="J173" s="40" t="str">
        <x:v>Yes</x:v>
      </x:c>
      <x:c r="K173" s="40" t="str">
        <x:v>Widget test</x:v>
      </x:c>
      <x:c r="L173" s="40" t="str">
        <x:v>Not Started</x:v>
      </x:c>
      <x:c r="M173" s="40"/>
    </x:row>
    <x:row r="174">
      <x:c r="A174" s="40" t="str">
        <x:v>VS-08</x:v>
      </x:c>
      <x:c r="B174" s="40" t="n">
        <x:v>8</x:v>
      </x:c>
      <x:c r="C174" s="40" t="str">
        <x:v>Wave 2 — Core Planning Loop</x:v>
      </x:c>
      <x:c r="D174" s="40" t="str">
        <x:v>I. Weekly Planning</x:v>
      </x:c>
      <x:c r="E174" s="40" t="str">
        <x:v>AC-I-009</x:v>
      </x:c>
      <x:c r="F174" s="40" t="str">
        <x:v>FR-I-009</x:v>
      </x:c>
      <x:c r="G174" s="40" t="str">
        <x:v>Given the applicable Weekly Planning preconditions and a valid Local Profile</x:v>
      </x:c>
      <x:c r="H174" s="40" t="str">
        <x:v>When the user performs the relevant action or the relevant system condition occurs</x:v>
      </x:c>
      <x:c r="I174" s="40" t="str">
        <x:v>Then be able to create or link Calendar Events.</x:v>
      </x:c>
      <x:c r="J174" s="40" t="str">
        <x:v>No</x:v>
      </x:c>
      <x:c r="K174" s="40" t="str">
        <x:v>Widget test / Integration test</x:v>
      </x:c>
      <x:c r="L174" s="40" t="str">
        <x:v>Not Started</x:v>
      </x:c>
      <x:c r="M174" s="40"/>
    </x:row>
    <x:row r="175">
      <x:c r="A175" s="40" t="str">
        <x:v>VS-08</x:v>
      </x:c>
      <x:c r="B175" s="40" t="n">
        <x:v>8</x:v>
      </x:c>
      <x:c r="C175" s="40" t="str">
        <x:v>Wave 2 — Core Planning Loop</x:v>
      </x:c>
      <x:c r="D175" s="40" t="str">
        <x:v>I. Weekly Planning</x:v>
      </x:c>
      <x:c r="E175" s="40" t="str">
        <x:v>AC-I-010</x:v>
      </x:c>
      <x:c r="F175" s="40" t="str">
        <x:v>FR-I-010</x:v>
      </x:c>
      <x:c r="G175" s="40" t="str">
        <x:v>Given the applicable Weekly Planning preconditions and a valid Local Profile</x:v>
      </x:c>
      <x:c r="H175" s="40" t="str">
        <x:v>When the user performs the relevant action or the relevant system condition occurs</x:v>
      </x:c>
      <x:c r="I175" s="40" t="str">
        <x:v>Then provide Review Due attention after period end.</x:v>
      </x:c>
      <x:c r="J175" s="40" t="str">
        <x:v>No</x:v>
      </x:c>
      <x:c r="K175" s="40" t="str">
        <x:v>Domain test</x:v>
      </x:c>
      <x:c r="L175" s="40" t="str">
        <x:v>Not Started</x:v>
      </x:c>
      <x:c r="M175" s="40"/>
    </x:row>
    <x:row r="176">
      <x:c r="A176" s="40" t="str">
        <x:v>VS-08</x:v>
      </x:c>
      <x:c r="B176" s="40" t="n">
        <x:v>8</x:v>
      </x:c>
      <x:c r="C176" s="40" t="str">
        <x:v>Wave 2 — Core Planning Loop</x:v>
      </x:c>
      <x:c r="D176" s="40" t="str">
        <x:v>I. Weekly Planning</x:v>
      </x:c>
      <x:c r="E176" s="40" t="str">
        <x:v>AC-I-011</x:v>
      </x:c>
      <x:c r="F176" s="40" t="str">
        <x:v>FR-I-011</x:v>
      </x:c>
      <x:c r="G176" s="40" t="str">
        <x:v>Given the applicable Weekly Planning preconditions and a valid Local Profile</x:v>
      </x:c>
      <x:c r="H176" s="40" t="str">
        <x:v>When the user performs the relevant action or the relevant system condition occurs</x:v>
      </x:c>
      <x:c r="I176" s="40" t="str">
        <x:v>Then weekly Review shall display outcomes and outstanding reports.</x:v>
      </x:c>
      <x:c r="J176" s="40" t="str">
        <x:v>No</x:v>
      </x:c>
      <x:c r="K176" s="40" t="str">
        <x:v>Domain test / Widget test</x:v>
      </x:c>
      <x:c r="L176" s="40" t="str">
        <x:v>Not Started</x:v>
      </x:c>
      <x:c r="M176" s="40"/>
    </x:row>
    <x:row r="177">
      <x:c r="A177" s="40" t="str">
        <x:v>VS-08</x:v>
      </x:c>
      <x:c r="B177" s="40" t="n">
        <x:v>8</x:v>
      </x:c>
      <x:c r="C177" s="40" t="str">
        <x:v>Wave 2 — Core Planning Loop</x:v>
      </x:c>
      <x:c r="D177" s="40" t="str">
        <x:v>I. Weekly Planning</x:v>
      </x:c>
      <x:c r="E177" s="40" t="str">
        <x:v>AC-I-012</x:v>
      </x:c>
      <x:c r="F177" s="40" t="str">
        <x:v>FR-I-012</x:v>
      </x:c>
      <x:c r="G177" s="40" t="str">
        <x:v>Given the applicable Weekly Planning preconditions and a valid Local Profile</x:v>
      </x:c>
      <x:c r="H177" s="40" t="str">
        <x:v>When the user performs the relevant action or the relevant system condition occurs</x:v>
      </x:c>
      <x:c r="I177" s="40" t="str">
        <x:v>Then weekly Review shall provide contribution-history access.</x:v>
      </x:c>
      <x:c r="J177" s="40" t="str">
        <x:v>No</x:v>
      </x:c>
      <x:c r="K177" s="40" t="str">
        <x:v>Domain test</x:v>
      </x:c>
      <x:c r="L177" s="40" t="str">
        <x:v>Not Started</x:v>
      </x:c>
      <x:c r="M177" s="40"/>
    </x:row>
    <x:row r="178">
      <x:c r="A178" s="40" t="str">
        <x:v>VS-08</x:v>
      </x:c>
      <x:c r="B178" s="40" t="n">
        <x:v>8</x:v>
      </x:c>
      <x:c r="C178" s="40" t="str">
        <x:v>Wave 2 — Core Planning Loop</x:v>
      </x:c>
      <x:c r="D178" s="40" t="str">
        <x:v>I. Weekly Planning</x:v>
      </x:c>
      <x:c r="E178" s="40" t="str">
        <x:v>AC-I-013</x:v>
      </x:c>
      <x:c r="F178" s="40" t="str">
        <x:v>FR-I-013</x:v>
      </x:c>
      <x:c r="G178" s="40" t="str">
        <x:v>Given the applicable Weekly Planning preconditions and a valid Local Profile</x:v>
      </x:c>
      <x:c r="H178" s="40" t="str">
        <x:v>When the user performs the relevant action or the relevant system condition occurs</x:v>
      </x:c>
      <x:c r="I178" s="40" t="str">
        <x:v>Then be able to record an optional private reflection.</x:v>
      </x:c>
      <x:c r="J178" s="40" t="str">
        <x:v>Yes</x:v>
      </x:c>
      <x:c r="K178" s="40" t="str">
        <x:v>Widget test</x:v>
      </x:c>
      <x:c r="L178" s="40" t="str">
        <x:v>Not Started</x:v>
      </x:c>
      <x:c r="M178" s="40"/>
    </x:row>
    <x:row r="179">
      <x:c r="A179" s="40" t="str">
        <x:v>VS-08</x:v>
      </x:c>
      <x:c r="B179" s="40" t="n">
        <x:v>8</x:v>
      </x:c>
      <x:c r="C179" s="40" t="str">
        <x:v>Wave 2 — Core Planning Loop</x:v>
      </x:c>
      <x:c r="D179" s="40" t="str">
        <x:v>I. Weekly Planning</x:v>
      </x:c>
      <x:c r="E179" s="40" t="str">
        <x:v>AC-I-014</x:v>
      </x:c>
      <x:c r="F179" s="40" t="str">
        <x:v>FR-I-014</x:v>
      </x:c>
      <x:c r="G179" s="40" t="str">
        <x:v>Given the applicable Weekly Planning preconditions and a valid Local Profile</x:v>
      </x:c>
      <x:c r="H179" s="40" t="str">
        <x:v>When the user performs the relevant action or the relevant system condition occurs</x:v>
      </x:c>
      <x:c r="I179" s="40" t="str">
        <x:v>Then be able to complete a Weekly Review.</x:v>
      </x:c>
      <x:c r="J179" s="40" t="str">
        <x:v>No</x:v>
      </x:c>
      <x:c r="K179" s="40" t="str">
        <x:v>Widget test</x:v>
      </x:c>
      <x:c r="L179" s="40" t="str">
        <x:v>Not Started</x:v>
      </x:c>
      <x:c r="M179" s="40"/>
    </x:row>
    <x:row r="180">
      <x:c r="A180" s="40" t="str">
        <x:v>VS-08</x:v>
      </x:c>
      <x:c r="B180" s="40" t="n">
        <x:v>8</x:v>
      </x:c>
      <x:c r="C180" s="40" t="str">
        <x:v>Wave 2 — Core Planning Loop</x:v>
      </x:c>
      <x:c r="D180" s="40" t="str">
        <x:v>I. Weekly Planning</x:v>
      </x:c>
      <x:c r="E180" s="40" t="str">
        <x:v>AC-I-015</x:v>
      </x:c>
      <x:c r="F180" s="40" t="str">
        <x:v>FR-I-015</x:v>
      </x:c>
      <x:c r="G180" s="40" t="str">
        <x:v>Given the applicable Weekly Planning preconditions and a valid Local Profile</x:v>
      </x:c>
      <x:c r="H180" s="40" t="str">
        <x:v>When the user performs the relevant action or the relevant system condition occurs</x:v>
      </x:c>
      <x:c r="I180" s="40" t="str">
        <x:v>Then record post-review factual changes.</x:v>
      </x:c>
      <x:c r="J180" s="40" t="str">
        <x:v>Yes</x:v>
      </x:c>
      <x:c r="K180" s="40" t="str">
        <x:v>Domain test</x:v>
      </x:c>
      <x:c r="L180" s="40" t="str">
        <x:v>Not Started</x:v>
      </x:c>
      <x:c r="M180" s="40"/>
    </x:row>
    <x:row r="181">
      <x:c r="A181" s="40" t="str">
        <x:v>VS-08</x:v>
      </x:c>
      <x:c r="B181" s="40" t="n">
        <x:v>8</x:v>
      </x:c>
      <x:c r="C181" s="40" t="str">
        <x:v>Wave 2 — Core Planning Loop</x:v>
      </x:c>
      <x:c r="D181" s="40" t="str">
        <x:v>I. Weekly Planning</x:v>
      </x:c>
      <x:c r="E181" s="40" t="str">
        <x:v>AC-I-016</x:v>
      </x:c>
      <x:c r="F181" s="40" t="str">
        <x:v>FR-I-016</x:v>
      </x:c>
      <x:c r="G181" s="40" t="str">
        <x:v>Given the applicable Weekly Planning preconditions and a valid Local Profile</x:v>
      </x:c>
      <x:c r="H181" s="40" t="str">
        <x:v>When the user performs the relevant action or the relevant system condition occurs</x:v>
      </x:c>
      <x:c r="I181" s="40" t="str">
        <x:v>Then be able to start the next Weekly Plan.</x:v>
      </x:c>
      <x:c r="J181" s="40" t="str">
        <x:v>No</x:v>
      </x:c>
      <x:c r="K181" s="40" t="str">
        <x:v>Widget test</x:v>
      </x:c>
      <x:c r="L181" s="40" t="str">
        <x:v>Not Started</x:v>
      </x:c>
      <x:c r="M181" s="40"/>
    </x:row>
    <x:row r="182">
      <x:c r="A182" s="40" t="str">
        <x:v>VS-08</x:v>
      </x:c>
      <x:c r="B182" s="40" t="n">
        <x:v>8</x:v>
      </x:c>
      <x:c r="C182" s="40" t="str">
        <x:v>Wave 2 — Core Planning Loop</x:v>
      </x:c>
      <x:c r="D182" s="40" t="str">
        <x:v>I. Weekly Planning</x:v>
      </x:c>
      <x:c r="E182" s="40" t="str">
        <x:v>AC-I-017</x:v>
      </x:c>
      <x:c r="F182" s="40" t="str">
        <x:v>FR-I-017</x:v>
      </x:c>
      <x:c r="G182" s="40" t="str">
        <x:v>Given the applicable Weekly Planning preconditions and a valid Local Profile</x:v>
      </x:c>
      <x:c r="H182" s="40" t="str">
        <x:v>When the user performs the relevant action or the relevant system condition occurs</x:v>
      </x:c>
      <x:c r="I182" s="40" t="str">
        <x:v>Then explicitly decide Task carryover.</x:v>
      </x:c>
      <x:c r="J182" s="40" t="str">
        <x:v>No</x:v>
      </x:c>
      <x:c r="K182" s="40" t="str">
        <x:v>Domain test</x:v>
      </x:c>
      <x:c r="L182" s="40" t="str">
        <x:v>Not Started</x:v>
      </x:c>
      <x:c r="M182" s="40"/>
    </x:row>
    <x:row r="183">
      <x:c r="A183" s="40" t="str">
        <x:v>VS-08</x:v>
      </x:c>
      <x:c r="B183" s="40" t="n">
        <x:v>8</x:v>
      </x:c>
      <x:c r="C183" s="40" t="str">
        <x:v>Wave 2 — Core Planning Loop</x:v>
      </x:c>
      <x:c r="D183" s="40" t="str">
        <x:v>I. Weekly Planning</x:v>
      </x:c>
      <x:c r="E183" s="40" t="str">
        <x:v>AC-I-018</x:v>
      </x:c>
      <x:c r="F183" s="40" t="str">
        <x:v>FR-I-018</x:v>
      </x:c>
      <x:c r="G183" s="40" t="str">
        <x:v>Given the applicable Weekly Planning preconditions and a valid Local Profile</x:v>
      </x:c>
      <x:c r="H183" s="40" t="str">
        <x:v>When the user performs the relevant action or the relevant system condition occurs</x:v>
      </x:c>
      <x:c r="I183" s="40" t="str">
        <x:v>Then calendar Events shall not carry over automatically.</x:v>
      </x:c>
      <x:c r="J183" s="40" t="str">
        <x:v>Yes</x:v>
      </x:c>
      <x:c r="K183" s="40" t="str">
        <x:v>Integration test</x:v>
      </x:c>
      <x:c r="L183" s="40" t="str">
        <x:v>Not Started</x:v>
      </x:c>
      <x:c r="M183" s="40"/>
    </x:row>
    <x:row r="184">
      <x:c r="A184" s="40" t="str">
        <x:v>VS-08</x:v>
      </x:c>
      <x:c r="B184" s="40" t="n">
        <x:v>8</x:v>
      </x:c>
      <x:c r="C184" s="40" t="str">
        <x:v>Wave 2 — Core Planning Loop</x:v>
      </x:c>
      <x:c r="D184" s="40" t="str">
        <x:v>I. Weekly Planning</x:v>
      </x:c>
      <x:c r="E184" s="40" t="str">
        <x:v>AC-I-019</x:v>
      </x:c>
      <x:c r="F184" s="40" t="str">
        <x:v>FR-I-019</x:v>
      </x:c>
      <x:c r="G184" s="40" t="str">
        <x:v>Given the applicable Weekly Planning preconditions and a valid Local Profile</x:v>
      </x:c>
      <x:c r="H184" s="40" t="str">
        <x:v>When the user performs the relevant action or the relevant system condition occurs</x:v>
      </x:c>
      <x:c r="I184" s="40" t="str">
        <x:v>Then prior plans shall remain accessible.</x:v>
      </x:c>
      <x:c r="J184" s="40" t="str">
        <x:v>No</x:v>
      </x:c>
      <x:c r="K184" s="40" t="str">
        <x:v>Domain test</x:v>
      </x:c>
      <x:c r="L184" s="40" t="str">
        <x:v>Not Started</x:v>
      </x:c>
      <x:c r="M184" s="40"/>
    </x:row>
    <x:row r="185">
      <x:c r="A185" s="40" t="str">
        <x:v>VS-08</x:v>
      </x:c>
      <x:c r="B185" s="40" t="n">
        <x:v>8</x:v>
      </x:c>
      <x:c r="C185" s="40" t="str">
        <x:v>Wave 2 — Core Planning Loop</x:v>
      </x:c>
      <x:c r="D185" s="40" t="str">
        <x:v>I. Weekly Planning</x:v>
      </x:c>
      <x:c r="E185" s="40" t="str">
        <x:v>AC-I-020</x:v>
      </x:c>
      <x:c r="F185" s="40" t="str">
        <x:v>FR-I-020</x:v>
      </x:c>
      <x:c r="G185" s="40" t="str">
        <x:v>Given the applicable Weekly Planning preconditions and a valid Local Profile</x:v>
      </x:c>
      <x:c r="H185" s="40" t="str">
        <x:v>When the user performs the relevant action or the relevant system condition occurs</x:v>
      </x:c>
      <x:c r="I185" s="40" t="str">
        <x:v>Then weekly Plan workflows shall function offline.</x:v>
      </x:c>
      <x:c r="J185" s="40" t="str">
        <x:v>Yes</x:v>
      </x:c>
      <x:c r="K185" s="40" t="str">
        <x:v>Domain test</x:v>
      </x:c>
      <x:c r="L185" s="40" t="str">
        <x:v>Not Started</x:v>
      </x:c>
      <x:c r="M185" s="40"/>
    </x:row>
    <x:row r="186">
      <x:c r="A186" s="40" t="str">
        <x:v>VS-09</x:v>
      </x:c>
      <x:c r="B186" s="40" t="n">
        <x:v>9</x:v>
      </x:c>
      <x:c r="C186" s="40" t="str">
        <x:v>Wave 3 — Pathways and Life Administration</x:v>
      </x:c>
      <x:c r="D186" s="40" t="str">
        <x:v>J. Pathways, Goals, and Milestones</x:v>
      </x:c>
      <x:c r="E186" s="40" t="str">
        <x:v>AC-J-001</x:v>
      </x:c>
      <x:c r="F186" s="40" t="str">
        <x:v>FR-J-001</x:v>
      </x:c>
      <x:c r="G186" s="40" t="str">
        <x:v>Given the applicable Pathways, Goals, and Milestones preconditions and a valid Local Profile</x:v>
      </x:c>
      <x:c r="H186" s="40" t="str">
        <x:v>When the user performs the relevant action or the relevant system condition occurs</x:v>
      </x:c>
      <x:c r="I186" s="40" t="str">
        <x:v>Then be able to activate a Pathway.</x:v>
      </x:c>
      <x:c r="J186" s="40" t="str">
        <x:v>Yes</x:v>
      </x:c>
      <x:c r="K186" s="40" t="str">
        <x:v>Widget test</x:v>
      </x:c>
      <x:c r="L186" s="40" t="str">
        <x:v>Not Started</x:v>
      </x:c>
      <x:c r="M186" s="40"/>
    </x:row>
    <x:row r="187">
      <x:c r="A187" s="40" t="str">
        <x:v>VS-09</x:v>
      </x:c>
      <x:c r="B187" s="40" t="n">
        <x:v>9</x:v>
      </x:c>
      <x:c r="C187" s="40" t="str">
        <x:v>Wave 3 — Pathways and Life Administration</x:v>
      </x:c>
      <x:c r="D187" s="40" t="str">
        <x:v>J. Pathways, Goals, and Milestones</x:v>
      </x:c>
      <x:c r="E187" s="40" t="str">
        <x:v>AC-J-002</x:v>
      </x:c>
      <x:c r="F187" s="40" t="str">
        <x:v>FR-J-002</x:v>
      </x:c>
      <x:c r="G187" s="40" t="str">
        <x:v>Given the applicable Pathways, Goals, and Milestones preconditions and a valid Local Profile</x:v>
      </x:c>
      <x:c r="H187" s="40" t="str">
        <x:v>When the user performs the relevant action or the relevant system condition occurs</x:v>
      </x:c>
      <x:c r="I187" s="40" t="str">
        <x:v>Then be able to view bundled Pathway content offline.</x:v>
      </x:c>
      <x:c r="J187" s="40" t="str">
        <x:v>Yes</x:v>
      </x:c>
      <x:c r="K187" s="40" t="str">
        <x:v>Widget test</x:v>
      </x:c>
      <x:c r="L187" s="40" t="str">
        <x:v>Not Started</x:v>
      </x:c>
      <x:c r="M187" s="40"/>
    </x:row>
    <x:row r="188">
      <x:c r="A188" s="40" t="str">
        <x:v>VS-09</x:v>
      </x:c>
      <x:c r="B188" s="40" t="n">
        <x:v>9</x:v>
      </x:c>
      <x:c r="C188" s="40" t="str">
        <x:v>Wave 3 — Pathways and Life Administration</x:v>
      </x:c>
      <x:c r="D188" s="40" t="str">
        <x:v>J. Pathways, Goals, and Milestones</x:v>
      </x:c>
      <x:c r="E188" s="40" t="str">
        <x:v>AC-J-003</x:v>
      </x:c>
      <x:c r="F188" s="40" t="str">
        <x:v>FR-J-003</x:v>
      </x:c>
      <x:c r="G188" s="40" t="str">
        <x:v>Given the applicable Pathways, Goals, and Milestones preconditions and a valid Local Profile</x:v>
      </x:c>
      <x:c r="H188" s="40" t="str">
        <x:v>When the user performs the relevant action or the relevant system condition occurs</x:v>
      </x:c>
      <x:c r="I188" s="40" t="str">
        <x:v>Then be able to create and edit Goals where permitted.</x:v>
      </x:c>
      <x:c r="J188" s="40" t="str">
        <x:v>Yes</x:v>
      </x:c>
      <x:c r="K188" s="40" t="str">
        <x:v>Widget test</x:v>
      </x:c>
      <x:c r="L188" s="40" t="str">
        <x:v>Not Started</x:v>
      </x:c>
      <x:c r="M188" s="40"/>
    </x:row>
    <x:row r="189">
      <x:c r="A189" s="40" t="str">
        <x:v>VS-09</x:v>
      </x:c>
      <x:c r="B189" s="40" t="n">
        <x:v>9</x:v>
      </x:c>
      <x:c r="C189" s="40" t="str">
        <x:v>Wave 3 — Pathways and Life Administration</x:v>
      </x:c>
      <x:c r="D189" s="40" t="str">
        <x:v>J. Pathways, Goals, and Milestones</x:v>
      </x:c>
      <x:c r="E189" s="40" t="str">
        <x:v>AC-J-004</x:v>
      </x:c>
      <x:c r="F189" s="40" t="str">
        <x:v>FR-J-004</x:v>
      </x:c>
      <x:c r="G189" s="40" t="str">
        <x:v>Given the applicable Pathways, Goals, and Milestones preconditions and a valid Local Profile</x:v>
      </x:c>
      <x:c r="H189" s="40" t="str">
        <x:v>When the user performs the relevant action or the relevant system condition occurs</x:v>
      </x:c>
      <x:c r="I189" s="40" t="str">
        <x:v>Then be able to create and edit Milestones where permitted.</x:v>
      </x:c>
      <x:c r="J189" s="40" t="str">
        <x:v>Yes</x:v>
      </x:c>
      <x:c r="K189" s="40" t="str">
        <x:v>Widget test</x:v>
      </x:c>
      <x:c r="L189" s="40" t="str">
        <x:v>Not Started</x:v>
      </x:c>
      <x:c r="M189" s="40"/>
    </x:row>
    <x:row r="190">
      <x:c r="A190" s="40" t="str">
        <x:v>VS-09</x:v>
      </x:c>
      <x:c r="B190" s="40" t="n">
        <x:v>9</x:v>
      </x:c>
      <x:c r="C190" s="40" t="str">
        <x:v>Wave 3 — Pathways and Life Administration</x:v>
      </x:c>
      <x:c r="D190" s="40" t="str">
        <x:v>J. Pathways, Goals, and Milestones</x:v>
      </x:c>
      <x:c r="E190" s="40" t="str">
        <x:v>AC-J-005</x:v>
      </x:c>
      <x:c r="F190" s="40" t="str">
        <x:v>FR-J-005</x:v>
      </x:c>
      <x:c r="G190" s="40" t="str">
        <x:v>Given the applicable Pathways, Goals, and Milestones preconditions and a valid Local Profile</x:v>
      </x:c>
      <x:c r="H190" s="40" t="str">
        <x:v>When the user performs the relevant action or the relevant system condition occurs</x:v>
      </x:c>
      <x:c r="I190" s="40" t="str">
        <x:v>Then pathways, Goals, and Milestones shall retain separate identities.</x:v>
      </x:c>
      <x:c r="J190" s="40" t="str">
        <x:v>Yes</x:v>
      </x:c>
      <x:c r="K190" s="40" t="str">
        <x:v>Domain test</x:v>
      </x:c>
      <x:c r="L190" s="40" t="str">
        <x:v>Not Started</x:v>
      </x:c>
      <x:c r="M190" s="40"/>
    </x:row>
    <x:row r="191">
      <x:c r="A191" s="40" t="str">
        <x:v>VS-09</x:v>
      </x:c>
      <x:c r="B191" s="40" t="n">
        <x:v>9</x:v>
      </x:c>
      <x:c r="C191" s="40" t="str">
        <x:v>Wave 3 — Pathways and Life Administration</x:v>
      </x:c>
      <x:c r="D191" s="40" t="str">
        <x:v>J. Pathways, Goals, and Milestones</x:v>
      </x:c>
      <x:c r="E191" s="40" t="str">
        <x:v>AC-J-006</x:v>
      </x:c>
      <x:c r="F191" s="40" t="str">
        <x:v>FR-J-006</x:v>
      </x:c>
      <x:c r="G191" s="40" t="str">
        <x:v>Given the applicable Pathways, Goals, and Milestones preconditions and a valid Local Profile</x:v>
      </x:c>
      <x:c r="H191" s="40" t="str">
        <x:v>When the user performs the relevant action or the relevant system condition occurs</x:v>
      </x:c>
      <x:c r="I191" s="40" t="str">
        <x:v>Then be able to reorder Goals and Milestones.</x:v>
      </x:c>
      <x:c r="J191" s="40" t="str">
        <x:v>Yes</x:v>
      </x:c>
      <x:c r="K191" s="40" t="str">
        <x:v>Widget test</x:v>
      </x:c>
      <x:c r="L191" s="40" t="str">
        <x:v>Not Started</x:v>
      </x:c>
      <x:c r="M191" s="40"/>
    </x:row>
    <x:row r="192">
      <x:c r="A192" s="40" t="str">
        <x:v>VS-09</x:v>
      </x:c>
      <x:c r="B192" s="40" t="n">
        <x:v>9</x:v>
      </x:c>
      <x:c r="C192" s="40" t="str">
        <x:v>Wave 3 — Pathways and Life Administration</x:v>
      </x:c>
      <x:c r="D192" s="40" t="str">
        <x:v>J. Pathways, Goals, and Milestones</x:v>
      </x:c>
      <x:c r="E192" s="40" t="str">
        <x:v>AC-J-007</x:v>
      </x:c>
      <x:c r="F192" s="40" t="str">
        <x:v>FR-J-007</x:v>
      </x:c>
      <x:c r="G192" s="40" t="str">
        <x:v>Given the applicable Pathways, Goals, and Milestones preconditions and a valid Local Profile</x:v>
      </x:c>
      <x:c r="H192" s="40" t="str">
        <x:v>When the user performs the relevant action or the relevant system condition occurs</x:v>
      </x:c>
      <x:c r="I192" s="40" t="str">
        <x:v>Then be able to pause supported records.</x:v>
      </x:c>
      <x:c r="J192" s="40" t="str">
        <x:v>Yes</x:v>
      </x:c>
      <x:c r="K192" s="40" t="str">
        <x:v>Widget test</x:v>
      </x:c>
      <x:c r="L192" s="40" t="str">
        <x:v>Not Started</x:v>
      </x:c>
      <x:c r="M192" s="40"/>
    </x:row>
    <x:row r="193">
      <x:c r="A193" s="40" t="str">
        <x:v>VS-09</x:v>
      </x:c>
      <x:c r="B193" s="40" t="n">
        <x:v>9</x:v>
      </x:c>
      <x:c r="C193" s="40" t="str">
        <x:v>Wave 3 — Pathways and Life Administration</x:v>
      </x:c>
      <x:c r="D193" s="40" t="str">
        <x:v>J. Pathways, Goals, and Milestones</x:v>
      </x:c>
      <x:c r="E193" s="40" t="str">
        <x:v>AC-J-008</x:v>
      </x:c>
      <x:c r="F193" s="40" t="str">
        <x:v>FR-J-008</x:v>
      </x:c>
      <x:c r="G193" s="40" t="str">
        <x:v>Given the applicable Pathways, Goals, and Milestones preconditions and a valid Local Profile</x:v>
      </x:c>
      <x:c r="H193" s="40" t="str">
        <x:v>When the user performs the relevant action or the relevant system condition occurs</x:v>
      </x:c>
      <x:c r="I193" s="40" t="str">
        <x:v>Then be able to complete supported records.</x:v>
      </x:c>
      <x:c r="J193" s="40" t="str">
        <x:v>Yes</x:v>
      </x:c>
      <x:c r="K193" s="40" t="str">
        <x:v>Widget test</x:v>
      </x:c>
      <x:c r="L193" s="40" t="str">
        <x:v>Not Started</x:v>
      </x:c>
      <x:c r="M193" s="40"/>
    </x:row>
    <x:row r="194">
      <x:c r="A194" s="40" t="str">
        <x:v>VS-09</x:v>
      </x:c>
      <x:c r="B194" s="40" t="n">
        <x:v>9</x:v>
      </x:c>
      <x:c r="C194" s="40" t="str">
        <x:v>Wave 3 — Pathways and Life Administration</x:v>
      </x:c>
      <x:c r="D194" s="40" t="str">
        <x:v>J. Pathways, Goals, and Milestones</x:v>
      </x:c>
      <x:c r="E194" s="40" t="str">
        <x:v>AC-J-009</x:v>
      </x:c>
      <x:c r="F194" s="40" t="str">
        <x:v>FR-J-009</x:v>
      </x:c>
      <x:c r="G194" s="40" t="str">
        <x:v>Given the applicable Pathways, Goals, and Milestones preconditions and a valid Local Profile</x:v>
      </x:c>
      <x:c r="H194" s="40" t="str">
        <x:v>When the user performs the relevant action or the relevant system condition occurs</x:v>
      </x:c>
      <x:c r="I194" s="40" t="str">
        <x:v>Then be able to reopen completed records.</x:v>
      </x:c>
      <x:c r="J194" s="40" t="str">
        <x:v>No</x:v>
      </x:c>
      <x:c r="K194" s="40" t="str">
        <x:v>Widget test</x:v>
      </x:c>
      <x:c r="L194" s="40" t="str">
        <x:v>Not Started</x:v>
      </x:c>
      <x:c r="M194" s="40"/>
    </x:row>
    <x:row r="195">
      <x:c r="A195" s="40" t="str">
        <x:v>VS-09</x:v>
      </x:c>
      <x:c r="B195" s="40" t="n">
        <x:v>9</x:v>
      </x:c>
      <x:c r="C195" s="40" t="str">
        <x:v>Wave 3 — Pathways and Life Administration</x:v>
      </x:c>
      <x:c r="D195" s="40" t="str">
        <x:v>J. Pathways, Goals, and Milestones</x:v>
      </x:c>
      <x:c r="E195" s="40" t="str">
        <x:v>AC-J-010</x:v>
      </x:c>
      <x:c r="F195" s="40" t="str">
        <x:v>FR-J-010</x:v>
      </x:c>
      <x:c r="G195" s="40" t="str">
        <x:v>Given the applicable Pathways, Goals, and Milestones preconditions and a valid Local Profile</x:v>
      </x:c>
      <x:c r="H195" s="40" t="str">
        <x:v>When the user performs the relevant action or the relevant system condition occurs</x:v>
      </x:c>
      <x:c r="I195" s="40" t="str">
        <x:v>Then be able to archive supported records.</x:v>
      </x:c>
      <x:c r="J195" s="40" t="str">
        <x:v>No</x:v>
      </x:c>
      <x:c r="K195" s="40" t="str">
        <x:v>Widget test</x:v>
      </x:c>
      <x:c r="L195" s="40" t="str">
        <x:v>Not Started</x:v>
      </x:c>
      <x:c r="M195" s="40"/>
    </x:row>
    <x:row r="196">
      <x:c r="A196" s="40" t="str">
        <x:v>VS-09</x:v>
      </x:c>
      <x:c r="B196" s="40" t="n">
        <x:v>9</x:v>
      </x:c>
      <x:c r="C196" s="40" t="str">
        <x:v>Wave 3 — Pathways and Life Administration</x:v>
      </x:c>
      <x:c r="D196" s="40" t="str">
        <x:v>J. Pathways, Goals, and Milestones</x:v>
      </x:c>
      <x:c r="E196" s="40" t="str">
        <x:v>AC-J-011</x:v>
      </x:c>
      <x:c r="F196" s="40" t="str">
        <x:v>FR-J-011</x:v>
      </x:c>
      <x:c r="G196" s="40" t="str">
        <x:v>Given the applicable Pathways, Goals, and Milestones preconditions and a valid Local Profile</x:v>
      </x:c>
      <x:c r="H196" s="40" t="str">
        <x:v>When the user performs the relevant action or the relevant system condition occurs</x:v>
      </x:c>
      <x:c r="I196" s="40" t="str">
        <x:v>Then preserve completion history.</x:v>
      </x:c>
      <x:c r="J196" s="40" t="str">
        <x:v>Yes</x:v>
      </x:c>
      <x:c r="K196" s="40" t="str">
        <x:v>Domain test</x:v>
      </x:c>
      <x:c r="L196" s="40" t="str">
        <x:v>Not Started</x:v>
      </x:c>
      <x:c r="M196" s="40"/>
    </x:row>
    <x:row r="197">
      <x:c r="A197" s="40" t="str">
        <x:v>VS-09</x:v>
      </x:c>
      <x:c r="B197" s="40" t="n">
        <x:v>9</x:v>
      </x:c>
      <x:c r="C197" s="40" t="str">
        <x:v>Wave 3 — Pathways and Life Administration</x:v>
      </x:c>
      <x:c r="D197" s="40" t="str">
        <x:v>J. Pathways, Goals, and Milestones</x:v>
      </x:c>
      <x:c r="E197" s="40" t="str">
        <x:v>AC-J-012</x:v>
      </x:c>
      <x:c r="F197" s="40" t="str">
        <x:v>FR-J-012</x:v>
      </x:c>
      <x:c r="G197" s="40" t="str">
        <x:v>Given the applicable Pathways, Goals, and Milestones preconditions and a valid Local Profile</x:v>
      </x:c>
      <x:c r="H197" s="40" t="str">
        <x:v>When the user performs the relevant action or the relevant system condition occurs</x:v>
      </x:c>
      <x:c r="I197" s="40" t="str">
        <x:v>Then display each item’s completion method.</x:v>
      </x:c>
      <x:c r="J197" s="40" t="str">
        <x:v>No</x:v>
      </x:c>
      <x:c r="K197" s="40" t="str">
        <x:v>Widget test</x:v>
      </x:c>
      <x:c r="L197" s="40" t="str">
        <x:v>Not Started</x:v>
      </x:c>
      <x:c r="M197" s="40"/>
    </x:row>
    <x:row r="198">
      <x:c r="A198" s="40" t="str">
        <x:v>VS-09</x:v>
      </x:c>
      <x:c r="B198" s="40" t="n">
        <x:v>9</x:v>
      </x:c>
      <x:c r="C198" s="40" t="str">
        <x:v>Wave 3 — Pathways and Life Administration</x:v>
      </x:c>
      <x:c r="D198" s="40" t="str">
        <x:v>J. Pathways, Goals, and Milestones</x:v>
      </x:c>
      <x:c r="E198" s="40" t="str">
        <x:v>AC-J-013</x:v>
      </x:c>
      <x:c r="F198" s="40" t="str">
        <x:v>FR-J-013</x:v>
      </x:c>
      <x:c r="G198" s="40" t="str">
        <x:v>Given the applicable Pathways, Goals, and Milestones preconditions and a valid Local Profile</x:v>
      </x:c>
      <x:c r="H198" s="40" t="str">
        <x:v>When the user performs the relevant action or the relevant system condition occurs</x:v>
      </x:c>
      <x:c r="I198" s="40" t="str">
        <x:v>Then provide factual source access for derived progress.</x:v>
      </x:c>
      <x:c r="J198" s="40" t="str">
        <x:v>Yes</x:v>
      </x:c>
      <x:c r="K198" s="40" t="str">
        <x:v>Domain test</x:v>
      </x:c>
      <x:c r="L198" s="40" t="str">
        <x:v>Not Started</x:v>
      </x:c>
      <x:c r="M198" s="40"/>
    </x:row>
    <x:row r="199">
      <x:c r="A199" s="40" t="str">
        <x:v>VS-09</x:v>
      </x:c>
      <x:c r="B199" s="40" t="n">
        <x:v>9</x:v>
      </x:c>
      <x:c r="C199" s="40" t="str">
        <x:v>Wave 3 — Pathways and Life Administration</x:v>
      </x:c>
      <x:c r="D199" s="40" t="str">
        <x:v>J. Pathways, Goals, and Milestones</x:v>
      </x:c>
      <x:c r="E199" s="40" t="str">
        <x:v>AC-J-014</x:v>
      </x:c>
      <x:c r="F199" s="40" t="str">
        <x:v>FR-J-014</x:v>
      </x:c>
      <x:c r="G199" s="40" t="str">
        <x:v>Given the applicable Pathways, Goals, and Milestones preconditions and a valid Local Profile</x:v>
      </x:c>
      <x:c r="H199" s="40" t="str">
        <x:v>When the user performs the relevant action or the relevant system condition occurs</x:v>
      </x:c>
      <x:c r="I199" s="40" t="str">
        <x:v>Then not infer progress from titles.</x:v>
      </x:c>
      <x:c r="J199" s="40" t="str">
        <x:v>Yes</x:v>
      </x:c>
      <x:c r="K199" s="40" t="str">
        <x:v>Domain test</x:v>
      </x:c>
      <x:c r="L199" s="40" t="str">
        <x:v>Not Started</x:v>
      </x:c>
      <x:c r="M199" s="40"/>
    </x:row>
    <x:row r="200">
      <x:c r="A200" s="40" t="str">
        <x:v>VS-09</x:v>
      </x:c>
      <x:c r="B200" s="40" t="n">
        <x:v>9</x:v>
      </x:c>
      <x:c r="C200" s="40" t="str">
        <x:v>Wave 3 — Pathways and Life Administration</x:v>
      </x:c>
      <x:c r="D200" s="40" t="str">
        <x:v>J. Pathways, Goals, and Milestones</x:v>
      </x:c>
      <x:c r="E200" s="40" t="str">
        <x:v>AC-J-015</x:v>
      </x:c>
      <x:c r="F200" s="40" t="str">
        <x:v>FR-J-015</x:v>
      </x:c>
      <x:c r="G200" s="40" t="str">
        <x:v>Given the applicable Pathways, Goals, and Milestones preconditions and a valid Local Profile</x:v>
      </x:c>
      <x:c r="H200" s="40" t="str">
        <x:v>When the user performs the relevant action or the relevant system condition occurs</x:v>
      </x:c>
      <x:c r="I200" s="40" t="str">
        <x:v>Then not display unexplained percentages.</x:v>
      </x:c>
      <x:c r="J200" s="40" t="str">
        <x:v>Yes</x:v>
      </x:c>
      <x:c r="K200" s="40" t="str">
        <x:v>Widget test</x:v>
      </x:c>
      <x:c r="L200" s="40" t="str">
        <x:v>Not Started</x:v>
      </x:c>
      <x:c r="M200" s="40"/>
    </x:row>
    <x:row r="201">
      <x:c r="A201" s="40" t="str">
        <x:v>VS-09</x:v>
      </x:c>
      <x:c r="B201" s="40" t="n">
        <x:v>9</x:v>
      </x:c>
      <x:c r="C201" s="40" t="str">
        <x:v>Wave 3 — Pathways and Life Administration</x:v>
      </x:c>
      <x:c r="D201" s="40" t="str">
        <x:v>J. Pathways, Goals, and Milestones</x:v>
      </x:c>
      <x:c r="E201" s="40" t="str">
        <x:v>AC-J-016</x:v>
      </x:c>
      <x:c r="F201" s="40" t="str">
        <x:v>FR-J-016</x:v>
      </x:c>
      <x:c r="G201" s="40" t="str">
        <x:v>Given the applicable Pathways, Goals, and Milestones preconditions and a valid Local Profile</x:v>
      </x:c>
      <x:c r="H201" s="40" t="str">
        <x:v>When the user performs the relevant action or the relevant system condition occurs</x:v>
      </x:c>
      <x:c r="I201" s="40" t="str">
        <x:v>Then be able to create Tasks and Calendar Events from Pathway context.</x:v>
      </x:c>
      <x:c r="J201" s="40" t="str">
        <x:v>No</x:v>
      </x:c>
      <x:c r="K201" s="40" t="str">
        <x:v>Widget test / Integration test</x:v>
      </x:c>
      <x:c r="L201" s="40" t="str">
        <x:v>Not Started</x:v>
      </x:c>
      <x:c r="M201" s="40"/>
    </x:row>
    <x:row r="202">
      <x:c r="A202" s="40" t="str">
        <x:v>VS-09</x:v>
      </x:c>
      <x:c r="B202" s="40" t="n">
        <x:v>9</x:v>
      </x:c>
      <x:c r="C202" s="40" t="str">
        <x:v>Wave 3 — Pathways and Life Administration</x:v>
      </x:c>
      <x:c r="D202" s="40" t="str">
        <x:v>J. Pathways, Goals, and Milestones</x:v>
      </x:c>
      <x:c r="E202" s="40" t="str">
        <x:v>AC-J-017</x:v>
      </x:c>
      <x:c r="F202" s="40" t="str">
        <x:v>FR-J-017</x:v>
      </x:c>
      <x:c r="G202" s="40" t="str">
        <x:v>Given the applicable Pathways, Goals, and Milestones preconditions and a valid Local Profile</x:v>
      </x:c>
      <x:c r="H202" s="40" t="str">
        <x:v>When the user performs the relevant action or the relevant system condition occurs</x:v>
      </x:c>
      <x:c r="I202" s="40" t="str">
        <x:v>Then linked Task and event statuses shall remain independent.</x:v>
      </x:c>
      <x:c r="J202" s="40" t="str">
        <x:v>No</x:v>
      </x:c>
      <x:c r="K202" s="40" t="str">
        <x:v>Domain test</x:v>
      </x:c>
      <x:c r="L202" s="40" t="str">
        <x:v>Not Started</x:v>
      </x:c>
      <x:c r="M202" s="40"/>
    </x:row>
    <x:row r="203">
      <x:c r="A203" s="40" t="str">
        <x:v>VS-09</x:v>
      </x:c>
      <x:c r="B203" s="40" t="n">
        <x:v>9</x:v>
      </x:c>
      <x:c r="C203" s="40" t="str">
        <x:v>Wave 3 — Pathways and Life Administration</x:v>
      </x:c>
      <x:c r="D203" s="40" t="str">
        <x:v>J. Pathways, Goals, and Milestones</x:v>
      </x:c>
      <x:c r="E203" s="40" t="str">
        <x:v>AC-J-018</x:v>
      </x:c>
      <x:c r="F203" s="40" t="str">
        <x:v>FR-J-018</x:v>
      </x:c>
      <x:c r="G203" s="40" t="str">
        <x:v>Given the applicable Pathways, Goals, and Milestones preconditions and a valid Local Profile</x:v>
      </x:c>
      <x:c r="H203" s="40" t="str">
        <x:v>When the user performs the relevant action or the relevant system condition occurs</x:v>
      </x:c>
      <x:c r="I203" s="40" t="str">
        <x:v>Then bundled updates shall preserve user state.</x:v>
      </x:c>
      <x:c r="J203" s="40" t="str">
        <x:v>Yes</x:v>
      </x:c>
      <x:c r="K203" s="40" t="str">
        <x:v>Domain test</x:v>
      </x:c>
      <x:c r="L203" s="40" t="str">
        <x:v>Not Started</x:v>
      </x:c>
      <x:c r="M203" s="40"/>
    </x:row>
    <x:row r="204">
      <x:c r="A204" s="40" t="str">
        <x:v>VS-09</x:v>
      </x:c>
      <x:c r="B204" s="40" t="n">
        <x:v>9</x:v>
      </x:c>
      <x:c r="C204" s="40" t="str">
        <x:v>Wave 3 — Pathways and Life Administration</x:v>
      </x:c>
      <x:c r="D204" s="40" t="str">
        <x:v>J. Pathways, Goals, and Milestones</x:v>
      </x:c>
      <x:c r="E204" s="40" t="str">
        <x:v>AC-J-019</x:v>
      </x:c>
      <x:c r="F204" s="40" t="str">
        <x:v>FR-J-019</x:v>
      </x:c>
      <x:c r="G204" s="40" t="str">
        <x:v>Given the applicable Pathways, Goals, and Milestones preconditions and a valid Local Profile</x:v>
      </x:c>
      <x:c r="H204" s="40" t="str">
        <x:v>When the user performs the relevant action or the relevant system condition occurs</x:v>
      </x:c>
      <x:c r="I204" s="40" t="str">
        <x:v>Then covenant Path shall use neutral factual presentation.</x:v>
      </x:c>
      <x:c r="J204" s="40" t="str">
        <x:v>Yes</x:v>
      </x:c>
      <x:c r="K204" s="40" t="str">
        <x:v>Domain test / Manual review</x:v>
      </x:c>
      <x:c r="L204" s="40" t="str">
        <x:v>Not Started</x:v>
      </x:c>
      <x:c r="M204" s="40"/>
    </x:row>
    <x:row r="205">
      <x:c r="A205" s="40" t="str">
        <x:v>VS-09</x:v>
      </x:c>
      <x:c r="B205" s="40" t="n">
        <x:v>9</x:v>
      </x:c>
      <x:c r="C205" s="40" t="str">
        <x:v>Wave 3 — Pathways and Life Administration</x:v>
      </x:c>
      <x:c r="D205" s="40" t="str">
        <x:v>J. Pathways, Goals, and Milestones</x:v>
      </x:c>
      <x:c r="E205" s="40" t="str">
        <x:v>AC-J-020</x:v>
      </x:c>
      <x:c r="F205" s="40" t="str">
        <x:v>FR-J-020</x:v>
      </x:c>
      <x:c r="G205" s="40" t="str">
        <x:v>Given the applicable Pathways, Goals, and Milestones preconditions and a valid Local Profile</x:v>
      </x:c>
      <x:c r="H205" s="40" t="str">
        <x:v>When the user performs the relevant action or the relevant system condition occurs</x:v>
      </x:c>
      <x:c r="I205" s="40" t="str">
        <x:v>Then covenant Path shall not provide spiritual-quality scoring or sharing.</x:v>
      </x:c>
      <x:c r="J205" s="40" t="str">
        <x:v>Yes</x:v>
      </x:c>
      <x:c r="K205" s="40" t="str">
        <x:v>Manual review</x:v>
      </x:c>
      <x:c r="L205" s="40" t="str">
        <x:v>Not Started</x:v>
      </x:c>
      <x:c r="M205" s="40"/>
    </x:row>
    <x:row r="206">
      <x:c r="A206" s="40" t="str">
        <x:v>VS-09</x:v>
      </x:c>
      <x:c r="B206" s="40" t="n">
        <x:v>9</x:v>
      </x:c>
      <x:c r="C206" s="40" t="str">
        <x:v>Wave 3 — Pathways and Life Administration</x:v>
      </x:c>
      <x:c r="D206" s="40" t="str">
        <x:v>J. Pathways, Goals, and Milestones</x:v>
      </x:c>
      <x:c r="E206" s="40" t="str">
        <x:v>AC-J-021</x:v>
      </x:c>
      <x:c r="F206" s="40" t="str">
        <x:v>FR-J-021</x:v>
      </x:c>
      <x:c r="G206" s="40" t="str">
        <x:v>Given the applicable Pathways, Goals, and Milestones preconditions and a valid Local Profile</x:v>
      </x:c>
      <x:c r="H206" s="40" t="str">
        <x:v>When the user performs the relevant action or the relevant system condition occurs</x:v>
      </x:c>
      <x:c r="I206" s="40" t="str">
        <x:v>Then function offline.</x:v>
      </x:c>
      <x:c r="J206" s="40" t="str">
        <x:v>Yes</x:v>
      </x:c>
      <x:c r="K206" s="40" t="str">
        <x:v>Domain test</x:v>
      </x:c>
      <x:c r="L206" s="40" t="str">
        <x:v>Not Started</x:v>
      </x:c>
      <x:c r="M206" s="40"/>
    </x:row>
    <x:row r="207">
      <x:c r="A207" s="40" t="str">
        <x:v>VS-09</x:v>
      </x:c>
      <x:c r="B207" s="40" t="n">
        <x:v>9</x:v>
      </x:c>
      <x:c r="C207" s="40" t="str">
        <x:v>Wave 3 — Pathways and Life Administration</x:v>
      </x:c>
      <x:c r="D207" s="40" t="str">
        <x:v>J. Pathways, Goals, and Milestones</x:v>
      </x:c>
      <x:c r="E207" s="40" t="str">
        <x:v>AC-J-022</x:v>
      </x:c>
      <x:c r="F207" s="40" t="str">
        <x:v>FR-J-022</x:v>
      </x:c>
      <x:c r="G207" s="40" t="str">
        <x:v>Given the applicable Pathways, Goals, and Milestones preconditions and a valid Local Profile</x:v>
      </x:c>
      <x:c r="H207" s="40" t="str">
        <x:v>When the user performs the relevant action or the relevant system condition occurs</x:v>
      </x:c>
      <x:c r="I207" s="40" t="str">
        <x:v>Then private reflections shall remain non-contributory.</x:v>
      </x:c>
      <x:c r="J207" s="40" t="str">
        <x:v>No</x:v>
      </x:c>
      <x:c r="K207" s="40" t="str">
        <x:v>Domain test</x:v>
      </x:c>
      <x:c r="L207" s="40" t="str">
        <x:v>Not Started</x:v>
      </x:c>
      <x:c r="M207" s="40"/>
    </x:row>
    <x:row r="208">
      <x:c r="A208" s="40" t="str">
        <x:v>VS-10</x:v>
      </x:c>
      <x:c r="B208" s="40" t="n">
        <x:v>10</x:v>
      </x:c>
      <x:c r="C208" s="40" t="str">
        <x:v>Wave 3 — Pathways and Life Administration</x:v>
      </x:c>
      <x:c r="D208" s="40" t="str">
        <x:v>K. Covenant Path</x:v>
      </x:c>
      <x:c r="E208" s="40" t="str">
        <x:v>AC-K-001</x:v>
      </x:c>
      <x:c r="F208" s="40" t="str">
        <x:v>FR-K-001</x:v>
      </x:c>
      <x:c r="G208" s="40" t="str">
        <x:v>Given the applicable Covenant Path preconditions and a valid Local Profile</x:v>
      </x:c>
      <x:c r="H208" s="40" t="str">
        <x:v>When the user performs the relevant action or the relevant system condition occurs</x:v>
      </x:c>
      <x:c r="I208" s="40" t="str">
        <x:v>Then present Covenant Path as optional and private.</x:v>
      </x:c>
      <x:c r="J208" s="40" t="str">
        <x:v>Yes</x:v>
      </x:c>
      <x:c r="K208" s="40" t="str">
        <x:v>Domain test</x:v>
      </x:c>
      <x:c r="L208" s="40" t="str">
        <x:v>Not Started</x:v>
      </x:c>
      <x:c r="M208" s="40"/>
    </x:row>
    <x:row r="209">
      <x:c r="A209" s="40" t="str">
        <x:v>VS-10</x:v>
      </x:c>
      <x:c r="B209" s="40" t="n">
        <x:v>10</x:v>
      </x:c>
      <x:c r="C209" s="40" t="str">
        <x:v>Wave 3 — Pathways and Life Administration</x:v>
      </x:c>
      <x:c r="D209" s="40" t="str">
        <x:v>K. Covenant Path</x:v>
      </x:c>
      <x:c r="E209" s="40" t="str">
        <x:v>AC-K-002</x:v>
      </x:c>
      <x:c r="F209" s="40" t="str">
        <x:v>FR-K-002</x:v>
      </x:c>
      <x:c r="G209" s="40" t="str">
        <x:v>Given the applicable Covenant Path preconditions and a valid Local Profile</x:v>
      </x:c>
      <x:c r="H209" s="40" t="str">
        <x:v>When the user performs the relevant action or the relevant system condition occurs</x:v>
      </x:c>
      <x:c r="I209" s="40" t="str">
        <x:v>Then be able to activate, pause, reopen, and archive Covenant Path.</x:v>
      </x:c>
      <x:c r="J209" s="40" t="str">
        <x:v>Yes</x:v>
      </x:c>
      <x:c r="K209" s="40" t="str">
        <x:v>Widget test</x:v>
      </x:c>
      <x:c r="L209" s="40" t="str">
        <x:v>Not Started</x:v>
      </x:c>
      <x:c r="M209" s="40"/>
    </x:row>
    <x:row r="210">
      <x:c r="A210" s="40" t="str">
        <x:v>VS-10</x:v>
      </x:c>
      <x:c r="B210" s="40" t="n">
        <x:v>10</x:v>
      </x:c>
      <x:c r="C210" s="40" t="str">
        <x:v>Wave 3 — Pathways and Life Administration</x:v>
      </x:c>
      <x:c r="D210" s="40" t="str">
        <x:v>K. Covenant Path</x:v>
      </x:c>
      <x:c r="E210" s="40" t="str">
        <x:v>AC-K-003</x:v>
      </x:c>
      <x:c r="F210" s="40" t="str">
        <x:v>FR-K-003</x:v>
      </x:c>
      <x:c r="G210" s="40" t="str">
        <x:v>Given the applicable Covenant Path preconditions and a valid Local Profile</x:v>
      </x:c>
      <x:c r="H210" s="40" t="str">
        <x:v>When the user performs the relevant action or the relevant system condition occurs</x:v>
      </x:c>
      <x:c r="I210" s="40" t="str">
        <x:v>Then be able to activate selected Goals or Milestones without activating every suggestion.</x:v>
      </x:c>
      <x:c r="J210" s="40" t="str">
        <x:v>Yes</x:v>
      </x:c>
      <x:c r="K210" s="40" t="str">
        <x:v>Widget test</x:v>
      </x:c>
      <x:c r="L210" s="40" t="str">
        <x:v>Not Started</x:v>
      </x:c>
      <x:c r="M210" s="40"/>
    </x:row>
    <x:row r="211">
      <x:c r="A211" s="40" t="str">
        <x:v>VS-10</x:v>
      </x:c>
      <x:c r="B211" s="40" t="n">
        <x:v>10</x:v>
      </x:c>
      <x:c r="C211" s="40" t="str">
        <x:v>Wave 3 — Pathways and Life Administration</x:v>
      </x:c>
      <x:c r="D211" s="40" t="str">
        <x:v>K. Covenant Path</x:v>
      </x:c>
      <x:c r="E211" s="40" t="str">
        <x:v>AC-K-004</x:v>
      </x:c>
      <x:c r="F211" s="40" t="str">
        <x:v>FR-K-004</x:v>
      </x:c>
      <x:c r="G211" s="40" t="str">
        <x:v>Given the applicable Covenant Path preconditions and a valid Local Profile</x:v>
      </x:c>
      <x:c r="H211" s="40" t="str">
        <x:v>When the user performs the relevant action or the relevant system condition occurs</x:v>
      </x:c>
      <x:c r="I211" s="40" t="str">
        <x:v>Then be able to create Tasks and Calendar Events from Covenant Path context.</x:v>
      </x:c>
      <x:c r="J211" s="40" t="str">
        <x:v>Yes</x:v>
      </x:c>
      <x:c r="K211" s="40" t="str">
        <x:v>Widget test / Integration test</x:v>
      </x:c>
      <x:c r="L211" s="40" t="str">
        <x:v>Not Started</x:v>
      </x:c>
      <x:c r="M211" s="40"/>
    </x:row>
    <x:row r="212">
      <x:c r="A212" s="40" t="str">
        <x:v>VS-10</x:v>
      </x:c>
      <x:c r="B212" s="40" t="n">
        <x:v>10</x:v>
      </x:c>
      <x:c r="C212" s="40" t="str">
        <x:v>Wave 3 — Pathways and Life Administration</x:v>
      </x:c>
      <x:c r="D212" s="40" t="str">
        <x:v>K. Covenant Path</x:v>
      </x:c>
      <x:c r="E212" s="40" t="str">
        <x:v>AC-K-005</x:v>
      </x:c>
      <x:c r="F212" s="40" t="str">
        <x:v>FR-K-005</x:v>
      </x:c>
      <x:c r="G212" s="40" t="str">
        <x:v>Given the applicable Covenant Path preconditions and a valid Local Profile</x:v>
      </x:c>
      <x:c r="H212" s="40" t="str">
        <x:v>When the user performs the relevant action or the relevant system condition occurs</x:v>
      </x:c>
      <x:c r="I212" s="40" t="str">
        <x:v>Then linked records shall retain independent identities and statuses.</x:v>
      </x:c>
      <x:c r="J212" s="40" t="str">
        <x:v>Yes</x:v>
      </x:c>
      <x:c r="K212" s="40" t="str">
        <x:v>Domain test</x:v>
      </x:c>
      <x:c r="L212" s="40" t="str">
        <x:v>Not Started</x:v>
      </x:c>
      <x:c r="M212" s="40"/>
    </x:row>
    <x:row r="213">
      <x:c r="A213" s="40" t="str">
        <x:v>VS-10</x:v>
      </x:c>
      <x:c r="B213" s="40" t="n">
        <x:v>10</x:v>
      </x:c>
      <x:c r="C213" s="40" t="str">
        <x:v>Wave 3 — Pathways and Life Administration</x:v>
      </x:c>
      <x:c r="D213" s="40" t="str">
        <x:v>K. Covenant Path</x:v>
      </x:c>
      <x:c r="E213" s="40" t="str">
        <x:v>AC-K-006</x:v>
      </x:c>
      <x:c r="F213" s="40" t="str">
        <x:v>FR-K-006</x:v>
      </x:c>
      <x:c r="G213" s="40" t="str">
        <x:v>Given the applicable Covenant Path preconditions and a valid Local Profile</x:v>
      </x:c>
      <x:c r="H213" s="40" t="str">
        <x:v>When the user performs the relevant action or the relevant system condition occurs</x:v>
      </x:c>
      <x:c r="I213" s="40" t="str">
        <x:v>Then distinguish Scheduled Potential from Actual.</x:v>
      </x:c>
      <x:c r="J213" s="40" t="str">
        <x:v>Yes</x:v>
      </x:c>
      <x:c r="K213" s="40" t="str">
        <x:v>Domain test</x:v>
      </x:c>
      <x:c r="L213" s="40" t="str">
        <x:v>Not Started</x:v>
      </x:c>
      <x:c r="M213" s="40"/>
    </x:row>
    <x:row r="214">
      <x:c r="A214" s="40" t="str">
        <x:v>VS-10</x:v>
      </x:c>
      <x:c r="B214" s="40" t="n">
        <x:v>10</x:v>
      </x:c>
      <x:c r="C214" s="40" t="str">
        <x:v>Wave 3 — Pathways and Life Administration</x:v>
      </x:c>
      <x:c r="D214" s="40" t="str">
        <x:v>K. Covenant Path</x:v>
      </x:c>
      <x:c r="E214" s="40" t="str">
        <x:v>AC-K-007</x:v>
      </x:c>
      <x:c r="F214" s="40" t="str">
        <x:v>FR-K-007</x:v>
      </x:c>
      <x:c r="G214" s="40" t="str">
        <x:v>Given the applicable Covenant Path preconditions and a valid Local Profile</x:v>
      </x:c>
      <x:c r="H214" s="40" t="str">
        <x:v>When the user performs the relevant action or the relevant system condition occurs</x:v>
      </x:c>
      <x:c r="I214" s="40" t="str">
        <x:v>Then be derived from valid Activity Ledger entries.</x:v>
      </x:c>
      <x:c r="J214" s="40" t="str">
        <x:v>Yes</x:v>
      </x:c>
      <x:c r="K214" s="40" t="str">
        <x:v>Domain test / Database test</x:v>
      </x:c>
      <x:c r="L214" s="40" t="str">
        <x:v>Not Started</x:v>
      </x:c>
      <x:c r="M214" s="40"/>
    </x:row>
    <x:row r="215">
      <x:c r="A215" s="40" t="str">
        <x:v>VS-10</x:v>
      </x:c>
      <x:c r="B215" s="40" t="n">
        <x:v>10</x:v>
      </x:c>
      <x:c r="C215" s="40" t="str">
        <x:v>Wave 3 — Pathways and Life Administration</x:v>
      </x:c>
      <x:c r="D215" s="40" t="str">
        <x:v>K. Covenant Path</x:v>
      </x:c>
      <x:c r="E215" s="40" t="str">
        <x:v>AC-K-008</x:v>
      </x:c>
      <x:c r="F215" s="40" t="str">
        <x:v>FR-K-008</x:v>
      </x:c>
      <x:c r="G215" s="40" t="str">
        <x:v>Given the applicable Covenant Path preconditions and a valid Local Profile</x:v>
      </x:c>
      <x:c r="H215" s="40" t="str">
        <x:v>When the user performs the relevant action or the relevant system condition occurs</x:v>
      </x:c>
      <x:c r="I215" s="40" t="str">
        <x:v>Then be able to record optional private reflections.</x:v>
      </x:c>
      <x:c r="J215" s="40" t="str">
        <x:v>Yes</x:v>
      </x:c>
      <x:c r="K215" s="40" t="str">
        <x:v>Widget test</x:v>
      </x:c>
      <x:c r="L215" s="40" t="str">
        <x:v>Not Started</x:v>
      </x:c>
      <x:c r="M215" s="40"/>
    </x:row>
    <x:row r="216">
      <x:c r="A216" s="40" t="str">
        <x:v>VS-10</x:v>
      </x:c>
      <x:c r="B216" s="40" t="n">
        <x:v>10</x:v>
      </x:c>
      <x:c r="C216" s="40" t="str">
        <x:v>Wave 3 — Pathways and Life Administration</x:v>
      </x:c>
      <x:c r="D216" s="40" t="str">
        <x:v>K. Covenant Path</x:v>
      </x:c>
      <x:c r="E216" s="40" t="str">
        <x:v>AC-K-009</x:v>
      </x:c>
      <x:c r="F216" s="40" t="str">
        <x:v>FR-K-009</x:v>
      </x:c>
      <x:c r="G216" s="40" t="str">
        <x:v>Given the applicable Covenant Path preconditions and a valid Local Profile</x:v>
      </x:c>
      <x:c r="H216" s="40" t="str">
        <x:v>When the user performs the relevant action or the relevant system condition occurs</x:v>
      </x:c>
      <x:c r="I216" s="40" t="str">
        <x:v>Then reflections shall not affect progress.</x:v>
      </x:c>
      <x:c r="J216" s="40" t="str">
        <x:v>Yes</x:v>
      </x:c>
      <x:c r="K216" s="40" t="str">
        <x:v>Domain test</x:v>
      </x:c>
      <x:c r="L216" s="40" t="str">
        <x:v>Not Started</x:v>
      </x:c>
      <x:c r="M216" s="40"/>
    </x:row>
    <x:row r="217">
      <x:c r="A217" s="40" t="str">
        <x:v>VS-10</x:v>
      </x:c>
      <x:c r="B217" s="40" t="n">
        <x:v>10</x:v>
      </x:c>
      <x:c r="C217" s="40" t="str">
        <x:v>Wave 3 — Pathways and Life Administration</x:v>
      </x:c>
      <x:c r="D217" s="40" t="str">
        <x:v>K. Covenant Path</x:v>
      </x:c>
      <x:c r="E217" s="40" t="str">
        <x:v>AC-K-010</x:v>
      </x:c>
      <x:c r="F217" s="40" t="str">
        <x:v>FR-K-010</x:v>
      </x:c>
      <x:c r="G217" s="40" t="str">
        <x:v>Given the applicable Covenant Path preconditions and a valid Local Profile</x:v>
      </x:c>
      <x:c r="H217" s="40" t="str">
        <x:v>When the user performs the relevant action or the relevant system condition occurs</x:v>
      </x:c>
      <x:c r="I217" s="40" t="str">
        <x:v>Then provide factual contribution history for Scripture Study and Temple Visit.</x:v>
      </x:c>
      <x:c r="J217" s="40" t="str">
        <x:v>Yes</x:v>
      </x:c>
      <x:c r="K217" s="40" t="str">
        <x:v>Domain test</x:v>
      </x:c>
      <x:c r="L217" s="40" t="str">
        <x:v>Not Started</x:v>
      </x:c>
      <x:c r="M217" s="40"/>
    </x:row>
    <x:row r="218">
      <x:c r="A218" s="40" t="str">
        <x:v>VS-10</x:v>
      </x:c>
      <x:c r="B218" s="40" t="n">
        <x:v>10</x:v>
      </x:c>
      <x:c r="C218" s="40" t="str">
        <x:v>Wave 3 — Pathways and Life Administration</x:v>
      </x:c>
      <x:c r="D218" s="40" t="str">
        <x:v>K. Covenant Path</x:v>
      </x:c>
      <x:c r="E218" s="40" t="str">
        <x:v>AC-K-011</x:v>
      </x:c>
      <x:c r="F218" s="40" t="str">
        <x:v>FR-K-011</x:v>
      </x:c>
      <x:c r="G218" s="40" t="str">
        <x:v>Given the applicable Covenant Path preconditions and a valid Local Profile</x:v>
      </x:c>
      <x:c r="H218" s="40" t="str">
        <x:v>When the user performs the relevant action or the relevant system condition occurs</x:v>
      </x:c>
      <x:c r="I218" s="40" t="str">
        <x:v>Then identify bundled and external resource content.</x:v>
      </x:c>
      <x:c r="J218" s="40" t="str">
        <x:v>No</x:v>
      </x:c>
      <x:c r="K218" s="40" t="str">
        <x:v>Integration test</x:v>
      </x:c>
      <x:c r="L218" s="40" t="str">
        <x:v>Not Started</x:v>
      </x:c>
      <x:c r="M218" s="40"/>
    </x:row>
    <x:row r="219">
      <x:c r="A219" s="40" t="str">
        <x:v>VS-10</x:v>
      </x:c>
      <x:c r="B219" s="40" t="n">
        <x:v>10</x:v>
      </x:c>
      <x:c r="C219" s="40" t="str">
        <x:v>Wave 3 — Pathways and Life Administration</x:v>
      </x:c>
      <x:c r="D219" s="40" t="str">
        <x:v>K. Covenant Path</x:v>
      </x:c>
      <x:c r="E219" s="40" t="str">
        <x:v>AC-K-012</x:v>
      </x:c>
      <x:c r="F219" s="40" t="str">
        <x:v>FR-K-012</x:v>
      </x:c>
      <x:c r="G219" s="40" t="str">
        <x:v>Given the applicable Covenant Path preconditions and a valid Local Profile</x:v>
      </x:c>
      <x:c r="H219" s="40" t="str">
        <x:v>When the user performs the relevant action or the relevant system condition occurs</x:v>
      </x:c>
      <x:c r="I219" s="40" t="str">
        <x:v>Then bundled content shall remain available offline.</x:v>
      </x:c>
      <x:c r="J219" s="40" t="str">
        <x:v>Yes</x:v>
      </x:c>
      <x:c r="K219" s="40" t="str">
        <x:v>Domain test</x:v>
      </x:c>
      <x:c r="L219" s="40" t="str">
        <x:v>Not Started</x:v>
      </x:c>
      <x:c r="M219" s="40"/>
    </x:row>
    <x:row r="220">
      <x:c r="A220" s="40" t="str">
        <x:v>VS-10</x:v>
      </x:c>
      <x:c r="B220" s="40" t="n">
        <x:v>10</x:v>
      </x:c>
      <x:c r="C220" s="40" t="str">
        <x:v>Wave 3 — Pathways and Life Administration</x:v>
      </x:c>
      <x:c r="D220" s="40" t="str">
        <x:v>K. Covenant Path</x:v>
      </x:c>
      <x:c r="E220" s="40" t="str">
        <x:v>AC-K-013</x:v>
      </x:c>
      <x:c r="F220" s="40" t="str">
        <x:v>FR-K-013</x:v>
      </x:c>
      <x:c r="G220" s="40" t="str">
        <x:v>Given the applicable Covenant Path preconditions and a valid Local Profile</x:v>
      </x:c>
      <x:c r="H220" s="40" t="str">
        <x:v>When the user performs the relevant action or the relevant system condition occurs</x:v>
      </x:c>
      <x:c r="I220" s="40" t="str">
        <x:v>Then content updates shall preserve user state.</x:v>
      </x:c>
      <x:c r="J220" s="40" t="str">
        <x:v>Yes</x:v>
      </x:c>
      <x:c r="K220" s="40" t="str">
        <x:v>Domain test</x:v>
      </x:c>
      <x:c r="L220" s="40" t="str">
        <x:v>Not Started</x:v>
      </x:c>
      <x:c r="M220" s="40"/>
    </x:row>
    <x:row r="221">
      <x:c r="A221" s="40" t="str">
        <x:v>VS-10</x:v>
      </x:c>
      <x:c r="B221" s="40" t="n">
        <x:v>10</x:v>
      </x:c>
      <x:c r="C221" s="40" t="str">
        <x:v>Wave 3 — Pathways and Life Administration</x:v>
      </x:c>
      <x:c r="D221" s="40" t="str">
        <x:v>K. Covenant Path</x:v>
      </x:c>
      <x:c r="E221" s="40" t="str">
        <x:v>AC-K-014</x:v>
      </x:c>
      <x:c r="F221" s="40" t="str">
        <x:v>FR-K-014</x:v>
      </x:c>
      <x:c r="G221" s="40" t="str">
        <x:v>Given the applicable Covenant Path preconditions and a valid Local Profile</x:v>
      </x:c>
      <x:c r="H221" s="40" t="str">
        <x:v>When the user performs the relevant action or the relevant system condition occurs</x:v>
      </x:c>
      <x:c r="I221" s="40" t="str">
        <x:v>Then not generate spiritual-quality scores.</x:v>
      </x:c>
      <x:c r="J221" s="40" t="str">
        <x:v>Yes</x:v>
      </x:c>
      <x:c r="K221" s="40" t="str">
        <x:v>Manual review</x:v>
      </x:c>
      <x:c r="L221" s="40" t="str">
        <x:v>Not Started</x:v>
      </x:c>
      <x:c r="M221" s="40"/>
    </x:row>
    <x:row r="222">
      <x:c r="A222" s="40" t="str">
        <x:v>VS-10</x:v>
      </x:c>
      <x:c r="B222" s="40" t="n">
        <x:v>10</x:v>
      </x:c>
      <x:c r="C222" s="40" t="str">
        <x:v>Wave 3 — Pathways and Life Administration</x:v>
      </x:c>
      <x:c r="D222" s="40" t="str">
        <x:v>K. Covenant Path</x:v>
      </x:c>
      <x:c r="E222" s="40" t="str">
        <x:v>AC-K-015</x:v>
      </x:c>
      <x:c r="F222" s="40" t="str">
        <x:v>FR-K-015</x:v>
      </x:c>
      <x:c r="G222" s="40" t="str">
        <x:v>Given the applicable Covenant Path preconditions and a valid Local Profile</x:v>
      </x:c>
      <x:c r="H222" s="40" t="str">
        <x:v>When the user performs the relevant action or the relevant system condition occurs</x:v>
      </x:c>
      <x:c r="I222" s="40" t="str">
        <x:v>Then not provide sharing or leader access.</x:v>
      </x:c>
      <x:c r="J222" s="40" t="str">
        <x:v>Yes</x:v>
      </x:c>
      <x:c r="K222" s="40" t="str">
        <x:v>Domain test</x:v>
      </x:c>
      <x:c r="L222" s="40" t="str">
        <x:v>Not Started</x:v>
      </x:c>
      <x:c r="M222" s="40"/>
    </x:row>
    <x:row r="223">
      <x:c r="A223" s="40" t="str">
        <x:v>VS-10</x:v>
      </x:c>
      <x:c r="B223" s="40" t="n">
        <x:v>10</x:v>
      </x:c>
      <x:c r="C223" s="40" t="str">
        <x:v>Wave 3 — Pathways and Life Administration</x:v>
      </x:c>
      <x:c r="D223" s="40" t="str">
        <x:v>K. Covenant Path</x:v>
      </x:c>
      <x:c r="E223" s="40" t="str">
        <x:v>AC-K-016</x:v>
      </x:c>
      <x:c r="F223" s="40" t="str">
        <x:v>FR-K-016</x:v>
      </x:c>
      <x:c r="G223" s="40" t="str">
        <x:v>Given the applicable Covenant Path preconditions and a valid Local Profile</x:v>
      </x:c>
      <x:c r="H223" s="40" t="str">
        <x:v>When the user performs the relevant action or the relevant system condition occurs</x:v>
      </x:c>
      <x:c r="I223" s="40" t="str">
        <x:v>Then not require Church membership verification.</x:v>
      </x:c>
      <x:c r="J223" s="40" t="str">
        <x:v>Yes</x:v>
      </x:c>
      <x:c r="K223" s="40" t="str">
        <x:v>Domain test</x:v>
      </x:c>
      <x:c r="L223" s="40" t="str">
        <x:v>Not Started</x:v>
      </x:c>
      <x:c r="M223" s="40"/>
    </x:row>
    <x:row r="224">
      <x:c r="A224" s="40" t="str">
        <x:v>VS-10</x:v>
      </x:c>
      <x:c r="B224" s="40" t="n">
        <x:v>10</x:v>
      </x:c>
      <x:c r="C224" s="40" t="str">
        <x:v>Wave 3 — Pathways and Life Administration</x:v>
      </x:c>
      <x:c r="D224" s="40" t="str">
        <x:v>K. Covenant Path</x:v>
      </x:c>
      <x:c r="E224" s="40" t="str">
        <x:v>AC-K-017</x:v>
      </x:c>
      <x:c r="F224" s="40" t="str">
        <x:v>FR-K-017</x:v>
      </x:c>
      <x:c r="G224" s="40" t="str">
        <x:v>Given the applicable Covenant Path preconditions and a valid Local Profile</x:v>
      </x:c>
      <x:c r="H224" s="40" t="str">
        <x:v>When the user performs the relevant action or the relevant system condition occurs</x:v>
      </x:c>
      <x:c r="I224" s="40" t="str">
        <x:v>Then not request unrelated permissions.</x:v>
      </x:c>
      <x:c r="J224" s="40" t="str">
        <x:v>Yes</x:v>
      </x:c>
      <x:c r="K224" s="40" t="str">
        <x:v>Widget test</x:v>
      </x:c>
      <x:c r="L224" s="40" t="str">
        <x:v>Not Started</x:v>
      </x:c>
      <x:c r="M224" s="40"/>
    </x:row>
    <x:row r="225">
      <x:c r="A225" s="40" t="str">
        <x:v>VS-10</x:v>
      </x:c>
      <x:c r="B225" s="40" t="n">
        <x:v>10</x:v>
      </x:c>
      <x:c r="C225" s="40" t="str">
        <x:v>Wave 3 — Pathways and Life Administration</x:v>
      </x:c>
      <x:c r="D225" s="40" t="str">
        <x:v>K. Covenant Path</x:v>
      </x:c>
      <x:c r="E225" s="40" t="str">
        <x:v>AC-K-018</x:v>
      </x:c>
      <x:c r="F225" s="40" t="str">
        <x:v>FR-K-018</x:v>
      </x:c>
      <x:c r="G225" s="40" t="str">
        <x:v>Given the applicable Covenant Path preconditions and a valid Local Profile</x:v>
      </x:c>
      <x:c r="H225" s="40" t="str">
        <x:v>When the user performs the relevant action or the relevant system condition occurs</x:v>
      </x:c>
      <x:c r="I225" s="40" t="str">
        <x:v>Then display clear limitations of its role.</x:v>
      </x:c>
      <x:c r="J225" s="40" t="str">
        <x:v>No</x:v>
      </x:c>
      <x:c r="K225" s="40" t="str">
        <x:v>Widget test</x:v>
      </x:c>
      <x:c r="L225" s="40" t="str">
        <x:v>Not Started</x:v>
      </x:c>
      <x:c r="M225" s="40"/>
    </x:row>
    <x:row r="226">
      <x:c r="A226" s="40" t="str">
        <x:v>VS-10</x:v>
      </x:c>
      <x:c r="B226" s="40" t="n">
        <x:v>10</x:v>
      </x:c>
      <x:c r="C226" s="40" t="str">
        <x:v>Wave 3 — Pathways and Life Administration</x:v>
      </x:c>
      <x:c r="D226" s="40" t="str">
        <x:v>K. Covenant Path</x:v>
      </x:c>
      <x:c r="E226" s="40" t="str">
        <x:v>AC-K-019</x:v>
      </x:c>
      <x:c r="F226" s="40" t="str">
        <x:v>FR-K-019</x:v>
      </x:c>
      <x:c r="G226" s="40" t="str">
        <x:v>Given the applicable Covenant Path preconditions and a valid Local Profile</x:v>
      </x:c>
      <x:c r="H226" s="40" t="str">
        <x:v>When the user performs the relevant action or the relevant system condition occurs</x:v>
      </x:c>
      <x:c r="I226" s="40" t="str">
        <x:v>Then use neutral factual language for missed or incomplete activities.</x:v>
      </x:c>
      <x:c r="J226" s="40" t="str">
        <x:v>Yes</x:v>
      </x:c>
      <x:c r="K226" s="40" t="str">
        <x:v>Domain test / Manual review</x:v>
      </x:c>
      <x:c r="L226" s="40" t="str">
        <x:v>Not Started</x:v>
      </x:c>
      <x:c r="M226" s="40"/>
    </x:row>
    <x:row r="227">
      <x:c r="A227" s="40" t="str">
        <x:v>VS-10</x:v>
      </x:c>
      <x:c r="B227" s="40" t="n">
        <x:v>10</x:v>
      </x:c>
      <x:c r="C227" s="40" t="str">
        <x:v>Wave 3 — Pathways and Life Administration</x:v>
      </x:c>
      <x:c r="D227" s="40" t="str">
        <x:v>K. Covenant Path</x:v>
      </x:c>
      <x:c r="E227" s="40" t="str">
        <x:v>AC-K-020</x:v>
      </x:c>
      <x:c r="F227" s="40" t="str">
        <x:v>FR-K-020</x:v>
      </x:c>
      <x:c r="G227" s="40" t="str">
        <x:v>Given the applicable Covenant Path preconditions and a valid Local Profile</x:v>
      </x:c>
      <x:c r="H227" s="40" t="str">
        <x:v>When the user performs the relevant action or the relevant system condition occurs</x:v>
      </x:c>
      <x:c r="I227" s="40" t="str">
        <x:v>Then the feature shall function without an account.</x:v>
      </x:c>
      <x:c r="J227" s="40" t="str">
        <x:v>Yes</x:v>
      </x:c>
      <x:c r="K227" s="40" t="str">
        <x:v>Domain test</x:v>
      </x:c>
      <x:c r="L227" s="40" t="str">
        <x:v>Not Started</x:v>
      </x:c>
      <x:c r="M227" s="40"/>
    </x:row>
    <x:row r="228">
      <x:c r="A228" s="40" t="str">
        <x:v>VS-11</x:v>
      </x:c>
      <x:c r="B228" s="40" t="n">
        <x:v>11</x:v>
      </x:c>
      <x:c r="C228" s="40" t="str">
        <x:v>Wave 3 — Pathways and Life Administration</x:v>
      </x:c>
      <x:c r="D228" s="40" t="str">
        <x:v>L. Contacts and Follow-Ups</x:v>
      </x:c>
      <x:c r="E228" s="40" t="str">
        <x:v>AC-L-001</x:v>
      </x:c>
      <x:c r="F228" s="40" t="str">
        <x:v>FR-L-001</x:v>
      </x:c>
      <x:c r="G228" s="40" t="str">
        <x:v>Given the applicable Contacts and Follow-Ups preconditions and a valid Local Profile</x:v>
      </x:c>
      <x:c r="H228" s="40" t="str">
        <x:v>When the user performs the relevant action or the relevant system condition occurs</x:v>
      </x:c>
      <x:c r="I228" s="40" t="str">
        <x:v>Then be able to create and edit contacts manually.</x:v>
      </x:c>
      <x:c r="J228" s="40" t="str">
        <x:v>Yes</x:v>
      </x:c>
      <x:c r="K228" s="40" t="str">
        <x:v>Widget test</x:v>
      </x:c>
      <x:c r="L228" s="40" t="str">
        <x:v>Not Started</x:v>
      </x:c>
      <x:c r="M228" s="40"/>
    </x:row>
    <x:row r="229">
      <x:c r="A229" s="40" t="str">
        <x:v>VS-11</x:v>
      </x:c>
      <x:c r="B229" s="40" t="n">
        <x:v>11</x:v>
      </x:c>
      <x:c r="C229" s="40" t="str">
        <x:v>Wave 3 — Pathways and Life Administration</x:v>
      </x:c>
      <x:c r="D229" s="40" t="str">
        <x:v>L. Contacts and Follow-Ups</x:v>
      </x:c>
      <x:c r="E229" s="40" t="str">
        <x:v>AC-L-002</x:v>
      </x:c>
      <x:c r="F229" s="40" t="str">
        <x:v>FR-L-002</x:v>
      </x:c>
      <x:c r="G229" s="40" t="str">
        <x:v>Given the applicable Contacts and Follow-Ups preconditions and a valid Local Profile</x:v>
      </x:c>
      <x:c r="H229" s="40" t="str">
        <x:v>When the user performs the relevant action or the relevant system condition occurs</x:v>
      </x:c>
      <x:c r="I229" s="40" t="str">
        <x:v>Then be able to search contacts.</x:v>
      </x:c>
      <x:c r="J229" s="40" t="str">
        <x:v>Yes</x:v>
      </x:c>
      <x:c r="K229" s="40" t="str">
        <x:v>Widget test</x:v>
      </x:c>
      <x:c r="L229" s="40" t="str">
        <x:v>Not Started</x:v>
      </x:c>
      <x:c r="M229" s="40"/>
    </x:row>
    <x:row r="230">
      <x:c r="A230" s="40" t="str">
        <x:v>VS-11</x:v>
      </x:c>
      <x:c r="B230" s="40" t="n">
        <x:v>11</x:v>
      </x:c>
      <x:c r="C230" s="40" t="str">
        <x:v>Wave 3 — Pathways and Life Administration</x:v>
      </x:c>
      <x:c r="D230" s="40" t="str">
        <x:v>L. Contacts and Follow-Ups</x:v>
      </x:c>
      <x:c r="E230" s="40" t="str">
        <x:v>AC-L-003</x:v>
      </x:c>
      <x:c r="F230" s="40" t="str">
        <x:v>FR-L-003</x:v>
      </x:c>
      <x:c r="G230" s="40" t="str">
        <x:v>Given the applicable Contacts and Follow-Ups preconditions and a valid Local Profile</x:v>
      </x:c>
      <x:c r="H230" s="40" t="str">
        <x:v>When the user performs the relevant action or the relevant system condition occurs</x:v>
      </x:c>
      <x:c r="I230" s="40" t="str">
        <x:v>Then be able to assign tags and favorites.</x:v>
      </x:c>
      <x:c r="J230" s="40" t="str">
        <x:v>Yes</x:v>
      </x:c>
      <x:c r="K230" s="40" t="str">
        <x:v>Widget test</x:v>
      </x:c>
      <x:c r="L230" s="40" t="str">
        <x:v>Not Started</x:v>
      </x:c>
      <x:c r="M230" s="40"/>
    </x:row>
    <x:row r="231">
      <x:c r="A231" s="40" t="str">
        <x:v>VS-11</x:v>
      </x:c>
      <x:c r="B231" s="40" t="n">
        <x:v>11</x:v>
      </x:c>
      <x:c r="C231" s="40" t="str">
        <x:v>Wave 3 — Pathways and Life Administration</x:v>
      </x:c>
      <x:c r="D231" s="40" t="str">
        <x:v>L. Contacts and Follow-Ups</x:v>
      </x:c>
      <x:c r="E231" s="40" t="str">
        <x:v>AC-L-004</x:v>
      </x:c>
      <x:c r="F231" s="40" t="str">
        <x:v>FR-L-004</x:v>
      </x:c>
      <x:c r="G231" s="40" t="str">
        <x:v>Given the applicable Contacts and Follow-Ups preconditions and a valid Local Profile</x:v>
      </x:c>
      <x:c r="H231" s="40" t="str">
        <x:v>When the user performs the relevant action or the relevant system condition occurs</x:v>
      </x:c>
      <x:c r="I231" s="40" t="str">
        <x:v>Then be able to archive and restore contacts.</x:v>
      </x:c>
      <x:c r="J231" s="40" t="str">
        <x:v>Yes</x:v>
      </x:c>
      <x:c r="K231" s="40" t="str">
        <x:v>Database test / Widget test</x:v>
      </x:c>
      <x:c r="L231" s="40" t="str">
        <x:v>Not Started</x:v>
      </x:c>
      <x:c r="M231" s="40"/>
    </x:row>
    <x:row r="232">
      <x:c r="A232" s="40" t="str">
        <x:v>VS-11</x:v>
      </x:c>
      <x:c r="B232" s="40" t="n">
        <x:v>11</x:v>
      </x:c>
      <x:c r="C232" s="40" t="str">
        <x:v>Wave 3 — Pathways and Life Administration</x:v>
      </x:c>
      <x:c r="D232" s="40" t="str">
        <x:v>L. Contacts and Follow-Ups</x:v>
      </x:c>
      <x:c r="E232" s="40" t="str">
        <x:v>AC-L-005</x:v>
      </x:c>
      <x:c r="F232" s="40" t="str">
        <x:v>FR-L-005</x:v>
      </x:c>
      <x:c r="G232" s="40" t="str">
        <x:v>Given the applicable Contacts and Follow-Ups preconditions and a valid Local Profile</x:v>
      </x:c>
      <x:c r="H232" s="40" t="str">
        <x:v>When the user performs the relevant action or the relevant system condition occurs</x:v>
      </x:c>
      <x:c r="I232" s="40" t="str">
        <x:v>Then be able to create follow-up Tasks and Calendar Events.</x:v>
      </x:c>
      <x:c r="J232" s="40" t="str">
        <x:v>Yes</x:v>
      </x:c>
      <x:c r="K232" s="40" t="str">
        <x:v>Widget test / Integration test</x:v>
      </x:c>
      <x:c r="L232" s="40" t="str">
        <x:v>Not Started</x:v>
      </x:c>
      <x:c r="M232" s="40"/>
    </x:row>
    <x:row r="233">
      <x:c r="A233" s="40" t="str">
        <x:v>VS-11</x:v>
      </x:c>
      <x:c r="B233" s="40" t="n">
        <x:v>11</x:v>
      </x:c>
      <x:c r="C233" s="40" t="str">
        <x:v>Wave 3 — Pathways and Life Administration</x:v>
      </x:c>
      <x:c r="D233" s="40" t="str">
        <x:v>L. Contacts and Follow-Ups</x:v>
      </x:c>
      <x:c r="E233" s="40" t="str">
        <x:v>AC-L-006</x:v>
      </x:c>
      <x:c r="F233" s="40" t="str">
        <x:v>FR-L-006</x:v>
      </x:c>
      <x:c r="G233" s="40" t="str">
        <x:v>Given the applicable Contacts and Follow-Ups preconditions and a valid Local Profile</x:v>
      </x:c>
      <x:c r="H233" s="40" t="str">
        <x:v>When the user performs the relevant action or the relevant system condition occurs</x:v>
      </x:c>
      <x:c r="I233" s="40" t="str">
        <x:v>Then keep follow-ups separate from Contact records.</x:v>
      </x:c>
      <x:c r="J233" s="40" t="str">
        <x:v>Yes</x:v>
      </x:c>
      <x:c r="K233" s="40" t="str">
        <x:v>Domain test</x:v>
      </x:c>
      <x:c r="L233" s="40" t="str">
        <x:v>Not Started</x:v>
      </x:c>
      <x:c r="M233" s="40"/>
    </x:row>
    <x:row r="234">
      <x:c r="A234" s="40" t="str">
        <x:v>VS-11</x:v>
      </x:c>
      <x:c r="B234" s="40" t="n">
        <x:v>11</x:v>
      </x:c>
      <x:c r="C234" s="40" t="str">
        <x:v>Wave 3 — Pathways and Life Administration</x:v>
      </x:c>
      <x:c r="D234" s="40" t="str">
        <x:v>L. Contacts and Follow-Ups</x:v>
      </x:c>
      <x:c r="E234" s="40" t="str">
        <x:v>AC-L-007</x:v>
      </x:c>
      <x:c r="F234" s="40" t="str">
        <x:v>FR-L-007</x:v>
      </x:c>
      <x:c r="G234" s="40" t="str">
        <x:v>Given the applicable Contacts and Follow-Ups preconditions and a valid Local Profile</x:v>
      </x:c>
      <x:c r="H234" s="40" t="str">
        <x:v>When the user performs the relevant action or the relevant system condition occurs</x:v>
      </x:c>
      <x:c r="I234" s="40" t="str">
        <x:v>Then be able to confirm meaningful interactions through a structured report.</x:v>
      </x:c>
      <x:c r="J234" s="40" t="str">
        <x:v>Yes</x:v>
      </x:c>
      <x:c r="K234" s="40" t="str">
        <x:v>Widget test</x:v>
      </x:c>
      <x:c r="L234" s="40" t="str">
        <x:v>Not Started</x:v>
      </x:c>
      <x:c r="M234" s="40"/>
    </x:row>
    <x:row r="235">
      <x:c r="A235" s="40" t="str">
        <x:v>VS-11</x:v>
      </x:c>
      <x:c r="B235" s="40" t="n">
        <x:v>11</x:v>
      </x:c>
      <x:c r="C235" s="40" t="str">
        <x:v>Wave 3 — Pathways and Life Administration</x:v>
      </x:c>
      <x:c r="D235" s="40" t="str">
        <x:v>L. Contacts and Follow-Ups</x:v>
      </x:c>
      <x:c r="E235" s="40" t="str">
        <x:v>AC-L-008</x:v>
      </x:c>
      <x:c r="F235" s="40" t="str">
        <x:v>FR-L-008</x:v>
      </x:c>
      <x:c r="G235" s="40" t="str">
        <x:v>Given the applicable Contacts and Follow-Ups preconditions and a valid Local Profile</x:v>
      </x:c>
      <x:c r="H235" s="40" t="str">
        <x:v>When the user performs the relevant action or the relevant system condition occurs</x:v>
      </x:c>
      <x:c r="I235" s="40" t="str">
        <x:v>Then meaningful Connections Actual shall derive from Activity Ledger entries.</x:v>
      </x:c>
      <x:c r="J235" s="40" t="str">
        <x:v>Yes</x:v>
      </x:c>
      <x:c r="K235" s="40" t="str">
        <x:v>Domain test / Database test</x:v>
      </x:c>
      <x:c r="L235" s="40" t="str">
        <x:v>Not Started</x:v>
      </x:c>
      <x:c r="M235" s="40"/>
    </x:row>
    <x:row r="236">
      <x:c r="A236" s="40" t="str">
        <x:v>VS-11</x:v>
      </x:c>
      <x:c r="B236" s="40" t="n">
        <x:v>11</x:v>
      </x:c>
      <x:c r="C236" s="40" t="str">
        <x:v>Wave 3 — Pathways and Life Administration</x:v>
      </x:c>
      <x:c r="D236" s="40" t="str">
        <x:v>L. Contacts and Follow-Ups</x:v>
      </x:c>
      <x:c r="E236" s="40" t="str">
        <x:v>AC-L-009</x:v>
      </x:c>
      <x:c r="F236" s="40" t="str">
        <x:v>FR-L-009</x:v>
      </x:c>
      <x:c r="G236" s="40" t="str">
        <x:v>Given the applicable Contacts and Follow-Ups preconditions and a valid Local Profile</x:v>
      </x:c>
      <x:c r="H236" s="40" t="str">
        <x:v>When the user performs the relevant action or the relevant system condition occurs</x:v>
      </x:c>
      <x:c r="I236" s="40" t="str">
        <x:v>Then planned interactions shall remain Scheduled Potential.</x:v>
      </x:c>
      <x:c r="J236" s="40" t="str">
        <x:v>No</x:v>
      </x:c>
      <x:c r="K236" s="40" t="str">
        <x:v>Domain test</x:v>
      </x:c>
      <x:c r="L236" s="40" t="str">
        <x:v>Not Started</x:v>
      </x:c>
      <x:c r="M236" s="40"/>
    </x:row>
    <x:row r="237">
      <x:c r="A237" s="40" t="str">
        <x:v>VS-11</x:v>
      </x:c>
      <x:c r="B237" s="40" t="n">
        <x:v>11</x:v>
      </x:c>
      <x:c r="C237" s="40" t="str">
        <x:v>Wave 3 — Pathways and Life Administration</x:v>
      </x:c>
      <x:c r="D237" s="40" t="str">
        <x:v>L. Contacts and Follow-Ups</x:v>
      </x:c>
      <x:c r="E237" s="40" t="str">
        <x:v>AC-L-010</x:v>
      </x:c>
      <x:c r="F237" s="40" t="str">
        <x:v>FR-L-010</x:v>
      </x:c>
      <x:c r="G237" s="40" t="str">
        <x:v>Given the applicable Contacts and Follow-Ups preconditions and a valid Local Profile</x:v>
      </x:c>
      <x:c r="H237" s="40" t="str">
        <x:v>When the user performs the relevant action or the relevant system condition occurs</x:v>
      </x:c>
      <x:c r="I237" s="40" t="str">
        <x:v>Then prevent duplicate interaction contributions.</x:v>
      </x:c>
      <x:c r="J237" s="40" t="str">
        <x:v>Yes</x:v>
      </x:c>
      <x:c r="K237" s="40" t="str">
        <x:v>Domain test</x:v>
      </x:c>
      <x:c r="L237" s="40" t="str">
        <x:v>Not Started</x:v>
      </x:c>
      <x:c r="M237" s="40"/>
    </x:row>
    <x:row r="238">
      <x:c r="A238" s="40" t="str">
        <x:v>VS-11</x:v>
      </x:c>
      <x:c r="B238" s="40" t="n">
        <x:v>11</x:v>
      </x:c>
      <x:c r="C238" s="40" t="str">
        <x:v>Wave 3 — Pathways and Life Administration</x:v>
      </x:c>
      <x:c r="D238" s="40" t="str">
        <x:v>L. Contacts and Follow-Ups</x:v>
      </x:c>
      <x:c r="E238" s="40" t="str">
        <x:v>AC-L-011</x:v>
      </x:c>
      <x:c r="F238" s="40" t="str">
        <x:v>FR-L-011</x:v>
      </x:c>
      <x:c r="G238" s="40" t="str">
        <x:v>Given the applicable Contacts and Follow-Ups preconditions and a valid Local Profile</x:v>
      </x:c>
      <x:c r="H238" s="40" t="str">
        <x:v>When the user performs the relevant action or the relevant system condition occurs</x:v>
      </x:c>
      <x:c r="I238" s="40" t="str">
        <x:v>Then not infer meaningfulness from titles, call logs, or messages.</x:v>
      </x:c>
      <x:c r="J238" s="40" t="str">
        <x:v>Yes</x:v>
      </x:c>
      <x:c r="K238" s="40" t="str">
        <x:v>Domain test</x:v>
      </x:c>
      <x:c r="L238" s="40" t="str">
        <x:v>Not Started</x:v>
      </x:c>
      <x:c r="M238" s="40"/>
    </x:row>
    <x:row r="239">
      <x:c r="A239" s="40" t="str">
        <x:v>VS-11</x:v>
      </x:c>
      <x:c r="B239" s="40" t="n">
        <x:v>11</x:v>
      </x:c>
      <x:c r="C239" s="40" t="str">
        <x:v>Wave 3 — Pathways and Life Administration</x:v>
      </x:c>
      <x:c r="D239" s="40" t="str">
        <x:v>L. Contacts and Follow-Ups</x:v>
      </x:c>
      <x:c r="E239" s="40" t="str">
        <x:v>AC-L-012</x:v>
      </x:c>
      <x:c r="F239" s="40" t="str">
        <x:v>FR-L-012</x:v>
      </x:c>
      <x:c r="G239" s="40" t="str">
        <x:v>Given the applicable Contacts and Follow-Ups preconditions and a valid Local Profile</x:v>
      </x:c>
      <x:c r="H239" s="40" t="str">
        <x:v>When the user performs the relevant action or the relevant system condition occurs</x:v>
      </x:c>
      <x:c r="I239" s="40" t="str">
        <x:v>Then be able to import selected device contacts.</x:v>
      </x:c>
      <x:c r="J239" s="40" t="str">
        <x:v>No</x:v>
      </x:c>
      <x:c r="K239" s="40" t="str">
        <x:v>Widget test / Integration test</x:v>
      </x:c>
      <x:c r="L239" s="40" t="str">
        <x:v>Not Started</x:v>
      </x:c>
      <x:c r="M239" s="40"/>
    </x:row>
    <x:row r="240">
      <x:c r="A240" s="40" t="str">
        <x:v>VS-11</x:v>
      </x:c>
      <x:c r="B240" s="40" t="n">
        <x:v>11</x:v>
      </x:c>
      <x:c r="C240" s="40" t="str">
        <x:v>Wave 3 — Pathways and Life Administration</x:v>
      </x:c>
      <x:c r="D240" s="40" t="str">
        <x:v>L. Contacts and Follow-Ups</x:v>
      </x:c>
      <x:c r="E240" s="40" t="str">
        <x:v>AC-L-013</x:v>
      </x:c>
      <x:c r="F240" s="40" t="str">
        <x:v>FR-L-013</x:v>
      </x:c>
      <x:c r="G240" s="40" t="str">
        <x:v>Given the applicable Contacts and Follow-Ups preconditions and a valid Local Profile</x:v>
      </x:c>
      <x:c r="H240" s="40" t="str">
        <x:v>When the user performs the relevant action or the relevant system condition occurs</x:v>
      </x:c>
      <x:c r="I240" s="40" t="str">
        <x:v>Then import shall remain optional.</x:v>
      </x:c>
      <x:c r="J240" s="40" t="str">
        <x:v>Yes</x:v>
      </x:c>
      <x:c r="K240" s="40" t="str">
        <x:v>Integration test</x:v>
      </x:c>
      <x:c r="L240" s="40" t="str">
        <x:v>Not Started</x:v>
      </x:c>
      <x:c r="M240" s="40"/>
    </x:row>
    <x:row r="241">
      <x:c r="A241" s="40" t="str">
        <x:v>VS-11</x:v>
      </x:c>
      <x:c r="B241" s="40" t="n">
        <x:v>11</x:v>
      </x:c>
      <x:c r="C241" s="40" t="str">
        <x:v>Wave 3 — Pathways and Life Administration</x:v>
      </x:c>
      <x:c r="D241" s="40" t="str">
        <x:v>L. Contacts and Follow-Ups</x:v>
      </x:c>
      <x:c r="E241" s="40" t="str">
        <x:v>AC-L-014</x:v>
      </x:c>
      <x:c r="F241" s="40" t="str">
        <x:v>FR-L-014</x:v>
      </x:c>
      <x:c r="G241" s="40" t="str">
        <x:v>Given the applicable Contacts and Follow-Ups preconditions and a valid Local Profile</x:v>
      </x:c>
      <x:c r="H241" s="40" t="str">
        <x:v>When the user performs the relevant action or the relevant system condition occurs</x:v>
      </x:c>
      <x:c r="I241" s="40" t="str">
        <x:v>Then not require call-log or message-reading permission.</x:v>
      </x:c>
      <x:c r="J241" s="40" t="str">
        <x:v>Yes</x:v>
      </x:c>
      <x:c r="K241" s="40" t="str">
        <x:v>Widget test</x:v>
      </x:c>
      <x:c r="L241" s="40" t="str">
        <x:v>Not Started</x:v>
      </x:c>
      <x:c r="M241" s="40"/>
    </x:row>
    <x:row r="242">
      <x:c r="A242" s="40" t="str">
        <x:v>VS-11</x:v>
      </x:c>
      <x:c r="B242" s="40" t="n">
        <x:v>11</x:v>
      </x:c>
      <x:c r="C242" s="40" t="str">
        <x:v>Wave 3 — Pathways and Life Administration</x:v>
      </x:c>
      <x:c r="D242" s="40" t="str">
        <x:v>L. Contacts and Follow-Ups</x:v>
      </x:c>
      <x:c r="E242" s="40" t="str">
        <x:v>AC-L-015</x:v>
      </x:c>
      <x:c r="F242" s="40" t="str">
        <x:v>FR-L-015</x:v>
      </x:c>
      <x:c r="G242" s="40" t="str">
        <x:v>Given the applicable Contacts and Follow-Ups preconditions and a valid Local Profile</x:v>
      </x:c>
      <x:c r="H242" s="40" t="str">
        <x:v>When the user performs the relevant action or the relevant system condition occurs</x:v>
      </x:c>
      <x:c r="I242" s="40" t="str">
        <x:v>Then be able to open supported external communication actions.</x:v>
      </x:c>
      <x:c r="J242" s="40" t="str">
        <x:v>No</x:v>
      </x:c>
      <x:c r="K242" s="40" t="str">
        <x:v>Widget test / Integration test</x:v>
      </x:c>
      <x:c r="L242" s="40" t="str">
        <x:v>Not Started</x:v>
      </x:c>
      <x:c r="M242" s="40"/>
    </x:row>
    <x:row r="243">
      <x:c r="A243" s="40" t="str">
        <x:v>VS-11</x:v>
      </x:c>
      <x:c r="B243" s="40" t="n">
        <x:v>11</x:v>
      </x:c>
      <x:c r="C243" s="40" t="str">
        <x:v>Wave 3 — Pathways and Life Administration</x:v>
      </x:c>
      <x:c r="D243" s="40" t="str">
        <x:v>L. Contacts and Follow-Ups</x:v>
      </x:c>
      <x:c r="E243" s="40" t="str">
        <x:v>AC-L-016</x:v>
      </x:c>
      <x:c r="F243" s="40" t="str">
        <x:v>FR-L-016</x:v>
      </x:c>
      <x:c r="G243" s="40" t="str">
        <x:v>Given the applicable Contacts and Follow-Ups preconditions and a valid Local Profile</x:v>
      </x:c>
      <x:c r="H243" s="40" t="str">
        <x:v>When the user performs the relevant action or the relevant system condition occurs</x:v>
      </x:c>
      <x:c r="I243" s="40" t="str">
        <x:v>Then returning from an external action shall not create Actual automatically.</x:v>
      </x:c>
      <x:c r="J243" s="40" t="str">
        <x:v>Yes</x:v>
      </x:c>
      <x:c r="K243" s="40" t="str">
        <x:v>Domain test / Integration test</x:v>
      </x:c>
      <x:c r="L243" s="40" t="str">
        <x:v>Not Started</x:v>
      </x:c>
      <x:c r="M243" s="40"/>
    </x:row>
    <x:row r="244">
      <x:c r="A244" s="40" t="str">
        <x:v>VS-11</x:v>
      </x:c>
      <x:c r="B244" s="40" t="n">
        <x:v>11</x:v>
      </x:c>
      <x:c r="C244" s="40" t="str">
        <x:v>Wave 3 — Pathways and Life Administration</x:v>
      </x:c>
      <x:c r="D244" s="40" t="str">
        <x:v>L. Contacts and Follow-Ups</x:v>
      </x:c>
      <x:c r="E244" s="40" t="str">
        <x:v>AC-L-017</x:v>
      </x:c>
      <x:c r="F244" s="40" t="str">
        <x:v>FR-L-017</x:v>
      </x:c>
      <x:c r="G244" s="40" t="str">
        <x:v>Given the applicable Contacts and Follow-Ups preconditions and a valid Local Profile</x:v>
      </x:c>
      <x:c r="H244" s="40" t="str">
        <x:v>When the user performs the relevant action or the relevant system condition occurs</x:v>
      </x:c>
      <x:c r="I244" s="40" t="str">
        <x:v>Then preserve contact history through archive and merge operations.</x:v>
      </x:c>
      <x:c r="J244" s="40" t="str">
        <x:v>Yes</x:v>
      </x:c>
      <x:c r="K244" s="40" t="str">
        <x:v>Domain test</x:v>
      </x:c>
      <x:c r="L244" s="40" t="str">
        <x:v>Not Started</x:v>
      </x:c>
      <x:c r="M244" s="40"/>
    </x:row>
    <x:row r="245">
      <x:c r="A245" s="40" t="str">
        <x:v>VS-11</x:v>
      </x:c>
      <x:c r="B245" s="40" t="n">
        <x:v>11</x:v>
      </x:c>
      <x:c r="C245" s="40" t="str">
        <x:v>Wave 3 — Pathways and Life Administration</x:v>
      </x:c>
      <x:c r="D245" s="40" t="str">
        <x:v>L. Contacts and Follow-Ups</x:v>
      </x:c>
      <x:c r="E245" s="40" t="str">
        <x:v>AC-L-018</x:v>
      </x:c>
      <x:c r="F245" s="40" t="str">
        <x:v>FR-L-018</x:v>
      </x:c>
      <x:c r="G245" s="40" t="str">
        <x:v>Given the applicable Contacts and Follow-Ups preconditions and a valid Local Profile</x:v>
      </x:c>
      <x:c r="H245" s="40" t="str">
        <x:v>When the user performs the relevant action or the relevant system condition occurs</x:v>
      </x:c>
      <x:c r="I245" s="40" t="str">
        <x:v>Then operate offline.</x:v>
      </x:c>
      <x:c r="J245" s="40" t="str">
        <x:v>Yes</x:v>
      </x:c>
      <x:c r="K245" s="40" t="str">
        <x:v>Domain test</x:v>
      </x:c>
      <x:c r="L245" s="40" t="str">
        <x:v>Not Started</x:v>
      </x:c>
      <x:c r="M245" s="40"/>
    </x:row>
    <x:row r="246">
      <x:c r="A246" s="40" t="str">
        <x:v>VS-11</x:v>
      </x:c>
      <x:c r="B246" s="40" t="n">
        <x:v>11</x:v>
      </x:c>
      <x:c r="C246" s="40" t="str">
        <x:v>Wave 3 — Pathways and Life Administration</x:v>
      </x:c>
      <x:c r="D246" s="40" t="str">
        <x:v>L. Contacts and Follow-Ups</x:v>
      </x:c>
      <x:c r="E246" s="40" t="str">
        <x:v>AC-L-019</x:v>
      </x:c>
      <x:c r="F246" s="40" t="str">
        <x:v>FR-L-019</x:v>
      </x:c>
      <x:c r="G246" s="40" t="str">
        <x:v>Given the applicable Contacts and Follow-Ups preconditions and a valid Local Profile</x:v>
      </x:c>
      <x:c r="H246" s="40" t="str">
        <x:v>When the user performs the relevant action or the relevant system condition occurs</x:v>
      </x:c>
      <x:c r="I246" s="40" t="str">
        <x:v>Then provide interaction contribution history.</x:v>
      </x:c>
      <x:c r="J246" s="40" t="str">
        <x:v>No</x:v>
      </x:c>
      <x:c r="K246" s="40" t="str">
        <x:v>Domain test</x:v>
      </x:c>
      <x:c r="L246" s="40" t="str">
        <x:v>Not Started</x:v>
      </x:c>
      <x:c r="M246" s="40"/>
    </x:row>
    <x:row r="247">
      <x:c r="A247" s="40" t="str">
        <x:v>VS-11</x:v>
      </x:c>
      <x:c r="B247" s="40" t="n">
        <x:v>11</x:v>
      </x:c>
      <x:c r="C247" s="40" t="str">
        <x:v>Wave 3 — Pathways and Life Administration</x:v>
      </x:c>
      <x:c r="D247" s="40" t="str">
        <x:v>L. Contacts and Follow-Ups</x:v>
      </x:c>
      <x:c r="E247" s="40" t="str">
        <x:v>AC-L-020</x:v>
      </x:c>
      <x:c r="F247" s="40" t="str">
        <x:v>FR-L-020</x:v>
      </x:c>
      <x:c r="G247" s="40" t="str">
        <x:v>Given the applicable Contacts and Follow-Ups preconditions and a valid Local Profile</x:v>
      </x:c>
      <x:c r="H247" s="40" t="str">
        <x:v>When the user performs the relevant action or the relevant system condition occurs</x:v>
      </x:c>
      <x:c r="I247" s="40" t="str">
        <x:v>Then not provide shared directories.</x:v>
      </x:c>
      <x:c r="J247" s="40" t="str">
        <x:v>Yes</x:v>
      </x:c>
      <x:c r="K247" s="40" t="str">
        <x:v>Domain test</x:v>
      </x:c>
      <x:c r="L247" s="40" t="str">
        <x:v>Not Started</x:v>
      </x:c>
      <x:c r="M247" s="40"/>
    </x:row>
    <x:row r="248">
      <x:c r="A248" s="40" t="str">
        <x:v>VS-12</x:v>
      </x:c>
      <x:c r="B248" s="40" t="n">
        <x:v>12</x:v>
      </x:c>
      <x:c r="C248" s="40" t="str">
        <x:v>Wave 3 — Pathways and Life Administration</x:v>
      </x:c>
      <x:c r="D248" s="40" t="str">
        <x:v>M. Employment Applications</x:v>
      </x:c>
      <x:c r="E248" s="40" t="str">
        <x:v>AC-M-001</x:v>
      </x:c>
      <x:c r="F248" s="40" t="str">
        <x:v>FR-M-001</x:v>
      </x:c>
      <x:c r="G248" s="40" t="str">
        <x:v>Given the applicable Employment Applications preconditions and a valid Local Profile</x:v>
      </x:c>
      <x:c r="H248" s="40" t="str">
        <x:v>When the user performs the relevant action or the relevant system condition occurs</x:v>
      </x:c>
      <x:c r="I248" s="40" t="str">
        <x:v>Then be able to create an Employment Application record.</x:v>
      </x:c>
      <x:c r="J248" s="40" t="str">
        <x:v>Yes</x:v>
      </x:c>
      <x:c r="K248" s="40" t="str">
        <x:v>Widget test</x:v>
      </x:c>
      <x:c r="L248" s="40" t="str">
        <x:v>Not Started</x:v>
      </x:c>
      <x:c r="M248" s="40"/>
    </x:row>
    <x:row r="249">
      <x:c r="A249" s="40" t="str">
        <x:v>VS-12</x:v>
      </x:c>
      <x:c r="B249" s="40" t="n">
        <x:v>12</x:v>
      </x:c>
      <x:c r="C249" s="40" t="str">
        <x:v>Wave 3 — Pathways and Life Administration</x:v>
      </x:c>
      <x:c r="D249" s="40" t="str">
        <x:v>M. Employment Applications</x:v>
      </x:c>
      <x:c r="E249" s="40" t="str">
        <x:v>AC-M-002</x:v>
      </x:c>
      <x:c r="F249" s="40" t="str">
        <x:v>FR-M-002</x:v>
      </x:c>
      <x:c r="G249" s="40" t="str">
        <x:v>Given the applicable Employment Applications preconditions and a valid Local Profile</x:v>
      </x:c>
      <x:c r="H249" s="40" t="str">
        <x:v>When the user performs the relevant action or the relevant system condition occurs</x:v>
      </x:c>
      <x:c r="I249" s="40" t="str">
        <x:v>Then support a structured stage.</x:v>
      </x:c>
      <x:c r="J249" s="40" t="str">
        <x:v>Yes</x:v>
      </x:c>
      <x:c r="K249" s="40" t="str">
        <x:v>Domain test</x:v>
      </x:c>
      <x:c r="L249" s="40" t="str">
        <x:v>Not Started</x:v>
      </x:c>
      <x:c r="M249" s="40"/>
    </x:row>
    <x:row r="250">
      <x:c r="A250" s="40" t="str">
        <x:v>VS-12</x:v>
      </x:c>
      <x:c r="B250" s="40" t="n">
        <x:v>12</x:v>
      </x:c>
      <x:c r="C250" s="40" t="str">
        <x:v>Wave 3 — Pathways and Life Administration</x:v>
      </x:c>
      <x:c r="D250" s="40" t="str">
        <x:v>M. Employment Applications</x:v>
      </x:c>
      <x:c r="E250" s="40" t="str">
        <x:v>AC-M-003</x:v>
      </x:c>
      <x:c r="F250" s="40" t="str">
        <x:v>FR-M-003</x:v>
      </x:c>
      <x:c r="G250" s="40" t="str">
        <x:v>Given the applicable Employment Applications preconditions and a valid Local Profile</x:v>
      </x:c>
      <x:c r="H250" s="40" t="str">
        <x:v>When the user performs the relevant action or the relevant system condition occurs</x:v>
      </x:c>
      <x:c r="I250" s="40" t="str">
        <x:v>Then retain stage history.</x:v>
      </x:c>
      <x:c r="J250" s="40" t="str">
        <x:v>Yes</x:v>
      </x:c>
      <x:c r="K250" s="40" t="str">
        <x:v>Domain test</x:v>
      </x:c>
      <x:c r="L250" s="40" t="str">
        <x:v>Not Started</x:v>
      </x:c>
      <x:c r="M250" s="40"/>
    </x:row>
    <x:row r="251">
      <x:c r="A251" s="40" t="str">
        <x:v>VS-12</x:v>
      </x:c>
      <x:c r="B251" s="40" t="n">
        <x:v>12</x:v>
      </x:c>
      <x:c r="C251" s="40" t="str">
        <x:v>Wave 3 — Pathways and Life Administration</x:v>
      </x:c>
      <x:c r="D251" s="40" t="str">
        <x:v>M. Employment Applications</x:v>
      </x:c>
      <x:c r="E251" s="40" t="str">
        <x:v>AC-M-004</x:v>
      </x:c>
      <x:c r="F251" s="40" t="str">
        <x:v>FR-M-004</x:v>
      </x:c>
      <x:c r="G251" s="40" t="str">
        <x:v>Given the applicable Employment Applications preconditions and a valid Local Profile</x:v>
      </x:c>
      <x:c r="H251" s="40" t="str">
        <x:v>When the user performs the relevant action or the relevant system condition occurs</x:v>
      </x:c>
      <x:c r="I251" s="40" t="str">
        <x:v>Then be able to record application and deadline dates.</x:v>
      </x:c>
      <x:c r="J251" s="40" t="str">
        <x:v>Yes</x:v>
      </x:c>
      <x:c r="K251" s="40" t="str">
        <x:v>Widget test</x:v>
      </x:c>
      <x:c r="L251" s="40" t="str">
        <x:v>Not Started</x:v>
      </x:c>
      <x:c r="M251" s="40"/>
    </x:row>
    <x:row r="252">
      <x:c r="A252" s="40" t="str">
        <x:v>VS-12</x:v>
      </x:c>
      <x:c r="B252" s="40" t="n">
        <x:v>12</x:v>
      </x:c>
      <x:c r="C252" s="40" t="str">
        <x:v>Wave 3 — Pathways and Life Administration</x:v>
      </x:c>
      <x:c r="D252" s="40" t="str">
        <x:v>M. Employment Applications</x:v>
      </x:c>
      <x:c r="E252" s="40" t="str">
        <x:v>AC-M-005</x:v>
      </x:c>
      <x:c r="F252" s="40" t="str">
        <x:v>FR-M-005</x:v>
      </x:c>
      <x:c r="G252" s="40" t="str">
        <x:v>Given the applicable Employment Applications preconditions and a valid Local Profile</x:v>
      </x:c>
      <x:c r="H252" s="40" t="str">
        <x:v>When the user performs the relevant action or the relevant system condition occurs</x:v>
      </x:c>
      <x:c r="I252" s="40" t="str">
        <x:v>Then be able to link Contacts, Tasks, and Calendar Events.</x:v>
      </x:c>
      <x:c r="J252" s="40" t="str">
        <x:v>Yes</x:v>
      </x:c>
      <x:c r="K252" s="40" t="str">
        <x:v>Widget test / Integration test</x:v>
      </x:c>
      <x:c r="L252" s="40" t="str">
        <x:v>Not Started</x:v>
      </x:c>
      <x:c r="M252" s="40"/>
    </x:row>
    <x:row r="253">
      <x:c r="A253" s="40" t="str">
        <x:v>VS-12</x:v>
      </x:c>
      <x:c r="B253" s="40" t="n">
        <x:v>12</x:v>
      </x:c>
      <x:c r="C253" s="40" t="str">
        <x:v>Wave 3 — Pathways and Life Administration</x:v>
      </x:c>
      <x:c r="D253" s="40" t="str">
        <x:v>M. Employment Applications</x:v>
      </x:c>
      <x:c r="E253" s="40" t="str">
        <x:v>AC-M-006</x:v>
      </x:c>
      <x:c r="F253" s="40" t="str">
        <x:v>FR-M-006</x:v>
      </x:c>
      <x:c r="G253" s="40" t="str">
        <x:v>Given the applicable Employment Applications preconditions and a valid Local Profile</x:v>
      </x:c>
      <x:c r="H253" s="40" t="str">
        <x:v>When the user performs the relevant action or the relevant system condition occurs</x:v>
      </x:c>
      <x:c r="I253" s="40" t="str">
        <x:v>Then be able to confirm a submitted application.</x:v>
      </x:c>
      <x:c r="J253" s="40" t="str">
        <x:v>Yes</x:v>
      </x:c>
      <x:c r="K253" s="40" t="str">
        <x:v>Widget test</x:v>
      </x:c>
      <x:c r="L253" s="40" t="str">
        <x:v>Not Started</x:v>
      </x:c>
      <x:c r="M253" s="40"/>
    </x:row>
    <x:row r="254">
      <x:c r="A254" s="40" t="str">
        <x:v>VS-12</x:v>
      </x:c>
      <x:c r="B254" s="40" t="n">
        <x:v>12</x:v>
      </x:c>
      <x:c r="C254" s="40" t="str">
        <x:v>Wave 3 — Pathways and Life Administration</x:v>
      </x:c>
      <x:c r="D254" s="40" t="str">
        <x:v>M. Employment Applications</x:v>
      </x:c>
      <x:c r="E254" s="40" t="str">
        <x:v>AC-M-007</x:v>
      </x:c>
      <x:c r="F254" s="40" t="str">
        <x:v>FR-M-007</x:v>
      </x:c>
      <x:c r="G254" s="40" t="str">
        <x:v>Given the applicable Employment Applications preconditions and a valid Local Profile</x:v>
      </x:c>
      <x:c r="H254" s="40" t="str">
        <x:v>When the user performs the relevant action or the relevant system condition occurs</x:v>
      </x:c>
      <x:c r="I254" s="40" t="str">
        <x:v>Then submission confirmation shall create a qualifying Job Applications contribution.</x:v>
      </x:c>
      <x:c r="J254" s="40" t="str">
        <x:v>Yes</x:v>
      </x:c>
      <x:c r="K254" s="40" t="str">
        <x:v>Domain test</x:v>
      </x:c>
      <x:c r="L254" s="40" t="str">
        <x:v>Not Started</x:v>
      </x:c>
      <x:c r="M254" s="40"/>
    </x:row>
    <x:row r="255">
      <x:c r="A255" s="40" t="str">
        <x:v>VS-12</x:v>
      </x:c>
      <x:c r="B255" s="40" t="n">
        <x:v>12</x:v>
      </x:c>
      <x:c r="C255" s="40" t="str">
        <x:v>Wave 3 — Pathways and Life Administration</x:v>
      </x:c>
      <x:c r="D255" s="40" t="str">
        <x:v>M. Employment Applications</x:v>
      </x:c>
      <x:c r="E255" s="40" t="str">
        <x:v>AC-M-008</x:v>
      </x:c>
      <x:c r="F255" s="40" t="str">
        <x:v>FR-M-008</x:v>
      </x:c>
      <x:c r="G255" s="40" t="str">
        <x:v>Given the applicable Employment Applications preconditions and a valid Local Profile</x:v>
      </x:c>
      <x:c r="H255" s="40" t="str">
        <x:v>When the user performs the relevant action or the relevant system condition occurs</x:v>
      </x:c>
      <x:c r="I255" s="40" t="str">
        <x:v>Then saved, Considering, and Preparing stages shall not create Actual.</x:v>
      </x:c>
      <x:c r="J255" s="40" t="str">
        <x:v>Yes</x:v>
      </x:c>
      <x:c r="K255" s="40" t="str">
        <x:v>Domain test</x:v>
      </x:c>
      <x:c r="L255" s="40" t="str">
        <x:v>Not Started</x:v>
      </x:c>
      <x:c r="M255" s="40"/>
    </x:row>
    <x:row r="256">
      <x:c r="A256" s="40" t="str">
        <x:v>VS-12</x:v>
      </x:c>
      <x:c r="B256" s="40" t="n">
        <x:v>12</x:v>
      </x:c>
      <x:c r="C256" s="40" t="str">
        <x:v>Wave 3 — Pathways and Life Administration</x:v>
      </x:c>
      <x:c r="D256" s="40" t="str">
        <x:v>M. Employment Applications</x:v>
      </x:c>
      <x:c r="E256" s="40" t="str">
        <x:v>AC-M-009</x:v>
      </x:c>
      <x:c r="F256" s="40" t="str">
        <x:v>FR-M-009</x:v>
      </x:c>
      <x:c r="G256" s="40" t="str">
        <x:v>Given the applicable Employment Applications preconditions and a valid Local Profile</x:v>
      </x:c>
      <x:c r="H256" s="40" t="str">
        <x:v>When the user performs the relevant action or the relevant system condition occurs</x:v>
      </x:c>
      <x:c r="I256" s="40" t="str">
        <x:v>Then submission retries shall not duplicate Actual.</x:v>
      </x:c>
      <x:c r="J256" s="40" t="str">
        <x:v>Yes</x:v>
      </x:c>
      <x:c r="K256" s="40" t="str">
        <x:v>Domain test</x:v>
      </x:c>
      <x:c r="L256" s="40" t="str">
        <x:v>Not Started</x:v>
      </x:c>
      <x:c r="M256" s="40"/>
    </x:row>
    <x:row r="257">
      <x:c r="A257" s="40" t="str">
        <x:v>VS-12</x:v>
      </x:c>
      <x:c r="B257" s="40" t="n">
        <x:v>12</x:v>
      </x:c>
      <x:c r="C257" s="40" t="str">
        <x:v>Wave 3 — Pathways and Life Administration</x:v>
      </x:c>
      <x:c r="D257" s="40" t="str">
        <x:v>M. Employment Applications</x:v>
      </x:c>
      <x:c r="E257" s="40" t="str">
        <x:v>AC-M-010</x:v>
      </x:c>
      <x:c r="F257" s="40" t="str">
        <x:v>FR-M-010</x:v>
      </x:c>
      <x:c r="G257" s="40" t="str">
        <x:v>Given the applicable Employment Applications preconditions and a valid Local Profile</x:v>
      </x:c>
      <x:c r="H257" s="40" t="str">
        <x:v>When the user performs the relevant action or the relevant system condition occurs</x:v>
      </x:c>
      <x:c r="I257" s="40" t="str">
        <x:v>Then be able to record interview invitations and schedules.</x:v>
      </x:c>
      <x:c r="J257" s="40" t="str">
        <x:v>No</x:v>
      </x:c>
      <x:c r="K257" s="40" t="str">
        <x:v>Widget test</x:v>
      </x:c>
      <x:c r="L257" s="40" t="str">
        <x:v>Not Started</x:v>
      </x:c>
      <x:c r="M257" s="40"/>
    </x:row>
    <x:row r="258">
      <x:c r="A258" s="40" t="str">
        <x:v>VS-12</x:v>
      </x:c>
      <x:c r="B258" s="40" t="n">
        <x:v>12</x:v>
      </x:c>
      <x:c r="C258" s="40" t="str">
        <x:v>Wave 3 — Pathways and Life Administration</x:v>
      </x:c>
      <x:c r="D258" s="40" t="str">
        <x:v>M. Employment Applications</x:v>
      </x:c>
      <x:c r="E258" s="40" t="str">
        <x:v>AC-M-011</x:v>
      </x:c>
      <x:c r="F258" s="40" t="str">
        <x:v>FR-M-011</x:v>
      </x:c>
      <x:c r="G258" s="40" t="str">
        <x:v>Given the applicable Employment Applications preconditions and a valid Local Profile</x:v>
      </x:c>
      <x:c r="H258" s="40" t="str">
        <x:v>When the user performs the relevant action or the relevant system condition occurs</x:v>
      </x:c>
      <x:c r="I258" s="40" t="str">
        <x:v>Then be able to record offers, acceptance, rejection, withdrawal, and closure.</x:v>
      </x:c>
      <x:c r="J258" s="40" t="str">
        <x:v>No</x:v>
      </x:c>
      <x:c r="K258" s="40" t="str">
        <x:v>Widget test</x:v>
      </x:c>
      <x:c r="L258" s="40" t="str">
        <x:v>Not Started</x:v>
      </x:c>
      <x:c r="M258" s="40"/>
    </x:row>
    <x:row r="259">
      <x:c r="A259" s="40" t="str">
        <x:v>VS-12</x:v>
      </x:c>
      <x:c r="B259" s="40" t="n">
        <x:v>12</x:v>
      </x:c>
      <x:c r="C259" s="40" t="str">
        <x:v>Wave 3 — Pathways and Life Administration</x:v>
      </x:c>
      <x:c r="D259" s="40" t="str">
        <x:v>M. Employment Applications</x:v>
      </x:c>
      <x:c r="E259" s="40" t="str">
        <x:v>AC-M-012</x:v>
      </x:c>
      <x:c r="F259" s="40" t="str">
        <x:v>FR-M-012</x:v>
      </x:c>
      <x:c r="G259" s="40" t="str">
        <x:v>Given the applicable Employment Applications preconditions and a valid Local Profile</x:v>
      </x:c>
      <x:c r="H259" s="40" t="str">
        <x:v>When the user performs the relevant action or the relevant system condition occurs</x:v>
      </x:c>
      <x:c r="I259" s="40" t="str">
        <x:v>Then closed outcomes shall preserve submission history.</x:v>
      </x:c>
      <x:c r="J259" s="40" t="str">
        <x:v>Yes</x:v>
      </x:c>
      <x:c r="K259" s="40" t="str">
        <x:v>Domain test</x:v>
      </x:c>
      <x:c r="L259" s="40" t="str">
        <x:v>Not Started</x:v>
      </x:c>
      <x:c r="M259" s="40"/>
    </x:row>
    <x:row r="260">
      <x:c r="A260" s="40" t="str">
        <x:v>VS-12</x:v>
      </x:c>
      <x:c r="B260" s="40" t="n">
        <x:v>12</x:v>
      </x:c>
      <x:c r="C260" s="40" t="str">
        <x:v>Wave 3 — Pathways and Life Administration</x:v>
      </x:c>
      <x:c r="D260" s="40" t="str">
        <x:v>M. Employment Applications</x:v>
      </x:c>
      <x:c r="E260" s="40" t="str">
        <x:v>AC-M-013</x:v>
      </x:c>
      <x:c r="F260" s="40" t="str">
        <x:v>FR-M-013</x:v>
      </x:c>
      <x:c r="G260" s="40" t="str">
        <x:v>Given the applicable Employment Applications preconditions and a valid Local Profile</x:v>
      </x:c>
      <x:c r="H260" s="40" t="str">
        <x:v>When the user performs the relevant action or the relevant system condition occurs</x:v>
      </x:c>
      <x:c r="I260" s="40" t="str">
        <x:v>Then support separate reapplication cycles.</x:v>
      </x:c>
      <x:c r="J260" s="40" t="str">
        <x:v>Yes</x:v>
      </x:c>
      <x:c r="K260" s="40" t="str">
        <x:v>Domain test</x:v>
      </x:c>
      <x:c r="L260" s="40" t="str">
        <x:v>Not Started</x:v>
      </x:c>
      <x:c r="M260" s="40"/>
    </x:row>
    <x:row r="261">
      <x:c r="A261" s="40" t="str">
        <x:v>VS-12</x:v>
      </x:c>
      <x:c r="B261" s="40" t="n">
        <x:v>12</x:v>
      </x:c>
      <x:c r="C261" s="40" t="str">
        <x:v>Wave 3 — Pathways and Life Administration</x:v>
      </x:c>
      <x:c r="D261" s="40" t="str">
        <x:v>M. Employment Applications</x:v>
      </x:c>
      <x:c r="E261" s="40" t="str">
        <x:v>AC-M-014</x:v>
      </x:c>
      <x:c r="F261" s="40" t="str">
        <x:v>FR-M-014</x:v>
      </x:c>
      <x:c r="G261" s="40" t="str">
        <x:v>Given the applicable Employment Applications preconditions and a valid Local Profile</x:v>
      </x:c>
      <x:c r="H261" s="40" t="str">
        <x:v>When the user performs the relevant action or the relevant system condition occurs</x:v>
      </x:c>
      <x:c r="I261" s="40" t="str">
        <x:v>Then distinguish source dates and verification status for external information.</x:v>
      </x:c>
      <x:c r="J261" s="40" t="str">
        <x:v>No</x:v>
      </x:c>
      <x:c r="K261" s="40" t="str">
        <x:v>Domain test / Integration test</x:v>
      </x:c>
      <x:c r="L261" s="40" t="str">
        <x:v>Not Started</x:v>
      </x:c>
      <x:c r="M261" s="40"/>
    </x:row>
    <x:row r="262">
      <x:c r="A262" s="40" t="str">
        <x:v>VS-12</x:v>
      </x:c>
      <x:c r="B262" s="40" t="n">
        <x:v>12</x:v>
      </x:c>
      <x:c r="C262" s="40" t="str">
        <x:v>Wave 3 — Pathways and Life Administration</x:v>
      </x:c>
      <x:c r="D262" s="40" t="str">
        <x:v>M. Employment Applications</x:v>
      </x:c>
      <x:c r="E262" s="40" t="str">
        <x:v>AC-M-015</x:v>
      </x:c>
      <x:c r="F262" s="40" t="str">
        <x:v>FR-M-015</x:v>
      </x:c>
      <x:c r="G262" s="40" t="str">
        <x:v>Given the applicable Employment Applications preconditions and a valid Local Profile</x:v>
      </x:c>
      <x:c r="H262" s="40" t="str">
        <x:v>When the user performs the relevant action or the relevant system condition occurs</x:v>
      </x:c>
      <x:c r="I262" s="40" t="str">
        <x:v>Then be able to archive and restore applications.</x:v>
      </x:c>
      <x:c r="J262" s="40" t="str">
        <x:v>Yes</x:v>
      </x:c>
      <x:c r="K262" s="40" t="str">
        <x:v>Database test / Widget test</x:v>
      </x:c>
      <x:c r="L262" s="40" t="str">
        <x:v>Not Started</x:v>
      </x:c>
      <x:c r="M262" s="40"/>
    </x:row>
    <x:row r="263">
      <x:c r="A263" s="40" t="str">
        <x:v>VS-12</x:v>
      </x:c>
      <x:c r="B263" s="40" t="n">
        <x:v>12</x:v>
      </x:c>
      <x:c r="C263" s="40" t="str">
        <x:v>Wave 3 — Pathways and Life Administration</x:v>
      </x:c>
      <x:c r="D263" s="40" t="str">
        <x:v>M. Employment Applications</x:v>
      </x:c>
      <x:c r="E263" s="40" t="str">
        <x:v>AC-M-016</x:v>
      </x:c>
      <x:c r="F263" s="40" t="str">
        <x:v>FR-M-016</x:v>
      </x:c>
      <x:c r="G263" s="40" t="str">
        <x:v>Given the applicable Employment Applications preconditions and a valid Local Profile</x:v>
      </x:c>
      <x:c r="H263" s="40" t="str">
        <x:v>When the user performs the relevant action or the relevant system condition occurs</x:v>
      </x:c>
      <x:c r="I263" s="40" t="str">
        <x:v>Then provide Job Applications contribution history.</x:v>
      </x:c>
      <x:c r="J263" s="40" t="str">
        <x:v>No</x:v>
      </x:c>
      <x:c r="K263" s="40" t="str">
        <x:v>Domain test</x:v>
      </x:c>
      <x:c r="L263" s="40" t="str">
        <x:v>Not Started</x:v>
      </x:c>
      <x:c r="M263" s="40"/>
    </x:row>
    <x:row r="264">
      <x:c r="A264" s="40" t="str">
        <x:v>VS-12</x:v>
      </x:c>
      <x:c r="B264" s="40" t="n">
        <x:v>12</x:v>
      </x:c>
      <x:c r="C264" s="40" t="str">
        <x:v>Wave 3 — Pathways and Life Administration</x:v>
      </x:c>
      <x:c r="D264" s="40" t="str">
        <x:v>M. Employment Applications</x:v>
      </x:c>
      <x:c r="E264" s="40" t="str">
        <x:v>AC-M-017</x:v>
      </x:c>
      <x:c r="F264" s="40" t="str">
        <x:v>FR-M-017</x:v>
      </x:c>
      <x:c r="G264" s="40" t="str">
        <x:v>Given the applicable Employment Applications preconditions and a valid Local Profile</x:v>
      </x:c>
      <x:c r="H264" s="40" t="str">
        <x:v>When the user performs the relevant action or the relevant system condition occurs</x:v>
      </x:c>
      <x:c r="I264" s="40" t="str">
        <x:v>Then not classify applications from titles alone.</x:v>
      </x:c>
      <x:c r="J264" s="40" t="str">
        <x:v>Yes</x:v>
      </x:c>
      <x:c r="K264" s="40" t="str">
        <x:v>Domain test</x:v>
      </x:c>
      <x:c r="L264" s="40" t="str">
        <x:v>Not Started</x:v>
      </x:c>
      <x:c r="M264" s="40"/>
    </x:row>
    <x:row r="265">
      <x:c r="A265" s="40" t="str">
        <x:v>VS-12</x:v>
      </x:c>
      <x:c r="B265" s="40" t="n">
        <x:v>12</x:v>
      </x:c>
      <x:c r="C265" s="40" t="str">
        <x:v>Wave 3 — Pathways and Life Administration</x:v>
      </x:c>
      <x:c r="D265" s="40" t="str">
        <x:v>M. Employment Applications</x:v>
      </x:c>
      <x:c r="E265" s="40" t="str">
        <x:v>AC-M-018</x:v>
      </x:c>
      <x:c r="F265" s="40" t="str">
        <x:v>FR-M-018</x:v>
      </x:c>
      <x:c r="G265" s="40" t="str">
        <x:v>Given the applicable Employment Applications preconditions and a valid Local Profile</x:v>
      </x:c>
      <x:c r="H265" s="40" t="str">
        <x:v>When the user performs the relevant action or the relevant system condition occurs</x:v>
      </x:c>
      <x:c r="I265" s="40" t="str">
        <x:v>Then function offline.</x:v>
      </x:c>
      <x:c r="J265" s="40" t="str">
        <x:v>Yes</x:v>
      </x:c>
      <x:c r="K265" s="40" t="str">
        <x:v>Domain test</x:v>
      </x:c>
      <x:c r="L265" s="40" t="str">
        <x:v>Not Started</x:v>
      </x:c>
      <x:c r="M265" s="40"/>
    </x:row>
    <x:row r="266">
      <x:c r="A266" s="40" t="str">
        <x:v>VS-12</x:v>
      </x:c>
      <x:c r="B266" s="40" t="n">
        <x:v>12</x:v>
      </x:c>
      <x:c r="C266" s="40" t="str">
        <x:v>Wave 3 — Pathways and Life Administration</x:v>
      </x:c>
      <x:c r="D266" s="40" t="str">
        <x:v>M. Employment Applications</x:v>
      </x:c>
      <x:c r="E266" s="40" t="str">
        <x:v>AC-M-019</x:v>
      </x:c>
      <x:c r="F266" s="40" t="str">
        <x:v>FR-M-019</x:v>
      </x:c>
      <x:c r="G266" s="40" t="str">
        <x:v>Given the applicable Employment Applications preconditions and a valid Local Profile</x:v>
      </x:c>
      <x:c r="H266" s="40" t="str">
        <x:v>When the user performs the relevant action or the relevant system condition occurs</x:v>
      </x:c>
      <x:c r="I266" s="40" t="str">
        <x:v>Then not require an external vacancy URL.</x:v>
      </x:c>
      <x:c r="J266" s="40" t="str">
        <x:v>Yes</x:v>
      </x:c>
      <x:c r="K266" s="40" t="str">
        <x:v>Integration test</x:v>
      </x:c>
      <x:c r="L266" s="40" t="str">
        <x:v>Not Started</x:v>
      </x:c>
      <x:c r="M266" s="40"/>
    </x:row>
    <x:row r="267">
      <x:c r="A267" s="40" t="str">
        <x:v>VS-12</x:v>
      </x:c>
      <x:c r="B267" s="40" t="n">
        <x:v>12</x:v>
      </x:c>
      <x:c r="C267" s="40" t="str">
        <x:v>Wave 3 — Pathways and Life Administration</x:v>
      </x:c>
      <x:c r="D267" s="40" t="str">
        <x:v>M. Employment Applications</x:v>
      </x:c>
      <x:c r="E267" s="40" t="str">
        <x:v>AC-M-020</x:v>
      </x:c>
      <x:c r="F267" s="40" t="str">
        <x:v>FR-M-020</x:v>
      </x:c>
      <x:c r="G267" s="40" t="str">
        <x:v>Given the applicable Employment Applications preconditions and a valid Local Profile</x:v>
      </x:c>
      <x:c r="H267" s="40" t="str">
        <x:v>When the user performs the relevant action or the relevant system condition occurs</x:v>
      </x:c>
      <x:c r="I267" s="40" t="str">
        <x:v>Then the feature shall support Philippines and remote or international application contexts.</x:v>
      </x:c>
      <x:c r="J267" s="40" t="str">
        <x:v>No</x:v>
      </x:c>
      <x:c r="K267" s="40" t="str">
        <x:v>Domain test</x:v>
      </x:c>
      <x:c r="L267" s="40" t="str">
        <x:v>Not Started</x:v>
      </x:c>
      <x:c r="M267" s="40"/>
    </x:row>
    <x:row r="268">
      <x:c r="A268" s="40" t="str">
        <x:v>VS-13</x:v>
      </x:c>
      <x:c r="B268" s="40" t="n">
        <x:v>13</x:v>
      </x:c>
      <x:c r="C268" s="40" t="str">
        <x:v>Wave 3 — Pathways and Life Administration</x:v>
      </x:c>
      <x:c r="D268" s="40" t="str">
        <x:v>N. Education Planning</x:v>
      </x:c>
      <x:c r="E268" s="40" t="str">
        <x:v>AC-N-001</x:v>
      </x:c>
      <x:c r="F268" s="40" t="str">
        <x:v>FR-N-001</x:v>
      </x:c>
      <x:c r="G268" s="40" t="str">
        <x:v>Given the applicable Education Planning preconditions and a valid Local Profile</x:v>
      </x:c>
      <x:c r="H268" s="40" t="str">
        <x:v>When the user performs the relevant action or the relevant system condition occurs</x:v>
      </x:c>
      <x:c r="I268" s="40" t="str">
        <x:v>Then be able to create bundled or custom Education Options.</x:v>
      </x:c>
      <x:c r="J268" s="40" t="str">
        <x:v>Yes</x:v>
      </x:c>
      <x:c r="K268" s="40" t="str">
        <x:v>Widget test</x:v>
      </x:c>
      <x:c r="L268" s="40" t="str">
        <x:v>Not Started</x:v>
      </x:c>
      <x:c r="M268" s="40"/>
    </x:row>
    <x:row r="269">
      <x:c r="A269" s="40" t="str">
        <x:v>VS-13</x:v>
      </x:c>
      <x:c r="B269" s="40" t="n">
        <x:v>13</x:v>
      </x:c>
      <x:c r="C269" s="40" t="str">
        <x:v>Wave 3 — Pathways and Life Administration</x:v>
      </x:c>
      <x:c r="D269" s="40" t="str">
        <x:v>N. Education Planning</x:v>
      </x:c>
      <x:c r="E269" s="40" t="str">
        <x:v>AC-N-002</x:v>
      </x:c>
      <x:c r="F269" s="40" t="str">
        <x:v>FR-N-002</x:v>
      </x:c>
      <x:c r="G269" s="40" t="str">
        <x:v>Given the applicable Education Planning preconditions and a valid Local Profile</x:v>
      </x:c>
      <x:c r="H269" s="40" t="str">
        <x:v>When the user performs the relevant action or the relevant system condition occurs</x:v>
      </x:c>
      <x:c r="I269" s="40" t="str">
        <x:v>Then education Options shall support provider, program, mode, location, and intake information.</x:v>
      </x:c>
      <x:c r="J269" s="40" t="str">
        <x:v>Yes</x:v>
      </x:c>
      <x:c r="K269" s="40" t="str">
        <x:v>Domain test</x:v>
      </x:c>
      <x:c r="L269" s="40" t="str">
        <x:v>Not Started</x:v>
      </x:c>
      <x:c r="M269" s="40"/>
    </x:row>
    <x:row r="270">
      <x:c r="A270" s="40" t="str">
        <x:v>VS-13</x:v>
      </x:c>
      <x:c r="B270" s="40" t="n">
        <x:v>13</x:v>
      </x:c>
      <x:c r="C270" s="40" t="str">
        <x:v>Wave 3 — Pathways and Life Administration</x:v>
      </x:c>
      <x:c r="D270" s="40" t="str">
        <x:v>N. Education Planning</x:v>
      </x:c>
      <x:c r="E270" s="40" t="str">
        <x:v>AC-N-003</x:v>
      </x:c>
      <x:c r="F270" s="40" t="str">
        <x:v>FR-N-003</x:v>
      </x:c>
      <x:c r="G270" s="40" t="str">
        <x:v>Given the applicable Education Planning preconditions and a valid Local Profile</x:v>
      </x:c>
      <x:c r="H270" s="40" t="str">
        <x:v>When the user performs the relevant action or the relevant system condition occurs</x:v>
      </x:c>
      <x:c r="I270" s="40" t="str">
        <x:v>Then support structured requirements.</x:v>
      </x:c>
      <x:c r="J270" s="40" t="str">
        <x:v>Yes</x:v>
      </x:c>
      <x:c r="K270" s="40" t="str">
        <x:v>Domain test</x:v>
      </x:c>
      <x:c r="L270" s="40" t="str">
        <x:v>Not Started</x:v>
      </x:c>
      <x:c r="M270" s="40"/>
    </x:row>
    <x:row r="271">
      <x:c r="A271" s="40" t="str">
        <x:v>VS-13</x:v>
      </x:c>
      <x:c r="B271" s="40" t="n">
        <x:v>13</x:v>
      </x:c>
      <x:c r="C271" s="40" t="str">
        <x:v>Wave 3 — Pathways and Life Administration</x:v>
      </x:c>
      <x:c r="D271" s="40" t="str">
        <x:v>N. Education Planning</x:v>
      </x:c>
      <x:c r="E271" s="40" t="str">
        <x:v>AC-N-004</x:v>
      </x:c>
      <x:c r="F271" s="40" t="str">
        <x:v>FR-N-004</x:v>
      </x:c>
      <x:c r="G271" s="40" t="str">
        <x:v>Given the applicable Education Planning preconditions and a valid Local Profile</x:v>
      </x:c>
      <x:c r="H271" s="40" t="str">
        <x:v>When the user performs the relevant action or the relevant system condition occurs</x:v>
      </x:c>
      <x:c r="I271" s="40" t="str">
        <x:v>Then support source and last-verified date.</x:v>
      </x:c>
      <x:c r="J271" s="40" t="str">
        <x:v>Yes</x:v>
      </x:c>
      <x:c r="K271" s="40" t="str">
        <x:v>Manual review</x:v>
      </x:c>
      <x:c r="L271" s="40" t="str">
        <x:v>Not Started</x:v>
      </x:c>
      <x:c r="M271" s="40"/>
    </x:row>
    <x:row r="272">
      <x:c r="A272" s="40" t="str">
        <x:v>VS-13</x:v>
      </x:c>
      <x:c r="B272" s="40" t="n">
        <x:v>13</x:v>
      </x:c>
      <x:c r="C272" s="40" t="str">
        <x:v>Wave 3 — Pathways and Life Administration</x:v>
      </x:c>
      <x:c r="D272" s="40" t="str">
        <x:v>N. Education Planning</x:v>
      </x:c>
      <x:c r="E272" s="40" t="str">
        <x:v>AC-N-005</x:v>
      </x:c>
      <x:c r="F272" s="40" t="str">
        <x:v>FR-N-005</x:v>
      </x:c>
      <x:c r="G272" s="40" t="str">
        <x:v>Given the applicable Education Planning preconditions and a valid Local Profile</x:v>
      </x:c>
      <x:c r="H272" s="40" t="str">
        <x:v>When the user performs the relevant action or the relevant system condition occurs</x:v>
      </x:c>
      <x:c r="I272" s="40" t="str">
        <x:v>Then support verification status.</x:v>
      </x:c>
      <x:c r="J272" s="40" t="str">
        <x:v>Yes</x:v>
      </x:c>
      <x:c r="K272" s="40" t="str">
        <x:v>Domain test</x:v>
      </x:c>
      <x:c r="L272" s="40" t="str">
        <x:v>Not Started</x:v>
      </x:c>
      <x:c r="M272" s="40"/>
    </x:row>
    <x:row r="273">
      <x:c r="A273" s="40" t="str">
        <x:v>VS-13</x:v>
      </x:c>
      <x:c r="B273" s="40" t="n">
        <x:v>13</x:v>
      </x:c>
      <x:c r="C273" s="40" t="str">
        <x:v>Wave 3 — Pathways and Life Administration</x:v>
      </x:c>
      <x:c r="D273" s="40" t="str">
        <x:v>N. Education Planning</x:v>
      </x:c>
      <x:c r="E273" s="40" t="str">
        <x:v>AC-N-006</x:v>
      </x:c>
      <x:c r="F273" s="40" t="str">
        <x:v>FR-N-006</x:v>
      </x:c>
      <x:c r="G273" s="40" t="str">
        <x:v>Given the applicable Education Planning preconditions and a valid Local Profile</x:v>
      </x:c>
      <x:c r="H273" s="40" t="str">
        <x:v>When the user performs the relevant action or the relevant system condition occurs</x:v>
      </x:c>
      <x:c r="I273" s="40" t="str">
        <x:v>Then be able to create Goals and Milestones from an Education Option.</x:v>
      </x:c>
      <x:c r="J273" s="40" t="str">
        <x:v>Yes</x:v>
      </x:c>
      <x:c r="K273" s="40" t="str">
        <x:v>Widget test</x:v>
      </x:c>
      <x:c r="L273" s="40" t="str">
        <x:v>Not Started</x:v>
      </x:c>
      <x:c r="M273" s="40"/>
    </x:row>
    <x:row r="274">
      <x:c r="A274" s="40" t="str">
        <x:v>VS-13</x:v>
      </x:c>
      <x:c r="B274" s="40" t="n">
        <x:v>13</x:v>
      </x:c>
      <x:c r="C274" s="40" t="str">
        <x:v>Wave 3 — Pathways and Life Administration</x:v>
      </x:c>
      <x:c r="D274" s="40" t="str">
        <x:v>N. Education Planning</x:v>
      </x:c>
      <x:c r="E274" s="40" t="str">
        <x:v>AC-N-007</x:v>
      </x:c>
      <x:c r="F274" s="40" t="str">
        <x:v>FR-N-007</x:v>
      </x:c>
      <x:c r="G274" s="40" t="str">
        <x:v>Given the applicable Education Planning preconditions and a valid Local Profile</x:v>
      </x:c>
      <x:c r="H274" s="40" t="str">
        <x:v>When the user performs the relevant action or the relevant system condition occurs</x:v>
      </x:c>
      <x:c r="I274" s="40" t="str">
        <x:v>Then be able to create Tasks and Calendar Events.</x:v>
      </x:c>
      <x:c r="J274" s="40" t="str">
        <x:v>Yes</x:v>
      </x:c>
      <x:c r="K274" s="40" t="str">
        <x:v>Widget test / Integration test</x:v>
      </x:c>
      <x:c r="L274" s="40" t="str">
        <x:v>Not Started</x:v>
      </x:c>
      <x:c r="M274" s="40"/>
    </x:row>
    <x:row r="275">
      <x:c r="A275" s="40" t="str">
        <x:v>VS-13</x:v>
      </x:c>
      <x:c r="B275" s="40" t="n">
        <x:v>13</x:v>
      </x:c>
      <x:c r="C275" s="40" t="str">
        <x:v>Wave 3 — Pathways and Life Administration</x:v>
      </x:c>
      <x:c r="D275" s="40" t="str">
        <x:v>N. Education Planning</x:v>
      </x:c>
      <x:c r="E275" s="40" t="str">
        <x:v>AC-N-008</x:v>
      </x:c>
      <x:c r="F275" s="40" t="str">
        <x:v>FR-N-008</x:v>
      </x:c>
      <x:c r="G275" s="40" t="str">
        <x:v>Given the applicable Education Planning preconditions and a valid Local Profile</x:v>
      </x:c>
      <x:c r="H275" s="40" t="str">
        <x:v>When the user performs the relevant action or the relevant system condition occurs</x:v>
      </x:c>
      <x:c r="I275" s="40" t="str">
        <x:v>Then be able to link Government Document Requirements.</x:v>
      </x:c>
      <x:c r="J275" s="40" t="str">
        <x:v>Yes</x:v>
      </x:c>
      <x:c r="K275" s="40" t="str">
        <x:v>Widget test</x:v>
      </x:c>
      <x:c r="L275" s="40" t="str">
        <x:v>Not Started</x:v>
      </x:c>
      <x:c r="M275" s="40"/>
    </x:row>
    <x:row r="276">
      <x:c r="A276" s="40" t="str">
        <x:v>VS-13</x:v>
      </x:c>
      <x:c r="B276" s="40" t="n">
        <x:v>13</x:v>
      </x:c>
      <x:c r="C276" s="40" t="str">
        <x:v>Wave 3 — Pathways and Life Administration</x:v>
      </x:c>
      <x:c r="D276" s="40" t="str">
        <x:v>N. Education Planning</x:v>
      </x:c>
      <x:c r="E276" s="40" t="str">
        <x:v>AC-N-009</x:v>
      </x:c>
      <x:c r="F276" s="40" t="str">
        <x:v>FR-N-009</x:v>
      </x:c>
      <x:c r="G276" s="40" t="str">
        <x:v>Given the applicable Education Planning preconditions and a valid Local Profile</x:v>
      </x:c>
      <x:c r="H276" s="40" t="str">
        <x:v>When the user performs the relevant action or the relevant system condition occurs</x:v>
      </x:c>
      <x:c r="I276" s="40" t="str">
        <x:v>Then education applications shall have structured stages.</x:v>
      </x:c>
      <x:c r="J276" s="40" t="str">
        <x:v>No</x:v>
      </x:c>
      <x:c r="K276" s="40" t="str">
        <x:v>Domain test</x:v>
      </x:c>
      <x:c r="L276" s="40" t="str">
        <x:v>Not Started</x:v>
      </x:c>
      <x:c r="M276" s="40"/>
    </x:row>
    <x:row r="277">
      <x:c r="A277" s="40" t="str">
        <x:v>VS-13</x:v>
      </x:c>
      <x:c r="B277" s="40" t="n">
        <x:v>13</x:v>
      </x:c>
      <x:c r="C277" s="40" t="str">
        <x:v>Wave 3 — Pathways and Life Administration</x:v>
      </x:c>
      <x:c r="D277" s="40" t="str">
        <x:v>N. Education Planning</x:v>
      </x:c>
      <x:c r="E277" s="40" t="str">
        <x:v>AC-N-010</x:v>
      </x:c>
      <x:c r="F277" s="40" t="str">
        <x:v>FR-N-010</x:v>
      </x:c>
      <x:c r="G277" s="40" t="str">
        <x:v>Given the applicable Education Planning preconditions and a valid Local Profile</x:v>
      </x:c>
      <x:c r="H277" s="40" t="str">
        <x:v>When the user performs the relevant action or the relevant system condition occurs</x:v>
      </x:c>
      <x:c r="I277" s="40" t="str">
        <x:v>Then application submission shall require explicit confirmation.</x:v>
      </x:c>
      <x:c r="J277" s="40" t="str">
        <x:v>No</x:v>
      </x:c>
      <x:c r="K277" s="40" t="str">
        <x:v>Domain test</x:v>
      </x:c>
      <x:c r="L277" s="40" t="str">
        <x:v>Not Started</x:v>
      </x:c>
      <x:c r="M277" s="40"/>
    </x:row>
    <x:row r="278">
      <x:c r="A278" s="40" t="str">
        <x:v>VS-13</x:v>
      </x:c>
      <x:c r="B278" s="40" t="n">
        <x:v>13</x:v>
      </x:c>
      <x:c r="C278" s="40" t="str">
        <x:v>Wave 3 — Pathways and Life Administration</x:v>
      </x:c>
      <x:c r="D278" s="40" t="str">
        <x:v>N. Education Planning</x:v>
      </x:c>
      <x:c r="E278" s="40" t="str">
        <x:v>AC-N-011</x:v>
      </x:c>
      <x:c r="F278" s="40" t="str">
        <x:v>FR-N-011</x:v>
      </x:c>
      <x:c r="G278" s="40" t="str">
        <x:v>Given the applicable Education Planning preconditions and a valid Local Profile</x:v>
      </x:c>
      <x:c r="H278" s="40" t="str">
        <x:v>When the user performs the relevant action or the relevant system condition occurs</x:v>
      </x:c>
      <x:c r="I278" s="40" t="str">
        <x:v>Then admission and enrollment shall remain separate outcomes.</x:v>
      </x:c>
      <x:c r="J278" s="40" t="str">
        <x:v>Yes</x:v>
      </x:c>
      <x:c r="K278" s="40" t="str">
        <x:v>Domain test</x:v>
      </x:c>
      <x:c r="L278" s="40" t="str">
        <x:v>Not Started</x:v>
      </x:c>
      <x:c r="M278" s="40"/>
    </x:row>
    <x:row r="279">
      <x:c r="A279" s="40" t="str">
        <x:v>VS-13</x:v>
      </x:c>
      <x:c r="B279" s="40" t="n">
        <x:v>13</x:v>
      </x:c>
      <x:c r="C279" s="40" t="str">
        <x:v>Wave 3 — Pathways and Life Administration</x:v>
      </x:c>
      <x:c r="D279" s="40" t="str">
        <x:v>N. Education Planning</x:v>
      </x:c>
      <x:c r="E279" s="40" t="str">
        <x:v>AC-N-012</x:v>
      </x:c>
      <x:c r="F279" s="40" t="str">
        <x:v>FR-N-012</x:v>
      </x:c>
      <x:c r="G279" s="40" t="str">
        <x:v>Given the applicable Education Planning preconditions and a valid Local Profile</x:v>
      </x:c>
      <x:c r="H279" s="40" t="str">
        <x:v>When the user performs the relevant action or the relevant system condition occurs</x:v>
      </x:c>
      <x:c r="I279" s="40" t="str">
        <x:v>Then be able to pause, discontinue, archive, and restore options.</x:v>
      </x:c>
      <x:c r="J279" s="40" t="str">
        <x:v>Yes</x:v>
      </x:c>
      <x:c r="K279" s="40" t="str">
        <x:v>Database test / Widget test</x:v>
      </x:c>
      <x:c r="L279" s="40" t="str">
        <x:v>Not Started</x:v>
      </x:c>
      <x:c r="M279" s="40"/>
    </x:row>
    <x:row r="280">
      <x:c r="A280" s="40" t="str">
        <x:v>VS-13</x:v>
      </x:c>
      <x:c r="B280" s="40" t="n">
        <x:v>13</x:v>
      </x:c>
      <x:c r="C280" s="40" t="str">
        <x:v>Wave 3 — Pathways and Life Administration</x:v>
      </x:c>
      <x:c r="D280" s="40" t="str">
        <x:v>N. Education Planning</x:v>
      </x:c>
      <x:c r="E280" s="40" t="str">
        <x:v>AC-N-013</x:v>
      </x:c>
      <x:c r="F280" s="40" t="str">
        <x:v>FR-N-013</x:v>
      </x:c>
      <x:c r="G280" s="40" t="str">
        <x:v>Given the applicable Education Planning preconditions and a valid Local Profile</x:v>
      </x:c>
      <x:c r="H280" s="40" t="str">
        <x:v>When the user performs the relevant action or the relevant system condition occurs</x:v>
      </x:c>
      <x:c r="I280" s="40" t="str">
        <x:v>Then bundled content updates shall preserve user data.</x:v>
      </x:c>
      <x:c r="J280" s="40" t="str">
        <x:v>Yes</x:v>
      </x:c>
      <x:c r="K280" s="40" t="str">
        <x:v>Domain test</x:v>
      </x:c>
      <x:c r="L280" s="40" t="str">
        <x:v>Not Started</x:v>
      </x:c>
      <x:c r="M280" s="40"/>
    </x:row>
    <x:row r="281">
      <x:c r="A281" s="40" t="str">
        <x:v>VS-13</x:v>
      </x:c>
      <x:c r="B281" s="40" t="n">
        <x:v>13</x:v>
      </x:c>
      <x:c r="C281" s="40" t="str">
        <x:v>Wave 3 — Pathways and Life Administration</x:v>
      </x:c>
      <x:c r="D281" s="40" t="str">
        <x:v>N. Education Planning</x:v>
      </x:c>
      <x:c r="E281" s="40" t="str">
        <x:v>AC-N-014</x:v>
      </x:c>
      <x:c r="F281" s="40" t="str">
        <x:v>FR-N-014</x:v>
      </x:c>
      <x:c r="G281" s="40" t="str">
        <x:v>Given the applicable Education Planning preconditions and a valid Local Profile</x:v>
      </x:c>
      <x:c r="H281" s="40" t="str">
        <x:v>When the user performs the relevant action or the relevant system condition occurs</x:v>
      </x:c>
      <x:c r="I281" s="40" t="str">
        <x:v>Then display stale or unverified information.</x:v>
      </x:c>
      <x:c r="J281" s="40" t="str">
        <x:v>No</x:v>
      </x:c>
      <x:c r="K281" s="40" t="str">
        <x:v>Widget test</x:v>
      </x:c>
      <x:c r="L281" s="40" t="str">
        <x:v>Not Started</x:v>
      </x:c>
      <x:c r="M281" s="40"/>
    </x:row>
    <x:row r="282">
      <x:c r="A282" s="40" t="str">
        <x:v>VS-13</x:v>
      </x:c>
      <x:c r="B282" s="40" t="n">
        <x:v>13</x:v>
      </x:c>
      <x:c r="C282" s="40" t="str">
        <x:v>Wave 3 — Pathways and Life Administration</x:v>
      </x:c>
      <x:c r="D282" s="40" t="str">
        <x:v>N. Education Planning</x:v>
      </x:c>
      <x:c r="E282" s="40" t="str">
        <x:v>AC-N-015</x:v>
      </x:c>
      <x:c r="F282" s="40" t="str">
        <x:v>FR-N-015</x:v>
      </x:c>
      <x:c r="G282" s="40" t="str">
        <x:v>Given the applicable Education Planning preconditions and a valid Local Profile</x:v>
      </x:c>
      <x:c r="H282" s="40" t="str">
        <x:v>When the user performs the relevant action or the relevant system condition occurs</x:v>
      </x:c>
      <x:c r="I282" s="40" t="str">
        <x:v>Then not infer outcomes from titles or schedules.</x:v>
      </x:c>
      <x:c r="J282" s="40" t="str">
        <x:v>Yes</x:v>
      </x:c>
      <x:c r="K282" s="40" t="str">
        <x:v>Domain test</x:v>
      </x:c>
      <x:c r="L282" s="40" t="str">
        <x:v>Not Started</x:v>
      </x:c>
      <x:c r="M282" s="40"/>
    </x:row>
    <x:row r="283">
      <x:c r="A283" s="40" t="str">
        <x:v>VS-13</x:v>
      </x:c>
      <x:c r="B283" s="40" t="n">
        <x:v>13</x:v>
      </x:c>
      <x:c r="C283" s="40" t="str">
        <x:v>Wave 3 — Pathways and Life Administration</x:v>
      </x:c>
      <x:c r="D283" s="40" t="str">
        <x:v>N. Education Planning</x:v>
      </x:c>
      <x:c r="E283" s="40" t="str">
        <x:v>AC-N-016</x:v>
      </x:c>
      <x:c r="F283" s="40" t="str">
        <x:v>FR-N-016</x:v>
      </x:c>
      <x:c r="G283" s="40" t="str">
        <x:v>Given the applicable Education Planning preconditions and a valid Local Profile</x:v>
      </x:c>
      <x:c r="H283" s="40" t="str">
        <x:v>When the user performs the relevant action or the relevant system condition occurs</x:v>
      </x:c>
      <x:c r="I283" s="40" t="str">
        <x:v>Then retain requirement history.</x:v>
      </x:c>
      <x:c r="J283" s="40" t="str">
        <x:v>No</x:v>
      </x:c>
      <x:c r="K283" s="40" t="str">
        <x:v>Domain test</x:v>
      </x:c>
      <x:c r="L283" s="40" t="str">
        <x:v>Not Started</x:v>
      </x:c>
      <x:c r="M283" s="40"/>
    </x:row>
    <x:row r="284">
      <x:c r="A284" s="40" t="str">
        <x:v>VS-13</x:v>
      </x:c>
      <x:c r="B284" s="40" t="n">
        <x:v>13</x:v>
      </x:c>
      <x:c r="C284" s="40" t="str">
        <x:v>Wave 3 — Pathways and Life Administration</x:v>
      </x:c>
      <x:c r="D284" s="40" t="str">
        <x:v>N. Education Planning</x:v>
      </x:c>
      <x:c r="E284" s="40" t="str">
        <x:v>AC-N-017</x:v>
      </x:c>
      <x:c r="F284" s="40" t="str">
        <x:v>FR-N-017</x:v>
      </x:c>
      <x:c r="G284" s="40" t="str">
        <x:v>Given the applicable Education Planning preconditions and a valid Local Profile</x:v>
      </x:c>
      <x:c r="H284" s="40" t="str">
        <x:v>When the user performs the relevant action or the relevant system condition occurs</x:v>
      </x:c>
      <x:c r="I284" s="40" t="str">
        <x:v>Then support offline planning.</x:v>
      </x:c>
      <x:c r="J284" s="40" t="str">
        <x:v>Yes</x:v>
      </x:c>
      <x:c r="K284" s="40" t="str">
        <x:v>Domain test</x:v>
      </x:c>
      <x:c r="L284" s="40" t="str">
        <x:v>Not Started</x:v>
      </x:c>
      <x:c r="M284" s="40"/>
    </x:row>
    <x:row r="285">
      <x:c r="A285" s="40" t="str">
        <x:v>VS-13</x:v>
      </x:c>
      <x:c r="B285" s="40" t="n">
        <x:v>13</x:v>
      </x:c>
      <x:c r="C285" s="40" t="str">
        <x:v>Wave 3 — Pathways and Life Administration</x:v>
      </x:c>
      <x:c r="D285" s="40" t="str">
        <x:v>N. Education Planning</x:v>
      </x:c>
      <x:c r="E285" s="40" t="str">
        <x:v>AC-N-018</x:v>
      </x:c>
      <x:c r="F285" s="40" t="str">
        <x:v>FR-N-018</x:v>
      </x:c>
      <x:c r="G285" s="40" t="str">
        <x:v>Given the applicable Education Planning preconditions and a valid Local Profile</x:v>
      </x:c>
      <x:c r="H285" s="40" t="str">
        <x:v>When the user performs the relevant action or the relevant system condition occurs</x:v>
      </x:c>
      <x:c r="I285" s="40" t="str">
        <x:v>Then external resource failure shall not block local use.</x:v>
      </x:c>
      <x:c r="J285" s="40" t="str">
        <x:v>Yes</x:v>
      </x:c>
      <x:c r="K285" s="40" t="str">
        <x:v>Integration test</x:v>
      </x:c>
      <x:c r="L285" s="40" t="str">
        <x:v>Not Started</x:v>
      </x:c>
      <x:c r="M285" s="40"/>
    </x:row>
    <x:row r="286">
      <x:c r="A286" s="40" t="str">
        <x:v>VS-13</x:v>
      </x:c>
      <x:c r="B286" s="40" t="n">
        <x:v>13</x:v>
      </x:c>
      <x:c r="C286" s="40" t="str">
        <x:v>Wave 3 — Pathways and Life Administration</x:v>
      </x:c>
      <x:c r="D286" s="40" t="str">
        <x:v>N. Education Planning</x:v>
      </x:c>
      <x:c r="E286" s="40" t="str">
        <x:v>AC-N-019</x:v>
      </x:c>
      <x:c r="F286" s="40" t="str">
        <x:v>FR-N-019</x:v>
      </x:c>
      <x:c r="G286" s="40" t="str">
        <x:v>Given the applicable Education Planning preconditions and a valid Local Profile</x:v>
      </x:c>
      <x:c r="H286" s="40" t="str">
        <x:v>When the user performs the relevant action or the relevant system condition occurs</x:v>
      </x:c>
      <x:c r="I286" s="40" t="str">
        <x:v>Then be able to create verification Tasks.</x:v>
      </x:c>
      <x:c r="J286" s="40" t="str">
        <x:v>No</x:v>
      </x:c>
      <x:c r="K286" s="40" t="str">
        <x:v>Widget test</x:v>
      </x:c>
      <x:c r="L286" s="40" t="str">
        <x:v>Not Started</x:v>
      </x:c>
      <x:c r="M286" s="40"/>
    </x:row>
    <x:row r="287">
      <x:c r="A287" s="40" t="str">
        <x:v>VS-13</x:v>
      </x:c>
      <x:c r="B287" s="40" t="n">
        <x:v>13</x:v>
      </x:c>
      <x:c r="C287" s="40" t="str">
        <x:v>Wave 3 — Pathways and Life Administration</x:v>
      </x:c>
      <x:c r="D287" s="40" t="str">
        <x:v>N. Education Planning</x:v>
      </x:c>
      <x:c r="E287" s="40" t="str">
        <x:v>AC-N-020</x:v>
      </x:c>
      <x:c r="F287" s="40" t="str">
        <x:v>FR-N-020</x:v>
      </x:c>
      <x:c r="G287" s="40" t="str">
        <x:v>Given the applicable Education Planning preconditions and a valid Local Profile</x:v>
      </x:c>
      <x:c r="H287" s="40" t="str">
        <x:v>When the user performs the relevant action or the relevant system condition occurs</x:v>
      </x:c>
      <x:c r="I287" s="40" t="str">
        <x:v>Then distinguish content guidance from confirmed user facts.</x:v>
      </x:c>
      <x:c r="J287" s="40" t="str">
        <x:v>No</x:v>
      </x:c>
      <x:c r="K287" s="40" t="str">
        <x:v>Domain test</x:v>
      </x:c>
      <x:c r="L287" s="40" t="str">
        <x:v>Not Started</x:v>
      </x:c>
      <x:c r="M287" s="40"/>
    </x:row>
    <x:row r="288">
      <x:c r="A288" s="40" t="str">
        <x:v>VS-14</x:v>
      </x:c>
      <x:c r="B288" s="40" t="n">
        <x:v>14</x:v>
      </x:c>
      <x:c r="C288" s="40" t="str">
        <x:v>Wave 3 — Pathways and Life Administration</x:v>
      </x:c>
      <x:c r="D288" s="40" t="str">
        <x:v>O. Government Document Requirements</x:v>
      </x:c>
      <x:c r="E288" s="40" t="str">
        <x:v>AC-O-001</x:v>
      </x:c>
      <x:c r="F288" s="40" t="str">
        <x:v>FR-O-001</x:v>
      </x:c>
      <x:c r="G288" s="40" t="str">
        <x:v>Given the applicable Government Document Requirements preconditions and a valid Local Profile</x:v>
      </x:c>
      <x:c r="H288" s="40" t="str">
        <x:v>When the user performs the relevant action or the relevant system condition occurs</x:v>
      </x:c>
      <x:c r="I288" s="40" t="str">
        <x:v>Then be able to activate bundled Government Document Requirements.</x:v>
      </x:c>
      <x:c r="J288" s="40" t="str">
        <x:v>Yes</x:v>
      </x:c>
      <x:c r="K288" s="40" t="str">
        <x:v>Widget test</x:v>
      </x:c>
      <x:c r="L288" s="40" t="str">
        <x:v>Not Started</x:v>
      </x:c>
      <x:c r="M288" s="40"/>
    </x:row>
    <x:row r="289">
      <x:c r="A289" s="40" t="str">
        <x:v>VS-14</x:v>
      </x:c>
      <x:c r="B289" s="40" t="n">
        <x:v>14</x:v>
      </x:c>
      <x:c r="C289" s="40" t="str">
        <x:v>Wave 3 — Pathways and Life Administration</x:v>
      </x:c>
      <x:c r="D289" s="40" t="str">
        <x:v>O. Government Document Requirements</x:v>
      </x:c>
      <x:c r="E289" s="40" t="str">
        <x:v>AC-O-002</x:v>
      </x:c>
      <x:c r="F289" s="40" t="str">
        <x:v>FR-O-002</x:v>
      </x:c>
      <x:c r="G289" s="40" t="str">
        <x:v>Given the applicable Government Document Requirements preconditions and a valid Local Profile</x:v>
      </x:c>
      <x:c r="H289" s="40" t="str">
        <x:v>When the user performs the relevant action or the relevant system condition occurs</x:v>
      </x:c>
      <x:c r="I289" s="40" t="str">
        <x:v>Then be able to create custom requirements.</x:v>
      </x:c>
      <x:c r="J289" s="40" t="str">
        <x:v>Yes</x:v>
      </x:c>
      <x:c r="K289" s="40" t="str">
        <x:v>Widget test</x:v>
      </x:c>
      <x:c r="L289" s="40" t="str">
        <x:v>Not Started</x:v>
      </x:c>
      <x:c r="M289" s="40"/>
    </x:row>
    <x:row r="290">
      <x:c r="A290" s="40" t="str">
        <x:v>VS-14</x:v>
      </x:c>
      <x:c r="B290" s="40" t="n">
        <x:v>14</x:v>
      </x:c>
      <x:c r="C290" s="40" t="str">
        <x:v>Wave 3 — Pathways and Life Administration</x:v>
      </x:c>
      <x:c r="D290" s="40" t="str">
        <x:v>O. Government Document Requirements</x:v>
      </x:c>
      <x:c r="E290" s="40" t="str">
        <x:v>AC-O-003</x:v>
      </x:c>
      <x:c r="F290" s="40" t="str">
        <x:v>FR-O-003</x:v>
      </x:c>
      <x:c r="G290" s="40" t="str">
        <x:v>Given the applicable Government Document Requirements preconditions and a valid Local Profile</x:v>
      </x:c>
      <x:c r="H290" s="40" t="str">
        <x:v>When the user performs the relevant action or the relevant system condition occurs</x:v>
      </x:c>
      <x:c r="I290" s="40" t="str">
        <x:v>Then identify issuing authority and jurisdiction where available.</x:v>
      </x:c>
      <x:c r="J290" s="40" t="str">
        <x:v>Yes</x:v>
      </x:c>
      <x:c r="K290" s="40" t="str">
        <x:v>Domain test</x:v>
      </x:c>
      <x:c r="L290" s="40" t="str">
        <x:v>Not Started</x:v>
      </x:c>
      <x:c r="M290" s="40"/>
    </x:row>
    <x:row r="291">
      <x:c r="A291" s="40" t="str">
        <x:v>VS-14</x:v>
      </x:c>
      <x:c r="B291" s="40" t="n">
        <x:v>14</x:v>
      </x:c>
      <x:c r="C291" s="40" t="str">
        <x:v>Wave 3 — Pathways and Life Administration</x:v>
      </x:c>
      <x:c r="D291" s="40" t="str">
        <x:v>O. Government Document Requirements</x:v>
      </x:c>
      <x:c r="E291" s="40" t="str">
        <x:v>AC-O-004</x:v>
      </x:c>
      <x:c r="F291" s="40" t="str">
        <x:v>FR-O-004</x:v>
      </x:c>
      <x:c r="G291" s="40" t="str">
        <x:v>Given the applicable Government Document Requirements preconditions and a valid Local Profile</x:v>
      </x:c>
      <x:c r="H291" s="40" t="str">
        <x:v>When the user performs the relevant action or the relevant system condition occurs</x:v>
      </x:c>
      <x:c r="I291" s="40" t="str">
        <x:v>Then requirement guidance shall support source and last-verified date.</x:v>
      </x:c>
      <x:c r="J291" s="40" t="str">
        <x:v>Yes</x:v>
      </x:c>
      <x:c r="K291" s="40" t="str">
        <x:v>Manual review</x:v>
      </x:c>
      <x:c r="L291" s="40" t="str">
        <x:v>Not Started</x:v>
      </x:c>
      <x:c r="M291" s="40"/>
    </x:row>
    <x:row r="292">
      <x:c r="A292" s="40" t="str">
        <x:v>VS-14</x:v>
      </x:c>
      <x:c r="B292" s="40" t="n">
        <x:v>14</x:v>
      </x:c>
      <x:c r="C292" s="40" t="str">
        <x:v>Wave 3 — Pathways and Life Administration</x:v>
      </x:c>
      <x:c r="D292" s="40" t="str">
        <x:v>O. Government Document Requirements</x:v>
      </x:c>
      <x:c r="E292" s="40" t="str">
        <x:v>AC-O-005</x:v>
      </x:c>
      <x:c r="F292" s="40" t="str">
        <x:v>FR-O-005</x:v>
      </x:c>
      <x:c r="G292" s="40" t="str">
        <x:v>Given the applicable Government Document Requirements preconditions and a valid Local Profile</x:v>
      </x:c>
      <x:c r="H292" s="40" t="str">
        <x:v>When the user performs the relevant action or the relevant system condition occurs</x:v>
      </x:c>
      <x:c r="I292" s="40" t="str">
        <x:v>Then identify verified, stale, and unverified content.</x:v>
      </x:c>
      <x:c r="J292" s="40" t="str">
        <x:v>Yes</x:v>
      </x:c>
      <x:c r="K292" s="40" t="str">
        <x:v>Domain test</x:v>
      </x:c>
      <x:c r="L292" s="40" t="str">
        <x:v>Not Started</x:v>
      </x:c>
      <x:c r="M292" s="40"/>
    </x:row>
    <x:row r="293">
      <x:c r="A293" s="40" t="str">
        <x:v>VS-14</x:v>
      </x:c>
      <x:c r="B293" s="40" t="n">
        <x:v>14</x:v>
      </x:c>
      <x:c r="C293" s="40" t="str">
        <x:v>Wave 3 — Pathways and Life Administration</x:v>
      </x:c>
      <x:c r="D293" s="40" t="str">
        <x:v>O. Government Document Requirements</x:v>
      </x:c>
      <x:c r="E293" s="40" t="str">
        <x:v>AC-O-006</x:v>
      </x:c>
      <x:c r="F293" s="40" t="str">
        <x:v>FR-O-006</x:v>
      </x:c>
      <x:c r="G293" s="40" t="str">
        <x:v>Given the applicable Government Document Requirements preconditions and a valid Local Profile</x:v>
      </x:c>
      <x:c r="H293" s="40" t="str">
        <x:v>When the user performs the relevant action or the relevant system condition occurs</x:v>
      </x:c>
      <x:c r="I293" s="40" t="str">
        <x:v>Then be able to create Tasks and Calendar Events.</x:v>
      </x:c>
      <x:c r="J293" s="40" t="str">
        <x:v>Yes</x:v>
      </x:c>
      <x:c r="K293" s="40" t="str">
        <x:v>Widget test / Integration test</x:v>
      </x:c>
      <x:c r="L293" s="40" t="str">
        <x:v>Not Started</x:v>
      </x:c>
      <x:c r="M293" s="40"/>
    </x:row>
    <x:row r="294">
      <x:c r="A294" s="40" t="str">
        <x:v>VS-14</x:v>
      </x:c>
      <x:c r="B294" s="40" t="n">
        <x:v>14</x:v>
      </x:c>
      <x:c r="C294" s="40" t="str">
        <x:v>Wave 3 — Pathways and Life Administration</x:v>
      </x:c>
      <x:c r="D294" s="40" t="str">
        <x:v>O. Government Document Requirements</x:v>
      </x:c>
      <x:c r="E294" s="40" t="str">
        <x:v>AC-O-007</x:v>
      </x:c>
      <x:c r="F294" s="40" t="str">
        <x:v>FR-O-007</x:v>
      </x:c>
      <x:c r="G294" s="40" t="str">
        <x:v>Given the applicable Government Document Requirements preconditions and a valid Local Profile</x:v>
      </x:c>
      <x:c r="H294" s="40" t="str">
        <x:v>When the user performs the relevant action or the relevant system condition occurs</x:v>
      </x:c>
      <x:c r="I294" s="40" t="str">
        <x:v>Then appointment scheduling shall remain separate from submission.</x:v>
      </x:c>
      <x:c r="J294" s="40" t="str">
        <x:v>Yes</x:v>
      </x:c>
      <x:c r="K294" s="40" t="str">
        <x:v>Domain test</x:v>
      </x:c>
      <x:c r="L294" s="40" t="str">
        <x:v>Not Started</x:v>
      </x:c>
      <x:c r="M294" s="40"/>
    </x:row>
    <x:row r="295">
      <x:c r="A295" s="40" t="str">
        <x:v>VS-14</x:v>
      </x:c>
      <x:c r="B295" s="40" t="n">
        <x:v>14</x:v>
      </x:c>
      <x:c r="C295" s="40" t="str">
        <x:v>Wave 3 — Pathways and Life Administration</x:v>
      </x:c>
      <x:c r="D295" s="40" t="str">
        <x:v>O. Government Document Requirements</x:v>
      </x:c>
      <x:c r="E295" s="40" t="str">
        <x:v>AC-O-008</x:v>
      </x:c>
      <x:c r="F295" s="40" t="str">
        <x:v>FR-O-008</x:v>
      </x:c>
      <x:c r="G295" s="40" t="str">
        <x:v>Given the applicable Government Document Requirements preconditions and a valid Local Profile</x:v>
      </x:c>
      <x:c r="H295" s="40" t="str">
        <x:v>When the user performs the relevant action or the relevant system condition occurs</x:v>
      </x:c>
      <x:c r="I295" s="40" t="str">
        <x:v>Then be able to confirm application submission.</x:v>
      </x:c>
      <x:c r="J295" s="40" t="str">
        <x:v>Yes</x:v>
      </x:c>
      <x:c r="K295" s="40" t="str">
        <x:v>Widget test</x:v>
      </x:c>
      <x:c r="L295" s="40" t="str">
        <x:v>Not Started</x:v>
      </x:c>
      <x:c r="M295" s="40"/>
    </x:row>
    <x:row r="296">
      <x:c r="A296" s="40" t="str">
        <x:v>VS-14</x:v>
      </x:c>
      <x:c r="B296" s="40" t="n">
        <x:v>14</x:v>
      </x:c>
      <x:c r="C296" s="40" t="str">
        <x:v>Wave 3 — Pathways and Life Administration</x:v>
      </x:c>
      <x:c r="D296" s="40" t="str">
        <x:v>O. Government Document Requirements</x:v>
      </x:c>
      <x:c r="E296" s="40" t="str">
        <x:v>AC-O-009</x:v>
      </x:c>
      <x:c r="F296" s="40" t="str">
        <x:v>FR-O-009</x:v>
      </x:c>
      <x:c r="G296" s="40" t="str">
        <x:v>Given the applicable Government Document Requirements preconditions and a valid Local Profile</x:v>
      </x:c>
      <x:c r="H296" s="40" t="str">
        <x:v>When the user performs the relevant action or the relevant system condition occurs</x:v>
      </x:c>
      <x:c r="I296" s="40" t="str">
        <x:v>Then be able to record processing or action-needed outcomes.</x:v>
      </x:c>
      <x:c r="J296" s="40" t="str">
        <x:v>No</x:v>
      </x:c>
      <x:c r="K296" s="40" t="str">
        <x:v>Domain test / Widget test</x:v>
      </x:c>
      <x:c r="L296" s="40" t="str">
        <x:v>Not Started</x:v>
      </x:c>
      <x:c r="M296" s="40"/>
    </x:row>
    <x:row r="297">
      <x:c r="A297" s="40" t="str">
        <x:v>VS-14</x:v>
      </x:c>
      <x:c r="B297" s="40" t="n">
        <x:v>14</x:v>
      </x:c>
      <x:c r="C297" s="40" t="str">
        <x:v>Wave 3 — Pathways and Life Administration</x:v>
      </x:c>
      <x:c r="D297" s="40" t="str">
        <x:v>O. Government Document Requirements</x:v>
      </x:c>
      <x:c r="E297" s="40" t="str">
        <x:v>AC-O-010</x:v>
      </x:c>
      <x:c r="F297" s="40" t="str">
        <x:v>FR-O-010</x:v>
      </x:c>
      <x:c r="G297" s="40" t="str">
        <x:v>Given the applicable Government Document Requirements preconditions and a valid Local Profile</x:v>
      </x:c>
      <x:c r="H297" s="40" t="str">
        <x:v>When the user performs the relevant action or the relevant system condition occurs</x:v>
      </x:c>
      <x:c r="I297" s="40" t="str">
        <x:v>Then be able to confirm a document was obtained.</x:v>
      </x:c>
      <x:c r="J297" s="40" t="str">
        <x:v>No</x:v>
      </x:c>
      <x:c r="K297" s="40" t="str">
        <x:v>Widget test</x:v>
      </x:c>
      <x:c r="L297" s="40" t="str">
        <x:v>Not Started</x:v>
      </x:c>
      <x:c r="M297" s="40"/>
    </x:row>
    <x:row r="298">
      <x:c r="A298" s="40" t="str">
        <x:v>VS-14</x:v>
      </x:c>
      <x:c r="B298" s="40" t="n">
        <x:v>14</x:v>
      </x:c>
      <x:c r="C298" s="40" t="str">
        <x:v>Wave 3 — Pathways and Life Administration</x:v>
      </x:c>
      <x:c r="D298" s="40" t="str">
        <x:v>O. Government Document Requirements</x:v>
      </x:c>
      <x:c r="E298" s="40" t="str">
        <x:v>AC-O-011</x:v>
      </x:c>
      <x:c r="F298" s="40" t="str">
        <x:v>FR-O-011</x:v>
      </x:c>
      <x:c r="G298" s="40" t="str">
        <x:v>Given the applicable Government Document Requirements preconditions and a valid Local Profile</x:v>
      </x:c>
      <x:c r="H298" s="40" t="str">
        <x:v>When the user performs the relevant action or the relevant system condition occurs</x:v>
      </x:c>
      <x:c r="I298" s="40" t="str">
        <x:v>Then obtained records shall support optional expiration or renewal dates.</x:v>
      </x:c>
      <x:c r="J298" s="40" t="str">
        <x:v>Yes</x:v>
      </x:c>
      <x:c r="K298" s="40" t="str">
        <x:v>Domain test</x:v>
      </x:c>
      <x:c r="L298" s="40" t="str">
        <x:v>Not Started</x:v>
      </x:c>
      <x:c r="M298" s="40"/>
    </x:row>
    <x:row r="299">
      <x:c r="A299" s="40" t="str">
        <x:v>VS-14</x:v>
      </x:c>
      <x:c r="B299" s="40" t="n">
        <x:v>14</x:v>
      </x:c>
      <x:c r="C299" s="40" t="str">
        <x:v>Wave 3 — Pathways and Life Administration</x:v>
      </x:c>
      <x:c r="D299" s="40" t="str">
        <x:v>O. Government Document Requirements</x:v>
      </x:c>
      <x:c r="E299" s="40" t="str">
        <x:v>AC-O-012</x:v>
      </x:c>
      <x:c r="F299" s="40" t="str">
        <x:v>FR-O-012</x:v>
      </x:c>
      <x:c r="G299" s="40" t="str">
        <x:v>Given the applicable Government Document Requirements preconditions and a valid Local Profile</x:v>
      </x:c>
      <x:c r="H299" s="40" t="str">
        <x:v>When the user performs the relevant action or the relevant system condition occurs</x:v>
      </x:c>
      <x:c r="I299" s="40" t="str">
        <x:v>Then derive Renewal Due attention from explicit dates.</x:v>
      </x:c>
      <x:c r="J299" s="40" t="str">
        <x:v>No</x:v>
      </x:c>
      <x:c r="K299" s="40" t="str">
        <x:v>Domain test</x:v>
      </x:c>
      <x:c r="L299" s="40" t="str">
        <x:v>Not Started</x:v>
      </x:c>
      <x:c r="M299" s="40"/>
    </x:row>
    <x:row r="300">
      <x:c r="A300" s="40" t="str">
        <x:v>VS-14</x:v>
      </x:c>
      <x:c r="B300" s="40" t="n">
        <x:v>14</x:v>
      </x:c>
      <x:c r="C300" s="40" t="str">
        <x:v>Wave 3 — Pathways and Life Administration</x:v>
      </x:c>
      <x:c r="D300" s="40" t="str">
        <x:v>O. Government Document Requirements</x:v>
      </x:c>
      <x:c r="E300" s="40" t="str">
        <x:v>AC-O-013</x:v>
      </x:c>
      <x:c r="F300" s="40" t="str">
        <x:v>FR-O-013</x:v>
      </x:c>
      <x:c r="G300" s="40" t="str">
        <x:v>Given the applicable Government Document Requirements preconditions and a valid Local Profile</x:v>
      </x:c>
      <x:c r="H300" s="40" t="str">
        <x:v>When the user performs the relevant action or the relevant system condition occurs</x:v>
      </x:c>
      <x:c r="I300" s="40" t="str">
        <x:v>Then be able to store an optional masked reference.</x:v>
      </x:c>
      <x:c r="J300" s="40" t="str">
        <x:v>Yes</x:v>
      </x:c>
      <x:c r="K300" s="40" t="str">
        <x:v>Widget test</x:v>
      </x:c>
      <x:c r="L300" s="40" t="str">
        <x:v>Not Started</x:v>
      </x:c>
      <x:c r="M300" s="40"/>
    </x:row>
    <x:row r="301">
      <x:c r="A301" s="40" t="str">
        <x:v>VS-14</x:v>
      </x:c>
      <x:c r="B301" s="40" t="n">
        <x:v>14</x:v>
      </x:c>
      <x:c r="C301" s="40" t="str">
        <x:v>Wave 3 — Pathways and Life Administration</x:v>
      </x:c>
      <x:c r="D301" s="40" t="str">
        <x:v>O. Government Document Requirements</x:v>
      </x:c>
      <x:c r="E301" s="40" t="str">
        <x:v>AC-O-014</x:v>
      </x:c>
      <x:c r="F301" s="40" t="str">
        <x:v>FR-O-014</x:v>
      </x:c>
      <x:c r="G301" s="40" t="str">
        <x:v>Given the applicable Government Document Requirements preconditions and a valid Local Profile</x:v>
      </x:c>
      <x:c r="H301" s="40" t="str">
        <x:v>When the user performs the relevant action or the relevant system condition occurs</x:v>
      </x:c>
      <x:c r="I301" s="40" t="str">
        <x:v>Then full document numbers shall not be required.</x:v>
      </x:c>
      <x:c r="J301" s="40" t="str">
        <x:v>Yes</x:v>
      </x:c>
      <x:c r="K301" s="40" t="str">
        <x:v>Domain test</x:v>
      </x:c>
      <x:c r="L301" s="40" t="str">
        <x:v>Not Started</x:v>
      </x:c>
      <x:c r="M301" s="40"/>
    </x:row>
    <x:row r="302">
      <x:c r="A302" s="40" t="str">
        <x:v>VS-14</x:v>
      </x:c>
      <x:c r="B302" s="40" t="n">
        <x:v>14</x:v>
      </x:c>
      <x:c r="C302" s="40" t="str">
        <x:v>Wave 3 — Pathways and Life Administration</x:v>
      </x:c>
      <x:c r="D302" s="40" t="str">
        <x:v>O. Government Document Requirements</x:v>
      </x:c>
      <x:c r="E302" s="40" t="str">
        <x:v>AC-O-015</x:v>
      </x:c>
      <x:c r="F302" s="40" t="str">
        <x:v>FR-O-015</x:v>
      </x:c>
      <x:c r="G302" s="40" t="str">
        <x:v>Given the applicable Government Document Requirements preconditions and a valid Local Profile</x:v>
      </x:c>
      <x:c r="H302" s="40" t="str">
        <x:v>When the user performs the relevant action or the relevant system condition occurs</x:v>
      </x:c>
      <x:c r="I302" s="40" t="str">
        <x:v>Then document images shall not be required or stored in V1.</x:v>
      </x:c>
      <x:c r="J302" s="40" t="str">
        <x:v>Yes</x:v>
      </x:c>
      <x:c r="K302" s="40" t="str">
        <x:v>Domain test</x:v>
      </x:c>
      <x:c r="L302" s="40" t="str">
        <x:v>Not Started</x:v>
      </x:c>
      <x:c r="M302" s="40"/>
    </x:row>
    <x:row r="303">
      <x:c r="A303" s="40" t="str">
        <x:v>VS-14</x:v>
      </x:c>
      <x:c r="B303" s="40" t="n">
        <x:v>14</x:v>
      </x:c>
      <x:c r="C303" s="40" t="str">
        <x:v>Wave 3 — Pathways and Life Administration</x:v>
      </x:c>
      <x:c r="D303" s="40" t="str">
        <x:v>O. Government Document Requirements</x:v>
      </x:c>
      <x:c r="E303" s="40" t="str">
        <x:v>AC-O-016</x:v>
      </x:c>
      <x:c r="F303" s="40" t="str">
        <x:v>FR-O-016</x:v>
      </x:c>
      <x:c r="G303" s="40" t="str">
        <x:v>Given the applicable Government Document Requirements preconditions and a valid Local Profile</x:v>
      </x:c>
      <x:c r="H303" s="40" t="str">
        <x:v>When the user performs the relevant action or the relevant system condition occurs</x:v>
      </x:c>
      <x:c r="I303" s="40" t="str">
        <x:v>Then content updates shall preserve user state and history.</x:v>
      </x:c>
      <x:c r="J303" s="40" t="str">
        <x:v>Yes</x:v>
      </x:c>
      <x:c r="K303" s="40" t="str">
        <x:v>Domain test</x:v>
      </x:c>
      <x:c r="L303" s="40" t="str">
        <x:v>Not Started</x:v>
      </x:c>
      <x:c r="M303" s="40"/>
    </x:row>
    <x:row r="304">
      <x:c r="A304" s="40" t="str">
        <x:v>VS-14</x:v>
      </x:c>
      <x:c r="B304" s="40" t="n">
        <x:v>14</x:v>
      </x:c>
      <x:c r="C304" s="40" t="str">
        <x:v>Wave 3 — Pathways and Life Administration</x:v>
      </x:c>
      <x:c r="D304" s="40" t="str">
        <x:v>O. Government Document Requirements</x:v>
      </x:c>
      <x:c r="E304" s="40" t="str">
        <x:v>AC-O-017</x:v>
      </x:c>
      <x:c r="F304" s="40" t="str">
        <x:v>FR-O-017</x:v>
      </x:c>
      <x:c r="G304" s="40" t="str">
        <x:v>Given the applicable Government Document Requirements preconditions and a valid Local Profile</x:v>
      </x:c>
      <x:c r="H304" s="40" t="str">
        <x:v>When the user performs the relevant action or the relevant system condition occurs</x:v>
      </x:c>
      <x:c r="I304" s="40" t="str">
        <x:v>Then provide content version context.</x:v>
      </x:c>
      <x:c r="J304" s="40" t="str">
        <x:v>No</x:v>
      </x:c>
      <x:c r="K304" s="40" t="str">
        <x:v>Domain test</x:v>
      </x:c>
      <x:c r="L304" s="40" t="str">
        <x:v>Not Started</x:v>
      </x:c>
      <x:c r="M304" s="40"/>
    </x:row>
    <x:row r="305">
      <x:c r="A305" s="40" t="str">
        <x:v>VS-14</x:v>
      </x:c>
      <x:c r="B305" s="40" t="n">
        <x:v>14</x:v>
      </x:c>
      <x:c r="C305" s="40" t="str">
        <x:v>Wave 3 — Pathways and Life Administration</x:v>
      </x:c>
      <x:c r="D305" s="40" t="str">
        <x:v>O. Government Document Requirements</x:v>
      </x:c>
      <x:c r="E305" s="40" t="str">
        <x:v>AC-O-018</x:v>
      </x:c>
      <x:c r="F305" s="40" t="str">
        <x:v>FR-O-018</x:v>
      </x:c>
      <x:c r="G305" s="40" t="str">
        <x:v>Given the applicable Government Document Requirements preconditions and a valid Local Profile</x:v>
      </x:c>
      <x:c r="H305" s="40" t="str">
        <x:v>When the user performs the relevant action or the relevant system condition occurs</x:v>
      </x:c>
      <x:c r="I305" s="40" t="str">
        <x:v>Then be able to archive and restore requirements.</x:v>
      </x:c>
      <x:c r="J305" s="40" t="str">
        <x:v>Yes</x:v>
      </x:c>
      <x:c r="K305" s="40" t="str">
        <x:v>Database test / Widget test</x:v>
      </x:c>
      <x:c r="L305" s="40" t="str">
        <x:v>Not Started</x:v>
      </x:c>
      <x:c r="M305" s="40"/>
    </x:row>
    <x:row r="306">
      <x:c r="A306" s="40" t="str">
        <x:v>VS-14</x:v>
      </x:c>
      <x:c r="B306" s="40" t="n">
        <x:v>14</x:v>
      </x:c>
      <x:c r="C306" s="40" t="str">
        <x:v>Wave 3 — Pathways and Life Administration</x:v>
      </x:c>
      <x:c r="D306" s="40" t="str">
        <x:v>O. Government Document Requirements</x:v>
      </x:c>
      <x:c r="E306" s="40" t="str">
        <x:v>AC-O-019</x:v>
      </x:c>
      <x:c r="F306" s="40" t="str">
        <x:v>FR-O-019</x:v>
      </x:c>
      <x:c r="G306" s="40" t="str">
        <x:v>Given the applicable Government Document Requirements preconditions and a valid Local Profile</x:v>
      </x:c>
      <x:c r="H306" s="40" t="str">
        <x:v>When the user performs the relevant action or the relevant system condition occurs</x:v>
      </x:c>
      <x:c r="I306" s="40" t="str">
        <x:v>Then the feature shall operate offline.</x:v>
      </x:c>
      <x:c r="J306" s="40" t="str">
        <x:v>Yes</x:v>
      </x:c>
      <x:c r="K306" s="40" t="str">
        <x:v>Domain test</x:v>
      </x:c>
      <x:c r="L306" s="40" t="str">
        <x:v>Not Started</x:v>
      </x:c>
      <x:c r="M306" s="40"/>
    </x:row>
    <x:row r="307">
      <x:c r="A307" s="40" t="str">
        <x:v>VS-14</x:v>
      </x:c>
      <x:c r="B307" s="40" t="n">
        <x:v>14</x:v>
      </x:c>
      <x:c r="C307" s="40" t="str">
        <x:v>Wave 3 — Pathways and Life Administration</x:v>
      </x:c>
      <x:c r="D307" s="40" t="str">
        <x:v>O. Government Document Requirements</x:v>
      </x:c>
      <x:c r="E307" s="40" t="str">
        <x:v>AC-O-020</x:v>
      </x:c>
      <x:c r="F307" s="40" t="str">
        <x:v>FR-O-020</x:v>
      </x:c>
      <x:c r="G307" s="40" t="str">
        <x:v>Given the applicable Government Document Requirements preconditions and a valid Local Profile</x:v>
      </x:c>
      <x:c r="H307" s="40" t="str">
        <x:v>When the user performs the relevant action or the relevant system condition occurs</x:v>
      </x:c>
      <x:c r="I307" s="40" t="str">
        <x:v>Then external official links shall not block local use.</x:v>
      </x:c>
      <x:c r="J307" s="40" t="str">
        <x:v>Yes</x:v>
      </x:c>
      <x:c r="K307" s="40" t="str">
        <x:v>Integration test / Manual review</x:v>
      </x:c>
      <x:c r="L307" s="40" t="str">
        <x:v>Not Started</x:v>
      </x:c>
      <x:c r="M307" s="40"/>
    </x:row>
    <x:row r="308">
      <x:c r="A308" s="40" t="str">
        <x:v>VS-15</x:v>
      </x:c>
      <x:c r="B308" s="40" t="n">
        <x:v>15</x:v>
      </x:c>
      <x:c r="C308" s="40" t="str">
        <x:v>Wave 3 — Pathways and Life Administration</x:v>
      </x:c>
      <x:c r="D308" s="40" t="str">
        <x:v>P. Maps and Locations</x:v>
      </x:c>
      <x:c r="E308" s="40" t="str">
        <x:v>AC-P-001</x:v>
      </x:c>
      <x:c r="F308" s="40" t="str">
        <x:v>FR-P-001</x:v>
      </x:c>
      <x:c r="G308" s="40" t="str">
        <x:v>Given the applicable Maps and Locations preconditions and a valid Local Profile</x:v>
      </x:c>
      <x:c r="H308" s="40" t="str">
        <x:v>When the user performs the relevant action or the relevant system condition occurs</x:v>
      </x:c>
      <x:c r="I308" s="40" t="str">
        <x:v>Then be able to enter and save typed location text without granting location permission.</x:v>
      </x:c>
      <x:c r="J308" s="40" t="str">
        <x:v>Yes</x:v>
      </x:c>
      <x:c r="K308" s="40" t="str">
        <x:v>Widget test</x:v>
      </x:c>
      <x:c r="L308" s="40" t="str">
        <x:v>Not Started</x:v>
      </x:c>
      <x:c r="M308" s="40"/>
    </x:row>
    <x:row r="309">
      <x:c r="A309" s="40" t="str">
        <x:v>VS-15</x:v>
      </x:c>
      <x:c r="B309" s="40" t="n">
        <x:v>15</x:v>
      </x:c>
      <x:c r="C309" s="40" t="str">
        <x:v>Wave 3 — Pathways and Life Administration</x:v>
      </x:c>
      <x:c r="D309" s="40" t="str">
        <x:v>P. Maps and Locations</x:v>
      </x:c>
      <x:c r="E309" s="40" t="str">
        <x:v>AC-P-002</x:v>
      </x:c>
      <x:c r="F309" s="40" t="str">
        <x:v>FR-P-002</x:v>
      </x:c>
      <x:c r="G309" s="40" t="str">
        <x:v>Given the applicable Maps and Locations preconditions and a valid Local Profile</x:v>
      </x:c>
      <x:c r="H309" s="40" t="str">
        <x:v>When the user performs the relevant action or the relevant system condition occurs</x:v>
      </x:c>
      <x:c r="I309" s="40" t="str">
        <x:v>Then remain contextual and shall not be added to permanent bottom navigation.</x:v>
      </x:c>
      <x:c r="J309" s="40" t="str">
        <x:v>Yes</x:v>
      </x:c>
      <x:c r="K309" s="40" t="str">
        <x:v>Domain test</x:v>
      </x:c>
      <x:c r="L309" s="40" t="str">
        <x:v>Not Started</x:v>
      </x:c>
      <x:c r="M309" s="40"/>
    </x:row>
    <x:row r="310">
      <x:c r="A310" s="40" t="str">
        <x:v>VS-15</x:v>
      </x:c>
      <x:c r="B310" s="40" t="n">
        <x:v>15</x:v>
      </x:c>
      <x:c r="C310" s="40" t="str">
        <x:v>Wave 3 — Pathways and Life Administration</x:v>
      </x:c>
      <x:c r="D310" s="40" t="str">
        <x:v>P. Maps and Locations</x:v>
      </x:c>
      <x:c r="E310" s="40" t="str">
        <x:v>AC-P-003</x:v>
      </x:c>
      <x:c r="F310" s="40" t="str">
        <x:v>FR-P-003</x:v>
      </x:c>
      <x:c r="G310" s="40" t="str">
        <x:v>Given the applicable Maps and Locations preconditions and a valid Local Profile</x:v>
      </x:c>
      <x:c r="H310" s="40" t="str">
        <x:v>When the user performs the relevant action or the relevant system condition occurs</x:v>
      </x:c>
      <x:c r="I310" s="40" t="str">
        <x:v>Then be able to hand a stored destination to a compatible Android maps application.</x:v>
      </x:c>
      <x:c r="J310" s="40" t="str">
        <x:v>Yes</x:v>
      </x:c>
      <x:c r="K310" s="40" t="str">
        <x:v>Widget test / Integration test</x:v>
      </x:c>
      <x:c r="L310" s="40" t="str">
        <x:v>Not Started</x:v>
      </x:c>
      <x:c r="M310" s="40"/>
    </x:row>
    <x:row r="311">
      <x:c r="A311" s="40" t="str">
        <x:v>VS-15</x:v>
      </x:c>
      <x:c r="B311" s="40" t="n">
        <x:v>15</x:v>
      </x:c>
      <x:c r="C311" s="40" t="str">
        <x:v>Wave 3 — Pathways and Life Administration</x:v>
      </x:c>
      <x:c r="D311" s="40" t="str">
        <x:v>P. Maps and Locations</x:v>
      </x:c>
      <x:c r="E311" s="40" t="str">
        <x:v>AC-P-004</x:v>
      </x:c>
      <x:c r="F311" s="40" t="str">
        <x:v>FR-P-004</x:v>
      </x:c>
      <x:c r="G311" s="40" t="str">
        <x:v>Given the applicable Maps and Locations preconditions and a valid Local Profile</x:v>
      </x:c>
      <x:c r="H311" s="40" t="str">
        <x:v>When the user performs the relevant action or the relevant system condition occurs</x:v>
      </x:c>
      <x:c r="I311" s="40" t="str">
        <x:v>Then current-location permission shall be requested only after the user selects a feature that needs it.</x:v>
      </x:c>
      <x:c r="J311" s="40" t="str">
        <x:v>Yes</x:v>
      </x:c>
      <x:c r="K311" s="40" t="str">
        <x:v>Widget test</x:v>
      </x:c>
      <x:c r="L311" s="40" t="str">
        <x:v>Not Started</x:v>
      </x:c>
      <x:c r="M311" s="40"/>
    </x:row>
    <x:row r="312">
      <x:c r="A312" s="40" t="str">
        <x:v>VS-15</x:v>
      </x:c>
      <x:c r="B312" s="40" t="n">
        <x:v>15</x:v>
      </x:c>
      <x:c r="C312" s="40" t="str">
        <x:v>Wave 3 — Pathways and Life Administration</x:v>
      </x:c>
      <x:c r="D312" s="40" t="str">
        <x:v>P. Maps and Locations</x:v>
      </x:c>
      <x:c r="E312" s="40" t="str">
        <x:v>AC-P-005</x:v>
      </x:c>
      <x:c r="F312" s="40" t="str">
        <x:v>FR-P-005</x:v>
      </x:c>
      <x:c r="G312" s="40" t="str">
        <x:v>Given the applicable Maps and Locations preconditions and a valid Local Profile</x:v>
      </x:c>
      <x:c r="H312" s="40" t="str">
        <x:v>When the user performs the relevant action or the relevant system condition occurs</x:v>
      </x:c>
      <x:c r="I312" s="40" t="str">
        <x:v>Then denial or revocation of location permission shall not block core domain workflows.</x:v>
      </x:c>
      <x:c r="J312" s="40" t="str">
        <x:v>Yes</x:v>
      </x:c>
      <x:c r="K312" s="40" t="str">
        <x:v>Widget test</x:v>
      </x:c>
      <x:c r="L312" s="40" t="str">
        <x:v>Not Started</x:v>
      </x:c>
      <x:c r="M312" s="40"/>
    </x:row>
    <x:row r="313">
      <x:c r="A313" s="40" t="str">
        <x:v>VS-15</x:v>
      </x:c>
      <x:c r="B313" s="40" t="n">
        <x:v>15</x:v>
      </x:c>
      <x:c r="C313" s="40" t="str">
        <x:v>Wave 3 — Pathways and Life Administration</x:v>
      </x:c>
      <x:c r="D313" s="40" t="str">
        <x:v>P. Maps and Locations</x:v>
      </x:c>
      <x:c r="E313" s="40" t="str">
        <x:v>AC-P-006</x:v>
      </x:c>
      <x:c r="F313" s="40" t="str">
        <x:v>FR-P-006</x:v>
      </x:c>
      <x:c r="G313" s="40" t="str">
        <x:v>Given the applicable Maps and Locations preconditions and a valid Local Profile</x:v>
      </x:c>
      <x:c r="H313" s="40" t="str">
        <x:v>When the user performs the relevant action or the relevant system condition occurs</x:v>
      </x:c>
      <x:c r="I313" s="40" t="str">
        <x:v>Then be able to create, edit, and reuse private Saved Places locally.</x:v>
      </x:c>
      <x:c r="J313" s="40" t="str">
        <x:v>No</x:v>
      </x:c>
      <x:c r="K313" s="40" t="str">
        <x:v>Widget test</x:v>
      </x:c>
      <x:c r="L313" s="40" t="str">
        <x:v>Not Started</x:v>
      </x:c>
      <x:c r="M313" s="40"/>
    </x:row>
    <x:row r="314">
      <x:c r="A314" s="40" t="str">
        <x:v>VS-15</x:v>
      </x:c>
      <x:c r="B314" s="40" t="n">
        <x:v>15</x:v>
      </x:c>
      <x:c r="C314" s="40" t="str">
        <x:v>Wave 3 — Pathways and Life Administration</x:v>
      </x:c>
      <x:c r="D314" s="40" t="str">
        <x:v>P. Maps and Locations</x:v>
      </x:c>
      <x:c r="E314" s="40" t="str">
        <x:v>AC-P-007</x:v>
      </x:c>
      <x:c r="F314" s="40" t="str">
        <x:v>FR-P-007</x:v>
      </x:c>
      <x:c r="G314" s="40" t="str">
        <x:v>Given the applicable Maps and Locations preconditions and a valid Local Profile</x:v>
      </x:c>
      <x:c r="H314" s="40" t="str">
        <x:v>When the user performs the relevant action or the relevant system condition occurs</x:v>
      </x:c>
      <x:c r="I314" s="40" t="str">
        <x:v>Then location text, optional coordinates, and the owning domain record shall retain separate identities.</x:v>
      </x:c>
      <x:c r="J314" s="40" t="str">
        <x:v>Yes</x:v>
      </x:c>
      <x:c r="K314" s="40" t="str">
        <x:v>Domain test</x:v>
      </x:c>
      <x:c r="L314" s="40" t="str">
        <x:v>Not Started</x:v>
      </x:c>
      <x:c r="M314" s="40"/>
    </x:row>
    <x:row r="315">
      <x:c r="A315" s="40" t="str">
        <x:v>VS-15</x:v>
      </x:c>
      <x:c r="B315" s="40" t="n">
        <x:v>15</x:v>
      </x:c>
      <x:c r="C315" s="40" t="str">
        <x:v>Wave 3 — Pathways and Life Administration</x:v>
      </x:c>
      <x:c r="D315" s="40" t="str">
        <x:v>P. Maps and Locations</x:v>
      </x:c>
      <x:c r="E315" s="40" t="str">
        <x:v>AC-P-008</x:v>
      </x:c>
      <x:c r="F315" s="40" t="str">
        <x:v>FR-P-008</x:v>
      </x:c>
      <x:c r="G315" s="40" t="str">
        <x:v>Given the applicable Maps and Locations preconditions and a valid Local Profile</x:v>
      </x:c>
      <x:c r="H315" s="40" t="str">
        <x:v>When the user performs the relevant action or the relevant system condition occurs</x:v>
      </x:c>
      <x:c r="I315" s="40" t="str">
        <x:v>Then not require or collect background location for V1 location workflows.</x:v>
      </x:c>
      <x:c r="J315" s="40" t="str">
        <x:v>Yes</x:v>
      </x:c>
      <x:c r="K315" s="40" t="str">
        <x:v>Integration test</x:v>
      </x:c>
      <x:c r="L315" s="40" t="str">
        <x:v>Not Started</x:v>
      </x:c>
      <x:c r="M315" s="40"/>
    </x:row>
    <x:row r="316">
      <x:c r="A316" s="40" t="str">
        <x:v>VS-15</x:v>
      </x:c>
      <x:c r="B316" s="40" t="n">
        <x:v>15</x:v>
      </x:c>
      <x:c r="C316" s="40" t="str">
        <x:v>Wave 3 — Pathways and Life Administration</x:v>
      </x:c>
      <x:c r="D316" s="40" t="str">
        <x:v>P. Maps and Locations</x:v>
      </x:c>
      <x:c r="E316" s="40" t="str">
        <x:v>AC-P-009</x:v>
      </x:c>
      <x:c r="F316" s="40" t="str">
        <x:v>FR-P-009</x:v>
      </x:c>
      <x:c r="G316" s="40" t="str">
        <x:v>Given the applicable Maps and Locations preconditions and a valid Local Profile</x:v>
      </x:c>
      <x:c r="H316" s="40" t="str">
        <x:v>When the user performs the relevant action or the relevant system condition occurs</x:v>
      </x:c>
      <x:c r="I316" s="40" t="str">
        <x:v>Then stored locations shall remain viewable and editable offline.</x:v>
      </x:c>
      <x:c r="J316" s="40" t="str">
        <x:v>Yes</x:v>
      </x:c>
      <x:c r="K316" s="40" t="str">
        <x:v>Domain test</x:v>
      </x:c>
      <x:c r="L316" s="40" t="str">
        <x:v>Not Started</x:v>
      </x:c>
      <x:c r="M316" s="40"/>
    </x:row>
    <x:row r="317">
      <x:c r="A317" s="40" t="str">
        <x:v>VS-15</x:v>
      </x:c>
      <x:c r="B317" s="40" t="n">
        <x:v>15</x:v>
      </x:c>
      <x:c r="C317" s="40" t="str">
        <x:v>Wave 3 — Pathways and Life Administration</x:v>
      </x:c>
      <x:c r="D317" s="40" t="str">
        <x:v>P. Maps and Locations</x:v>
      </x:c>
      <x:c r="E317" s="40" t="str">
        <x:v>AC-P-010</x:v>
      </x:c>
      <x:c r="F317" s="40" t="str">
        <x:v>FR-P-010</x:v>
      </x:c>
      <x:c r="G317" s="40" t="str">
        <x:v>Given the applicable Maps and Locations preconditions and a valid Local Profile</x:v>
      </x:c>
      <x:c r="H317" s="40" t="str">
        <x:v>When the user performs the relevant action or the relevant system condition occurs</x:v>
      </x:c>
      <x:c r="I317" s="40" t="str">
        <x:v>Then map use, location lookup, and destination arrival shall not change outcomes or Actual.</x:v>
      </x:c>
      <x:c r="J317" s="40" t="str">
        <x:v>Yes</x:v>
      </x:c>
      <x:c r="K317" s="40" t="str">
        <x:v>Domain test</x:v>
      </x:c>
      <x:c r="L317" s="40" t="str">
        <x:v>Not Started</x:v>
      </x:c>
      <x:c r="M317" s="40"/>
    </x:row>
    <x:row r="318">
      <x:c r="A318" s="40" t="str">
        <x:v>VS-15</x:v>
      </x:c>
      <x:c r="B318" s="40" t="n">
        <x:v>15</x:v>
      </x:c>
      <x:c r="C318" s="40" t="str">
        <x:v>Wave 3 — Pathways and Life Administration</x:v>
      </x:c>
      <x:c r="D318" s="40" t="str">
        <x:v>P. Maps and Locations</x:v>
      </x:c>
      <x:c r="E318" s="40" t="str">
        <x:v>AC-P-011</x:v>
      </x:c>
      <x:c r="F318" s="40" t="str">
        <x:v>FR-P-011</x:v>
      </x:c>
      <x:c r="G318" s="40" t="str">
        <x:v>Given the applicable Maps and Locations preconditions and a valid Local Profile</x:v>
      </x:c>
      <x:c r="H318" s="40" t="str">
        <x:v>When the user performs the relevant action or the relevant system condition occurs</x:v>
      </x:c>
      <x:c r="I318" s="40" t="str">
        <x:v>Then rescheduled Calendar Events shall preserve original and replacement location history.</x:v>
      </x:c>
      <x:c r="J318" s="40" t="str">
        <x:v>Yes</x:v>
      </x:c>
      <x:c r="K318" s="40" t="str">
        <x:v>Integration test</x:v>
      </x:c>
      <x:c r="L318" s="40" t="str">
        <x:v>Not Started</x:v>
      </x:c>
      <x:c r="M318" s="40"/>
    </x:row>
    <x:row r="319">
      <x:c r="A319" s="40" t="str">
        <x:v>VS-15</x:v>
      </x:c>
      <x:c r="B319" s="40" t="n">
        <x:v>15</x:v>
      </x:c>
      <x:c r="C319" s="40" t="str">
        <x:v>Wave 3 — Pathways and Life Administration</x:v>
      </x:c>
      <x:c r="D319" s="40" t="str">
        <x:v>P. Maps and Locations</x:v>
      </x:c>
      <x:c r="E319" s="40" t="str">
        <x:v>AC-P-012</x:v>
      </x:c>
      <x:c r="F319" s="40" t="str">
        <x:v>FR-P-012</x:v>
      </x:c>
      <x:c r="G319" s="40" t="str">
        <x:v>Given the applicable Maps and Locations preconditions and a valid Local Profile</x:v>
      </x:c>
      <x:c r="H319" s="40" t="str">
        <x:v>When the user performs the relevant action or the relevant system condition occurs</x:v>
      </x:c>
      <x:c r="I319" s="40" t="str">
        <x:v>Then location-related diagnostics shall avoid exposing precise personal location by default.</x:v>
      </x:c>
      <x:c r="J319" s="40" t="str">
        <x:v>No</x:v>
      </x:c>
      <x:c r="K319" s="40" t="str">
        <x:v>Manual review</x:v>
      </x:c>
      <x:c r="L319" s="40" t="str">
        <x:v>Not Started</x:v>
      </x:c>
      <x:c r="M319" s="40"/>
    </x:row>
    <x:row r="320">
      <x:c r="A320" s="40" t="str">
        <x:v>VS-15</x:v>
      </x:c>
      <x:c r="B320" s="40" t="n">
        <x:v>15</x:v>
      </x:c>
      <x:c r="C320" s="40" t="str">
        <x:v>Wave 3 — Pathways and Life Administration</x:v>
      </x:c>
      <x:c r="D320" s="40" t="str">
        <x:v>P. Maps and Locations</x:v>
      </x:c>
      <x:c r="E320" s="40" t="str">
        <x:v>AC-P-013</x:v>
      </x:c>
      <x:c r="F320" s="40" t="str">
        <x:v>FR-P-013</x:v>
      </x:c>
      <x:c r="G320" s="40" t="str">
        <x:v>Given the applicable Maps and Locations preconditions and a valid Local Profile</x:v>
      </x:c>
      <x:c r="H320" s="40" t="str">
        <x:v>When the user performs the relevant action or the relevant system condition occurs</x:v>
      </x:c>
      <x:c r="I320" s="40" t="str">
        <x:v>Then when no compatible map provider is available, the app shall retain and expose a copyable location fallback.</x:v>
      </x:c>
      <x:c r="J320" s="40" t="str">
        <x:v>No</x:v>
      </x:c>
      <x:c r="K320" s="40" t="str">
        <x:v>Domain test</x:v>
      </x:c>
      <x:c r="L320" s="40" t="str">
        <x:v>Not Started</x:v>
      </x:c>
      <x:c r="M320" s="40"/>
    </x:row>
    <x:row r="321">
      <x:c r="A321" s="40" t="str">
        <x:v>VS-15</x:v>
      </x:c>
      <x:c r="B321" s="40" t="n">
        <x:v>15</x:v>
      </x:c>
      <x:c r="C321" s="40" t="str">
        <x:v>Wave 3 — Pathways and Life Administration</x:v>
      </x:c>
      <x:c r="D321" s="40" t="str">
        <x:v>P. Maps and Locations</x:v>
      </x:c>
      <x:c r="E321" s="40" t="str">
        <x:v>AC-P-014</x:v>
      </x:c>
      <x:c r="F321" s="40" t="str">
        <x:v>FR-P-014</x:v>
      </x:c>
      <x:c r="G321" s="40" t="str">
        <x:v>Given the applicable Maps and Locations preconditions and a valid Local Profile</x:v>
      </x:c>
      <x:c r="H321" s="40" t="str">
        <x:v>When the user performs the relevant action or the relevant system condition occurs</x:v>
      </x:c>
      <x:c r="I321" s="40" t="str">
        <x:v>Then be able to select a Saved Place while preserving a snapshot of the location used by the owning record.</x:v>
      </x:c>
      <x:c r="J321" s="40" t="str">
        <x:v>No</x:v>
      </x:c>
      <x:c r="K321" s="40" t="str">
        <x:v>Widget test</x:v>
      </x:c>
      <x:c r="L321" s="40" t="str">
        <x:v>Not Started</x:v>
      </x:c>
      <x:c r="M321" s="40"/>
    </x:row>
    <x:row r="322">
      <x:c r="A322" s="40" t="str">
        <x:v>VS-15</x:v>
      </x:c>
      <x:c r="B322" s="40" t="n">
        <x:v>15</x:v>
      </x:c>
      <x:c r="C322" s="40" t="str">
        <x:v>Wave 3 — Pathways and Life Administration</x:v>
      </x:c>
      <x:c r="D322" s="40" t="str">
        <x:v>P. Maps and Locations</x:v>
      </x:c>
      <x:c r="E322" s="40" t="str">
        <x:v>AC-P-015</x:v>
      </x:c>
      <x:c r="F322" s="40" t="str">
        <x:v>FR-P-015</x:v>
      </x:c>
      <x:c r="G322" s="40" t="str">
        <x:v>Given the applicable Maps and Locations preconditions and a valid Local Profile</x:v>
      </x:c>
      <x:c r="H322" s="40" t="str">
        <x:v>When the user performs the relevant action or the relevant system condition occurs</x:v>
      </x:c>
      <x:c r="I322" s="40" t="str">
        <x:v>Then not retain continuous route or movement history.</x:v>
      </x:c>
      <x:c r="J322" s="40" t="str">
        <x:v>Yes</x:v>
      </x:c>
      <x:c r="K322" s="40" t="str">
        <x:v>Domain test</x:v>
      </x:c>
      <x:c r="L322" s="40" t="str">
        <x:v>Not Started</x:v>
      </x:c>
      <x:c r="M322" s="40"/>
    </x:row>
    <x:row r="323">
      <x:c r="A323" s="40" t="str">
        <x:v>VS-16</x:v>
      </x:c>
      <x:c r="B323" s="40" t="n">
        <x:v>16</x:v>
      </x:c>
      <x:c r="C323" s="40" t="str">
        <x:v>Wave 4 — Device Services and Reliability</x:v>
      </x:c>
      <x:c r="D323" s="40" t="str">
        <x:v>Q. Notifications and Reminders</x:v>
      </x:c>
      <x:c r="E323" s="40" t="str">
        <x:v>AC-Q-001</x:v>
      </x:c>
      <x:c r="F323" s="40" t="str">
        <x:v>FR-Q-001</x:v>
      </x:c>
      <x:c r="G323" s="40" t="str">
        <x:v>Given the applicable Notifications and Reminders preconditions and a valid Local Profile</x:v>
      </x:c>
      <x:c r="H323" s="40" t="str">
        <x:v>When the user performs the relevant action or the relevant system condition occurs</x:v>
      </x:c>
      <x:c r="I323" s="40" t="str">
        <x:v>Then be requested only when the user enables a system-notification feature.</x:v>
      </x:c>
      <x:c r="J323" s="40" t="str">
        <x:v>Yes</x:v>
      </x:c>
      <x:c r="K323" s="40" t="str">
        <x:v>Widget test</x:v>
      </x:c>
      <x:c r="L323" s="40" t="str">
        <x:v>Not Started</x:v>
      </x:c>
      <x:c r="M323" s="40"/>
    </x:row>
    <x:row r="324">
      <x:c r="A324" s="40" t="str">
        <x:v>VS-16</x:v>
      </x:c>
      <x:c r="B324" s="40" t="n">
        <x:v>16</x:v>
      </x:c>
      <x:c r="C324" s="40" t="str">
        <x:v>Wave 4 — Device Services and Reliability</x:v>
      </x:c>
      <x:c r="D324" s="40" t="str">
        <x:v>Q. Notifications and Reminders</x:v>
      </x:c>
      <x:c r="E324" s="40" t="str">
        <x:v>AC-Q-002</x:v>
      </x:c>
      <x:c r="F324" s="40" t="str">
        <x:v>FR-Q-002</x:v>
      </x:c>
      <x:c r="G324" s="40" t="str">
        <x:v>Given the applicable Notifications and Reminders preconditions and a valid Local Profile</x:v>
      </x:c>
      <x:c r="H324" s="40" t="str">
        <x:v>When the user performs the relevant action or the relevant system condition occurs</x:v>
      </x:c>
      <x:c r="I324" s="40" t="str">
        <x:v>Then be able to create local reminders without creating an account.</x:v>
      </x:c>
      <x:c r="J324" s="40" t="str">
        <x:v>Yes</x:v>
      </x:c>
      <x:c r="K324" s="40" t="str">
        <x:v>Widget test</x:v>
      </x:c>
      <x:c r="L324" s="40" t="str">
        <x:v>Not Started</x:v>
      </x:c>
      <x:c r="M324" s="40"/>
    </x:row>
    <x:row r="325">
      <x:c r="A325" s="40" t="str">
        <x:v>VS-16</x:v>
      </x:c>
      <x:c r="B325" s="40" t="n">
        <x:v>16</x:v>
      </x:c>
      <x:c r="C325" s="40" t="str">
        <x:v>Wave 4 — Device Services and Reliability</x:v>
      </x:c>
      <x:c r="D325" s="40" t="str">
        <x:v>Q. Notifications and Reminders</x:v>
      </x:c>
      <x:c r="E325" s="40" t="str">
        <x:v>AC-Q-003</x:v>
      </x:c>
      <x:c r="F325" s="40" t="str">
        <x:v>FR-Q-003</x:v>
      </x:c>
      <x:c r="G325" s="40" t="str">
        <x:v>Given the applicable Notifications and Reminders preconditions and a valid Local Profile</x:v>
      </x:c>
      <x:c r="H325" s="40" t="str">
        <x:v>When the user performs the relevant action or the relevant system condition occurs</x:v>
      </x:c>
      <x:c r="I325" s="40" t="str">
        <x:v>Then reminder creation, delivery, dismissal, or opening shall not change source outcomes or Actual.</x:v>
      </x:c>
      <x:c r="J325" s="40" t="str">
        <x:v>Yes</x:v>
      </x:c>
      <x:c r="K325" s="40" t="str">
        <x:v>Domain test</x:v>
      </x:c>
      <x:c r="L325" s="40" t="str">
        <x:v>Not Started</x:v>
      </x:c>
      <x:c r="M325" s="40"/>
    </x:row>
    <x:row r="326">
      <x:c r="A326" s="40" t="str">
        <x:v>VS-16</x:v>
      </x:c>
      <x:c r="B326" s="40" t="n">
        <x:v>16</x:v>
      </x:c>
      <x:c r="C326" s="40" t="str">
        <x:v>Wave 4 — Device Services and Reliability</x:v>
      </x:c>
      <x:c r="D326" s="40" t="str">
        <x:v>Q. Notifications and Reminders</x:v>
      </x:c>
      <x:c r="E326" s="40" t="str">
        <x:v>AC-Q-004</x:v>
      </x:c>
      <x:c r="F326" s="40" t="str">
        <x:v>FR-Q-004</x:v>
      </x:c>
      <x:c r="G326" s="40" t="str">
        <x:v>Given the applicable Notifications and Reminders preconditions and a valid Local Profile</x:v>
      </x:c>
      <x:c r="H326" s="40" t="str">
        <x:v>When the user performs the relevant action or the relevant system condition occurs</x:v>
      </x:c>
      <x:c r="I326" s="40" t="str">
        <x:v>Then task reminders and Calendar Event reminders shall remain linked to their separate source records.</x:v>
      </x:c>
      <x:c r="J326" s="40" t="str">
        <x:v>Yes</x:v>
      </x:c>
      <x:c r="K326" s="40" t="str">
        <x:v>Integration test</x:v>
      </x:c>
      <x:c r="L326" s="40" t="str">
        <x:v>Not Started</x:v>
      </x:c>
      <x:c r="M326" s="40"/>
    </x:row>
    <x:row r="327">
      <x:c r="A327" s="40" t="str">
        <x:v>VS-16</x:v>
      </x:c>
      <x:c r="B327" s="40" t="n">
        <x:v>16</x:v>
      </x:c>
      <x:c r="C327" s="40" t="str">
        <x:v>Wave 4 — Device Services and Reliability</x:v>
      </x:c>
      <x:c r="D327" s="40" t="str">
        <x:v>Q. Notifications and Reminders</x:v>
      </x:c>
      <x:c r="E327" s="40" t="str">
        <x:v>AC-Q-005</x:v>
      </x:c>
      <x:c r="F327" s="40" t="str">
        <x:v>FR-Q-005</x:v>
      </x:c>
      <x:c r="G327" s="40" t="str">
        <x:v>Given the applicable Notifications and Reminders preconditions and a valid Local Profile</x:v>
      </x:c>
      <x:c r="H327" s="40" t="str">
        <x:v>When the user performs the relevant action or the relevant system condition occurs</x:v>
      </x:c>
      <x:c r="I327" s="40" t="str">
        <x:v>Then recurring Calendar Event occurrences shall support independently scheduled reminders.</x:v>
      </x:c>
      <x:c r="J327" s="40" t="str">
        <x:v>Yes</x:v>
      </x:c>
      <x:c r="K327" s="40" t="str">
        <x:v>Integration test</x:v>
      </x:c>
      <x:c r="L327" s="40" t="str">
        <x:v>Not Started</x:v>
      </x:c>
      <x:c r="M327" s="40"/>
    </x:row>
    <x:row r="328">
      <x:c r="A328" s="40" t="str">
        <x:v>VS-16</x:v>
      </x:c>
      <x:c r="B328" s="40" t="n">
        <x:v>16</x:v>
      </x:c>
      <x:c r="C328" s="40" t="str">
        <x:v>Wave 4 — Device Services and Reliability</x:v>
      </x:c>
      <x:c r="D328" s="40" t="str">
        <x:v>Q. Notifications and Reminders</x:v>
      </x:c>
      <x:c r="E328" s="40" t="str">
        <x:v>AC-Q-006</x:v>
      </x:c>
      <x:c r="F328" s="40" t="str">
        <x:v>FR-Q-006</x:v>
      </x:c>
      <x:c r="G328" s="40" t="str">
        <x:v>Given the applicable Notifications and Reminders preconditions and a valid Local Profile</x:v>
      </x:c>
      <x:c r="H328" s="40" t="str">
        <x:v>When the user performs the relevant action or the relevant system condition occurs</x:v>
      </x:c>
      <x:c r="I328" s="40" t="str">
        <x:v>Then ended report-required events may generate Awaiting Report reminders without assigning outcomes.</x:v>
      </x:c>
      <x:c r="J328" s="40" t="str">
        <x:v>Yes</x:v>
      </x:c>
      <x:c r="K328" s="40" t="str">
        <x:v>Domain test</x:v>
      </x:c>
      <x:c r="L328" s="40" t="str">
        <x:v>Not Started</x:v>
      </x:c>
      <x:c r="M328" s="40"/>
    </x:row>
    <x:row r="329">
      <x:c r="A329" s="40" t="str">
        <x:v>VS-16</x:v>
      </x:c>
      <x:c r="B329" s="40" t="n">
        <x:v>16</x:v>
      </x:c>
      <x:c r="C329" s="40" t="str">
        <x:v>Wave 4 — Device Services and Reliability</x:v>
      </x:c>
      <x:c r="D329" s="40" t="str">
        <x:v>Q. Notifications and Reminders</x:v>
      </x:c>
      <x:c r="E329" s="40" t="str">
        <x:v>AC-Q-007</x:v>
      </x:c>
      <x:c r="F329" s="40" t="str">
        <x:v>FR-Q-007</x:v>
      </x:c>
      <x:c r="G329" s="40" t="str">
        <x:v>Given the applicable Notifications and Reminders preconditions and a valid Local Profile</x:v>
      </x:c>
      <x:c r="H329" s="40" t="str">
        <x:v>When the user performs the relevant action or the relevant system condition occurs</x:v>
      </x:c>
      <x:c r="I329" s="40" t="str">
        <x:v>Then weekly Plans may generate Review Due reminders without completing the review.</x:v>
      </x:c>
      <x:c r="J329" s="40" t="str">
        <x:v>Yes</x:v>
      </x:c>
      <x:c r="K329" s="40" t="str">
        <x:v>Domain test</x:v>
      </x:c>
      <x:c r="L329" s="40" t="str">
        <x:v>Not Started</x:v>
      </x:c>
      <x:c r="M329" s="40"/>
    </x:row>
    <x:row r="330">
      <x:c r="A330" s="40" t="str">
        <x:v>VS-16</x:v>
      </x:c>
      <x:c r="B330" s="40" t="n">
        <x:v>16</x:v>
      </x:c>
      <x:c r="C330" s="40" t="str">
        <x:v>Wave 4 — Device Services and Reliability</x:v>
      </x:c>
      <x:c r="D330" s="40" t="str">
        <x:v>Q. Notifications and Reminders</x:v>
      </x:c>
      <x:c r="E330" s="40" t="str">
        <x:v>AC-Q-008</x:v>
      </x:c>
      <x:c r="F330" s="40" t="str">
        <x:v>FR-Q-008</x:v>
      </x:c>
      <x:c r="G330" s="40" t="str">
        <x:v>Given the applicable Notifications and Reminders preconditions and a valid Local Profile</x:v>
      </x:c>
      <x:c r="H330" s="40" t="str">
        <x:v>When the user performs the relevant action or the relevant system condition occurs</x:v>
      </x:c>
      <x:c r="I330" s="40" t="str">
        <x:v>Then be able to configure quiet hours for reminder delivery.</x:v>
      </x:c>
      <x:c r="J330" s="40" t="str">
        <x:v>Yes</x:v>
      </x:c>
      <x:c r="K330" s="40" t="str">
        <x:v>Widget test</x:v>
      </x:c>
      <x:c r="L330" s="40" t="str">
        <x:v>Not Started</x:v>
      </x:c>
      <x:c r="M330" s="40"/>
    </x:row>
    <x:row r="331">
      <x:c r="A331" s="40" t="str">
        <x:v>VS-16</x:v>
      </x:c>
      <x:c r="B331" s="40" t="n">
        <x:v>16</x:v>
      </x:c>
      <x:c r="C331" s="40" t="str">
        <x:v>Wave 4 — Device Services and Reliability</x:v>
      </x:c>
      <x:c r="D331" s="40" t="str">
        <x:v>Q. Notifications and Reminders</x:v>
      </x:c>
      <x:c r="E331" s="40" t="str">
        <x:v>AC-Q-009</x:v>
      </x:c>
      <x:c r="F331" s="40" t="str">
        <x:v>FR-Q-009</x:v>
      </x:c>
      <x:c r="G331" s="40" t="str">
        <x:v>Given the applicable Notifications and Reminders preconditions and a valid Local Profile</x:v>
      </x:c>
      <x:c r="H331" s="40" t="str">
        <x:v>When the user performs the relevant action or the relevant system condition occurs</x:v>
      </x:c>
      <x:c r="I331" s="40" t="str">
        <x:v>Then notification previews shall support privacy-safe content levels.</x:v>
      </x:c>
      <x:c r="J331" s="40" t="str">
        <x:v>Yes</x:v>
      </x:c>
      <x:c r="K331" s="40" t="str">
        <x:v>Widget test</x:v>
      </x:c>
      <x:c r="L331" s="40" t="str">
        <x:v>Not Started</x:v>
      </x:c>
      <x:c r="M331" s="40"/>
    </x:row>
    <x:row r="332">
      <x:c r="A332" s="40" t="str">
        <x:v>VS-16</x:v>
      </x:c>
      <x:c r="B332" s="40" t="n">
        <x:v>16</x:v>
      </x:c>
      <x:c r="C332" s="40" t="str">
        <x:v>Wave 4 — Device Services and Reliability</x:v>
      </x:c>
      <x:c r="D332" s="40" t="str">
        <x:v>Q. Notifications and Reminders</x:v>
      </x:c>
      <x:c r="E332" s="40" t="str">
        <x:v>AC-Q-010</x:v>
      </x:c>
      <x:c r="F332" s="40" t="str">
        <x:v>FR-Q-010</x:v>
      </x:c>
      <x:c r="G332" s="40" t="str">
        <x:v>Given the applicable Notifications and Reminders preconditions and a valid Local Profile</x:v>
      </x:c>
      <x:c r="H332" s="40" t="str">
        <x:v>When the user performs the relevant action or the relevant system condition occurs</x:v>
      </x:c>
      <x:c r="I332" s="40" t="str">
        <x:v>Then applicable reminder schedules shall recover after device restart or app update.</x:v>
      </x:c>
      <x:c r="J332" s="40" t="str">
        <x:v>No</x:v>
      </x:c>
      <x:c r="K332" s="40" t="str">
        <x:v>Integration test</x:v>
      </x:c>
      <x:c r="L332" s="40" t="str">
        <x:v>Not Started</x:v>
      </x:c>
      <x:c r="M332" s="40"/>
    </x:row>
    <x:row r="333">
      <x:c r="A333" s="40" t="str">
        <x:v>VS-16</x:v>
      </x:c>
      <x:c r="B333" s="40" t="n">
        <x:v>16</x:v>
      </x:c>
      <x:c r="C333" s="40" t="str">
        <x:v>Wave 4 — Device Services and Reliability</x:v>
      </x:c>
      <x:c r="D333" s="40" t="str">
        <x:v>Q. Notifications and Reminders</x:v>
      </x:c>
      <x:c r="E333" s="40" t="str">
        <x:v>AC-Q-011</x:v>
      </x:c>
      <x:c r="F333" s="40" t="str">
        <x:v>FR-Q-011</x:v>
      </x:c>
      <x:c r="G333" s="40" t="str">
        <x:v>Given the applicable Notifications and Reminders preconditions and a valid Local Profile</x:v>
      </x:c>
      <x:c r="H333" s="40" t="str">
        <x:v>When the user performs the relevant action or the relevant system condition occurs</x:v>
      </x:c>
      <x:c r="I333" s="40" t="str">
        <x:v>Then reminder scheduling and recovery shall prevent duplicate active reminders.</x:v>
      </x:c>
      <x:c r="J333" s="40" t="str">
        <x:v>Yes</x:v>
      </x:c>
      <x:c r="K333" s="40" t="str">
        <x:v>Domain test / Integration test</x:v>
      </x:c>
      <x:c r="L333" s="40" t="str">
        <x:v>Not Started</x:v>
      </x:c>
      <x:c r="M333" s="40"/>
    </x:row>
    <x:row r="334">
      <x:c r="A334" s="40" t="str">
        <x:v>VS-16</x:v>
      </x:c>
      <x:c r="B334" s="40" t="n">
        <x:v>16</x:v>
      </x:c>
      <x:c r="C334" s="40" t="str">
        <x:v>Wave 4 — Device Services and Reliability</x:v>
      </x:c>
      <x:c r="D334" s="40" t="str">
        <x:v>Q. Notifications and Reminders</x:v>
      </x:c>
      <x:c r="E334" s="40" t="str">
        <x:v>AC-Q-012</x:v>
      </x:c>
      <x:c r="F334" s="40" t="str">
        <x:v>FR-Q-012</x:v>
      </x:c>
      <x:c r="G334" s="40" t="str">
        <x:v>Given the applicable Notifications and Reminders preconditions and a valid Local Profile</x:v>
      </x:c>
      <x:c r="H334" s="40" t="str">
        <x:v>When the user performs the relevant action or the relevant system condition occurs</x:v>
      </x:c>
      <x:c r="I334" s="40" t="str">
        <x:v>Then permission denial shall not alter Tasks, events, reports, targets, Actual, or Scheduled Potential.</x:v>
      </x:c>
      <x:c r="J334" s="40" t="str">
        <x:v>Yes</x:v>
      </x:c>
      <x:c r="K334" s="40" t="str">
        <x:v>Domain test / Widget test</x:v>
      </x:c>
      <x:c r="L334" s="40" t="str">
        <x:v>Not Started</x:v>
      </x:c>
      <x:c r="M334" s="40"/>
    </x:row>
    <x:row r="335">
      <x:c r="A335" s="40" t="str">
        <x:v>VS-16</x:v>
      </x:c>
      <x:c r="B335" s="40" t="n">
        <x:v>16</x:v>
      </x:c>
      <x:c r="C335" s="40" t="str">
        <x:v>Wave 4 — Device Services and Reliability</x:v>
      </x:c>
      <x:c r="D335" s="40" t="str">
        <x:v>Q. Notifications and Reminders</x:v>
      </x:c>
      <x:c r="E335" s="40" t="str">
        <x:v>AC-Q-013</x:v>
      </x:c>
      <x:c r="F335" s="40" t="str">
        <x:v>FR-Q-013</x:v>
      </x:c>
      <x:c r="G335" s="40" t="str">
        <x:v>Given the applicable Notifications and Reminders preconditions and a valid Local Profile</x:v>
      </x:c>
      <x:c r="H335" s="40" t="str">
        <x:v>When the user performs the relevant action or the relevant system condition occurs</x:v>
      </x:c>
      <x:c r="I335" s="40" t="str">
        <x:v>Then be stored locally and remain available offline.</x:v>
      </x:c>
      <x:c r="J335" s="40" t="str">
        <x:v>Yes</x:v>
      </x:c>
      <x:c r="K335" s="40" t="str">
        <x:v>Database test</x:v>
      </x:c>
      <x:c r="L335" s="40" t="str">
        <x:v>Not Started</x:v>
      </x:c>
      <x:c r="M335" s="40"/>
    </x:row>
    <x:row r="336">
      <x:c r="A336" s="40" t="str">
        <x:v>VS-16</x:v>
      </x:c>
      <x:c r="B336" s="40" t="n">
        <x:v>16</x:v>
      </x:c>
      <x:c r="C336" s="40" t="str">
        <x:v>Wave 4 — Device Services and Reliability</x:v>
      </x:c>
      <x:c r="D336" s="40" t="str">
        <x:v>Q. Notifications and Reminders</x:v>
      </x:c>
      <x:c r="E336" s="40" t="str">
        <x:v>AC-Q-014</x:v>
      </x:c>
      <x:c r="F336" s="40" t="str">
        <x:v>FR-Q-014</x:v>
      </x:c>
      <x:c r="G336" s="40" t="str">
        <x:v>Given the applicable Notifications and Reminders preconditions and a valid Local Profile</x:v>
      </x:c>
      <x:c r="H336" s="40" t="str">
        <x:v>When the user performs the relevant action or the relevant system condition occurs</x:v>
      </x:c>
      <x:c r="I336" s="40" t="str">
        <x:v>Then be reconciled after relevant date, time, or timezone changes.</x:v>
      </x:c>
      <x:c r="J336" s="40" t="str">
        <x:v>No</x:v>
      </x:c>
      <x:c r="K336" s="40" t="str">
        <x:v>Domain test</x:v>
      </x:c>
      <x:c r="L336" s="40" t="str">
        <x:v>Not Started</x:v>
      </x:c>
      <x:c r="M336" s="40"/>
    </x:row>
    <x:row r="337">
      <x:c r="A337" s="40" t="str">
        <x:v>VS-16</x:v>
      </x:c>
      <x:c r="B337" s="40" t="n">
        <x:v>16</x:v>
      </x:c>
      <x:c r="C337" s="40" t="str">
        <x:v>Wave 4 — Device Services and Reliability</x:v>
      </x:c>
      <x:c r="D337" s="40" t="str">
        <x:v>Q. Notifications and Reminders</x:v>
      </x:c>
      <x:c r="E337" s="40" t="str">
        <x:v>AC-Q-015</x:v>
      </x:c>
      <x:c r="F337" s="40" t="str">
        <x:v>FR-Q-015</x:v>
      </x:c>
      <x:c r="G337" s="40" t="str">
        <x:v>Given the applicable Notifications and Reminders preconditions and a valid Local Profile</x:v>
      </x:c>
      <x:c r="H337" s="40" t="str">
        <x:v>When the user performs the relevant action or the relevant system condition occurs</x:v>
      </x:c>
      <x:c r="I337" s="40" t="str">
        <x:v>Then reminder preferences and quiet hours shall be private to the Local Profile.</x:v>
      </x:c>
      <x:c r="J337" s="40" t="str">
        <x:v>Yes</x:v>
      </x:c>
      <x:c r="K337" s="40" t="str">
        <x:v>Domain test</x:v>
      </x:c>
      <x:c r="L337" s="40" t="str">
        <x:v>Not Started</x:v>
      </x:c>
      <x:c r="M337" s="40"/>
    </x:row>
    <x:row r="338">
      <x:c r="A338" s="40" t="str">
        <x:v>VS-16</x:v>
      </x:c>
      <x:c r="B338" s="40" t="n">
        <x:v>16</x:v>
      </x:c>
      <x:c r="C338" s="40" t="str">
        <x:v>Wave 4 — Device Services and Reliability</x:v>
      </x:c>
      <x:c r="D338" s="40" t="str">
        <x:v>Q. Notifications and Reminders</x:v>
      </x:c>
      <x:c r="E338" s="40" t="str">
        <x:v>AC-Q-016</x:v>
      </x:c>
      <x:c r="F338" s="40" t="str">
        <x:v>FR-Q-016</x:v>
      </x:c>
      <x:c r="G338" s="40" t="str">
        <x:v>Given the applicable Notifications and Reminders preconditions and a valid Local Profile</x:v>
      </x:c>
      <x:c r="H338" s="40" t="str">
        <x:v>When the user performs the relevant action or the relevant system condition occurs</x:v>
      </x:c>
      <x:c r="I338" s="40" t="str">
        <x:v>Then be cancelled when their source is cancelled, rescheduled, deleted, or archived as applicable.</x:v>
      </x:c>
      <x:c r="J338" s="40" t="str">
        <x:v>No</x:v>
      </x:c>
      <x:c r="K338" s="40" t="str">
        <x:v>Domain test</x:v>
      </x:c>
      <x:c r="L338" s="40" t="str">
        <x:v>Not Started</x:v>
      </x:c>
      <x:c r="M338" s="40"/>
    </x:row>
    <x:row r="339">
      <x:c r="A339" s="40" t="str">
        <x:v>VS-17</x:v>
      </x:c>
      <x:c r="B339" s="40" t="n">
        <x:v>17</x:v>
      </x:c>
      <x:c r="C339" s="40" t="str">
        <x:v>Wave 4 — Device Services and Reliability</x:v>
      </x:c>
      <x:c r="D339" s="40" t="str">
        <x:v>R. BetterCalendar Import</x:v>
      </x:c>
      <x:c r="E339" s="40" t="str">
        <x:v>AC-R-001</x:v>
      </x:c>
      <x:c r="F339" s="40" t="str">
        <x:v>FR-R-001</x:v>
      </x:c>
      <x:c r="G339" s="40" t="str">
        <x:v>Given the applicable BetterCalendar Import preconditions and a valid Local Profile</x:v>
      </x:c>
      <x:c r="H339" s="40" t="str">
        <x:v>When the user performs the relevant action or the relevant system condition occurs</x:v>
      </x:c>
      <x:c r="I339" s="40" t="str">
        <x:v>Then guest and signed-in users shall be able to select a BetterCalendar JSON backup without requiring account creation.</x:v>
      </x:c>
      <x:c r="J339" s="40" t="str">
        <x:v>Yes</x:v>
      </x:c>
      <x:c r="K339" s="40" t="str">
        <x:v>Database test / Widget test / Integration test</x:v>
      </x:c>
      <x:c r="L339" s="40" t="str">
        <x:v>Not Started</x:v>
      </x:c>
      <x:c r="M339" s="40"/>
    </x:row>
    <x:row r="340">
      <x:c r="A340" s="40" t="str">
        <x:v>VS-17</x:v>
      </x:c>
      <x:c r="B340" s="40" t="n">
        <x:v>17</x:v>
      </x:c>
      <x:c r="C340" s="40" t="str">
        <x:v>Wave 4 — Device Services and Reliability</x:v>
      </x:c>
      <x:c r="D340" s="40" t="str">
        <x:v>R. BetterCalendar Import</x:v>
      </x:c>
      <x:c r="E340" s="40" t="str">
        <x:v>AC-R-002</x:v>
      </x:c>
      <x:c r="F340" s="40" t="str">
        <x:v>FR-R-002</x:v>
      </x:c>
      <x:c r="G340" s="40" t="str">
        <x:v>Given the applicable BetterCalendar Import preconditions and a valid Local Profile</x:v>
      </x:c>
      <x:c r="H340" s="40" t="str">
        <x:v>When the user performs the relevant action or the relevant system condition occurs</x:v>
      </x:c>
      <x:c r="I340" s="40" t="str">
        <x:v>Then validate JSON structure, source version, and recognized top-level fields before import.</x:v>
      </x:c>
      <x:c r="J340" s="40" t="str">
        <x:v>Yes</x:v>
      </x:c>
      <x:c r="K340" s="40" t="str">
        <x:v>Integration test</x:v>
      </x:c>
      <x:c r="L340" s="40" t="str">
        <x:v>Not Started</x:v>
      </x:c>
      <x:c r="M340" s="40"/>
    </x:row>
    <x:row r="341">
      <x:c r="A341" s="40" t="str">
        <x:v>VS-17</x:v>
      </x:c>
      <x:c r="B341" s="40" t="n">
        <x:v>17</x:v>
      </x:c>
      <x:c r="C341" s="40" t="str">
        <x:v>Wave 4 — Device Services and Reliability</x:v>
      </x:c>
      <x:c r="D341" s="40" t="str">
        <x:v>R. BetterCalendar Import</x:v>
      </x:c>
      <x:c r="E341" s="40" t="str">
        <x:v>AC-R-003</x:v>
      </x:c>
      <x:c r="F341" s="40" t="str">
        <x:v>FR-R-003</x:v>
      </x:c>
      <x:c r="G341" s="40" t="str">
        <x:v>Given the applicable BetterCalendar Import preconditions and a valid Local Profile</x:v>
      </x:c>
      <x:c r="H341" s="40" t="str">
        <x:v>When the user performs the relevant action or the relevant system condition occurs</x:v>
      </x:c>
      <x:c r="I341" s="40" t="str">
        <x:v>Then the importer shall recognize supported contacts, events, tasks, settings, appVersion, and exportDate content.</x:v>
      </x:c>
      <x:c r="J341" s="40" t="str">
        <x:v>Yes</x:v>
      </x:c>
      <x:c r="K341" s="40" t="str">
        <x:v>Integration test</x:v>
      </x:c>
      <x:c r="L341" s="40" t="str">
        <x:v>Not Started</x:v>
      </x:c>
      <x:c r="M341" s="40"/>
    </x:row>
    <x:row r="342">
      <x:c r="A342" s="40" t="str">
        <x:v>VS-17</x:v>
      </x:c>
      <x:c r="B342" s="40" t="n">
        <x:v>17</x:v>
      </x:c>
      <x:c r="C342" s="40" t="str">
        <x:v>Wave 4 — Device Services and Reliability</x:v>
      </x:c>
      <x:c r="D342" s="40" t="str">
        <x:v>R. BetterCalendar Import</x:v>
      </x:c>
      <x:c r="E342" s="40" t="str">
        <x:v>AC-R-004</x:v>
      </x:c>
      <x:c r="F342" s="40" t="str">
        <x:v>FR-R-004</x:v>
      </x:c>
      <x:c r="G342" s="40" t="str">
        <x:v>Given the applicable BetterCalendar Import preconditions and a valid Local Profile</x:v>
      </x:c>
      <x:c r="H342" s="40" t="str">
        <x:v>When the user performs the relevant action or the relevant system condition occurs</x:v>
      </x:c>
      <x:c r="I342" s="40" t="str">
        <x:v>Then present an import preview with counts, warnings, duplicates, unsupported fields, and category selections.</x:v>
      </x:c>
      <x:c r="J342" s="40" t="str">
        <x:v>Yes</x:v>
      </x:c>
      <x:c r="K342" s="40" t="str">
        <x:v>Domain test / Widget test / Integration test</x:v>
      </x:c>
      <x:c r="L342" s="40" t="str">
        <x:v>Not Started</x:v>
      </x:c>
      <x:c r="M342" s="40"/>
    </x:row>
    <x:row r="343">
      <x:c r="A343" s="40" t="str">
        <x:v>VS-17</x:v>
      </x:c>
      <x:c r="B343" s="40" t="n">
        <x:v>17</x:v>
      </x:c>
      <x:c r="C343" s="40" t="str">
        <x:v>Wave 4 — Device Services and Reliability</x:v>
      </x:c>
      <x:c r="D343" s="40" t="str">
        <x:v>R. BetterCalendar Import</x:v>
      </x:c>
      <x:c r="E343" s="40" t="str">
        <x:v>AC-R-005</x:v>
      </x:c>
      <x:c r="F343" s="40" t="str">
        <x:v>FR-R-005</x:v>
      </x:c>
      <x:c r="G343" s="40" t="str">
        <x:v>Given the applicable BetterCalendar Import preconditions and a valid Local Profile</x:v>
      </x:c>
      <x:c r="H343" s="40" t="str">
        <x:v>When the user performs the relevant action or the relevant system condition occurs</x:v>
      </x:c>
      <x:c r="I343" s="40" t="str">
        <x:v>Then duplicate Task representations with the same source ID and eventType TASK shall be imported as one Task.</x:v>
      </x:c>
      <x:c r="J343" s="40" t="str">
        <x:v>Yes</x:v>
      </x:c>
      <x:c r="K343" s="40" t="str">
        <x:v>Domain test / Integration test</x:v>
      </x:c>
      <x:c r="L343" s="40" t="str">
        <x:v>Not Started</x:v>
      </x:c>
      <x:c r="M343" s="40"/>
    </x:row>
    <x:row r="344">
      <x:c r="A344" s="40" t="str">
        <x:v>VS-17</x:v>
      </x:c>
      <x:c r="B344" s="40" t="n">
        <x:v>17</x:v>
      </x:c>
      <x:c r="C344" s="40" t="str">
        <x:v>Wave 4 — Device Services and Reliability</x:v>
      </x:c>
      <x:c r="D344" s="40" t="str">
        <x:v>R. BetterCalendar Import</x:v>
      </x:c>
      <x:c r="E344" s="40" t="str">
        <x:v>AC-R-006</x:v>
      </x:c>
      <x:c r="F344" s="40" t="str">
        <x:v>FR-R-006</x:v>
      </x:c>
      <x:c r="G344" s="40" t="str">
        <x:v>Given the applicable BetterCalendar Import preconditions and a valid Local Profile</x:v>
      </x:c>
      <x:c r="H344" s="40" t="str">
        <x:v>When the user performs the relevant action or the relevant system condition occurs</x:v>
      </x:c>
      <x:c r="I344" s="40" t="str">
        <x:v>Then imported Tasks and Calendar Events shall remain separate domain entities.</x:v>
      </x:c>
      <x:c r="J344" s="40" t="str">
        <x:v>Yes</x:v>
      </x:c>
      <x:c r="K344" s="40" t="str">
        <x:v>Integration test</x:v>
      </x:c>
      <x:c r="L344" s="40" t="str">
        <x:v>Not Started</x:v>
      </x:c>
      <x:c r="M344" s="40"/>
    </x:row>
    <x:row r="345">
      <x:c r="A345" s="40" t="str">
        <x:v>VS-17</x:v>
      </x:c>
      <x:c r="B345" s="40" t="n">
        <x:v>17</x:v>
      </x:c>
      <x:c r="C345" s="40" t="str">
        <x:v>Wave 4 — Device Services and Reliability</x:v>
      </x:c>
      <x:c r="D345" s="40" t="str">
        <x:v>R. BetterCalendar Import</x:v>
      </x:c>
      <x:c r="E345" s="40" t="str">
        <x:v>AC-R-007</x:v>
      </x:c>
      <x:c r="F345" s="40" t="str">
        <x:v>FR-R-007</x:v>
      </x:c>
      <x:c r="G345" s="40" t="str">
        <x:v>Given the applicable BetterCalendar Import preconditions and a valid Local Profile</x:v>
      </x:c>
      <x:c r="H345" s="40" t="str">
        <x:v>When the user performs the relevant action or the relevant system condition occurs</x:v>
      </x:c>
      <x:c r="I345" s="40" t="str">
        <x:v>Then import shall not create Actual or Activity Ledger contributions from imported schedule or completion fields alone.</x:v>
      </x:c>
      <x:c r="J345" s="40" t="str">
        <x:v>Yes</x:v>
      </x:c>
      <x:c r="K345" s="40" t="str">
        <x:v>Domain test / Database test / Integration test</x:v>
      </x:c>
      <x:c r="L345" s="40" t="str">
        <x:v>Not Started</x:v>
      </x:c>
      <x:c r="M345" s="40"/>
    </x:row>
    <x:row r="346">
      <x:c r="A346" s="40" t="str">
        <x:v>VS-17</x:v>
      </x:c>
      <x:c r="B346" s="40" t="n">
        <x:v>17</x:v>
      </x:c>
      <x:c r="C346" s="40" t="str">
        <x:v>Wave 4 — Device Services and Reliability</x:v>
      </x:c>
      <x:c r="D346" s="40" t="str">
        <x:v>R. BetterCalendar Import</x:v>
      </x:c>
      <x:c r="E346" s="40" t="str">
        <x:v>AC-R-008</x:v>
      </x:c>
      <x:c r="F346" s="40" t="str">
        <x:v>FR-R-008</x:v>
      </x:c>
      <x:c r="G346" s="40" t="str">
        <x:v>Given the applicable BetterCalendar Import preconditions and a valid Local Profile</x:v>
      </x:c>
      <x:c r="H346" s="40" t="str">
        <x:v>When the user performs the relevant action or the relevant system condition occurs</x:v>
      </x:c>
      <x:c r="I346" s="40" t="str">
        <x:v>Then imported scheduled Calendar Events shall not receive happened outcomes from elapsed source dates.</x:v>
      </x:c>
      <x:c r="J346" s="40" t="str">
        <x:v>Yes</x:v>
      </x:c>
      <x:c r="K346" s="40" t="str">
        <x:v>Domain test / Integration test</x:v>
      </x:c>
      <x:c r="L346" s="40" t="str">
        <x:v>Not Started</x:v>
      </x:c>
      <x:c r="M346" s="40"/>
    </x:row>
    <x:row r="347">
      <x:c r="A347" s="40" t="str">
        <x:v>VS-17</x:v>
      </x:c>
      <x:c r="B347" s="40" t="n">
        <x:v>17</x:v>
      </x:c>
      <x:c r="C347" s="40" t="str">
        <x:v>Wave 4 — Device Services and Reliability</x:v>
      </x:c>
      <x:c r="D347" s="40" t="str">
        <x:v>R. BetterCalendar Import</x:v>
      </x:c>
      <x:c r="E347" s="40" t="str">
        <x:v>AC-R-009</x:v>
      </x:c>
      <x:c r="F347" s="40" t="str">
        <x:v>FR-R-009</x:v>
      </x:c>
      <x:c r="G347" s="40" t="str">
        <x:v>Given the applicable BetterCalendar Import preconditions and a valid Local Profile</x:v>
      </x:c>
      <x:c r="H347" s="40" t="str">
        <x:v>When the user performs the relevant action or the relevant system condition occurs</x:v>
      </x:c>
      <x:c r="I347" s="40" t="str">
        <x:v>Then every imported record shall retain import-batch and source provenance sufficient for deduplication and support.</x:v>
      </x:c>
      <x:c r="J347" s="40" t="str">
        <x:v>No</x:v>
      </x:c>
      <x:c r="K347" s="40" t="str">
        <x:v>Domain test / Integration test</x:v>
      </x:c>
      <x:c r="L347" s="40" t="str">
        <x:v>Not Started</x:v>
      </x:c>
      <x:c r="M347" s="40"/>
    </x:row>
    <x:row r="348">
      <x:c r="A348" s="40" t="str">
        <x:v>VS-17</x:v>
      </x:c>
      <x:c r="B348" s="40" t="n">
        <x:v>17</x:v>
      </x:c>
      <x:c r="C348" s="40" t="str">
        <x:v>Wave 4 — Device Services and Reliability</x:v>
      </x:c>
      <x:c r="D348" s="40" t="str">
        <x:v>R. BetterCalendar Import</x:v>
      </x:c>
      <x:c r="E348" s="40" t="str">
        <x:v>AC-R-010</x:v>
      </x:c>
      <x:c r="F348" s="40" t="str">
        <x:v>FR-R-010</x:v>
      </x:c>
      <x:c r="G348" s="40" t="str">
        <x:v>Given the applicable BetterCalendar Import preconditions and a valid Local Profile</x:v>
      </x:c>
      <x:c r="H348" s="40" t="str">
        <x:v>When the user performs the relevant action or the relevant system condition occurs</x:v>
      </x:c>
      <x:c r="I348" s="40" t="str">
        <x:v>Then remain private records belonging to the Local Profile.</x:v>
      </x:c>
      <x:c r="J348" s="40" t="str">
        <x:v>Yes</x:v>
      </x:c>
      <x:c r="K348" s="40" t="str">
        <x:v>Integration test</x:v>
      </x:c>
      <x:c r="L348" s="40" t="str">
        <x:v>Not Started</x:v>
      </x:c>
      <x:c r="M348" s="40"/>
    </x:row>
    <x:row r="349">
      <x:c r="A349" s="40" t="str">
        <x:v>VS-17</x:v>
      </x:c>
      <x:c r="B349" s="40" t="n">
        <x:v>17</x:v>
      </x:c>
      <x:c r="C349" s="40" t="str">
        <x:v>Wave 4 — Device Services and Reliability</x:v>
      </x:c>
      <x:c r="D349" s="40" t="str">
        <x:v>R. BetterCalendar Import</x:v>
      </x:c>
      <x:c r="E349" s="40" t="str">
        <x:v>AC-R-011</x:v>
      </x:c>
      <x:c r="F349" s="40" t="str">
        <x:v>FR-R-011</x:v>
      </x:c>
      <x:c r="G349" s="40" t="str">
        <x:v>Given the applicable BetterCalendar Import preconditions and a valid Local Profile</x:v>
      </x:c>
      <x:c r="H349" s="40" t="str">
        <x:v>When the user performs the relevant action or the relevant system condition occurs</x:v>
      </x:c>
      <x:c r="I349" s="40" t="str">
        <x:v>Then supported recurrence information shall map into Next Transfer recurrence without merging occurrence identities.</x:v>
      </x:c>
      <x:c r="J349" s="40" t="str">
        <x:v>Yes</x:v>
      </x:c>
      <x:c r="K349" s="40" t="str">
        <x:v>Domain test</x:v>
      </x:c>
      <x:c r="L349" s="40" t="str">
        <x:v>Not Started</x:v>
      </x:c>
      <x:c r="M349" s="40"/>
    </x:row>
    <x:row r="350">
      <x:c r="A350" s="40" t="str">
        <x:v>VS-17</x:v>
      </x:c>
      <x:c r="B350" s="40" t="n">
        <x:v>17</x:v>
      </x:c>
      <x:c r="C350" s="40" t="str">
        <x:v>Wave 4 — Device Services and Reliability</x:v>
      </x:c>
      <x:c r="D350" s="40" t="str">
        <x:v>R. BetterCalendar Import</x:v>
      </x:c>
      <x:c r="E350" s="40" t="str">
        <x:v>AC-R-012</x:v>
      </x:c>
      <x:c r="F350" s="40" t="str">
        <x:v>FR-R-012</x:v>
      </x:c>
      <x:c r="G350" s="40" t="str">
        <x:v>Given the applicable BetterCalendar Import preconditions and a valid Local Profile</x:v>
      </x:c>
      <x:c r="H350" s="40" t="str">
        <x:v>When the user performs the relevant action or the relevant system condition occurs</x:v>
      </x:c>
      <x:c r="I350" s="40" t="str">
        <x:v>Then unsupported source fields shall be listed in the import report and shall not be silently reclassified.</x:v>
      </x:c>
      <x:c r="J350" s="40" t="str">
        <x:v>Yes</x:v>
      </x:c>
      <x:c r="K350" s="40" t="str">
        <x:v>Integration test</x:v>
      </x:c>
      <x:c r="L350" s="40" t="str">
        <x:v>Not Started</x:v>
      </x:c>
      <x:c r="M350" s="40"/>
    </x:row>
    <x:row r="351">
      <x:c r="A351" s="40" t="str">
        <x:v>VS-17</x:v>
      </x:c>
      <x:c r="B351" s="40" t="n">
        <x:v>17</x:v>
      </x:c>
      <x:c r="C351" s="40" t="str">
        <x:v>Wave 4 — Device Services and Reliability</x:v>
      </x:c>
      <x:c r="D351" s="40" t="str">
        <x:v>R. BetterCalendar Import</x:v>
      </x:c>
      <x:c r="E351" s="40" t="str">
        <x:v>AC-R-013</x:v>
      </x:c>
      <x:c r="F351" s="40" t="str">
        <x:v>FR-R-013</x:v>
      </x:c>
      <x:c r="G351" s="40" t="str">
        <x:v>Given the applicable BetterCalendar Import preconditions and a valid Local Profile</x:v>
      </x:c>
      <x:c r="H351" s="40" t="str">
        <x:v>When the user performs the relevant action or the relevant system condition occurs</x:v>
      </x:c>
      <x:c r="I351" s="40" t="str">
        <x:v>Then be able to select supported import categories when dependency rules permit partial import.</x:v>
      </x:c>
      <x:c r="J351" s="40" t="str">
        <x:v>No</x:v>
      </x:c>
      <x:c r="K351" s="40" t="str">
        <x:v>Widget test / Integration test</x:v>
      </x:c>
      <x:c r="L351" s="40" t="str">
        <x:v>Not Started</x:v>
      </x:c>
      <x:c r="M351" s="40"/>
    </x:row>
    <x:row r="352">
      <x:c r="A352" s="40" t="str">
        <x:v>VS-17</x:v>
      </x:c>
      <x:c r="B352" s="40" t="n">
        <x:v>17</x:v>
      </x:c>
      <x:c r="C352" s="40" t="str">
        <x:v>Wave 4 — Device Services and Reliability</x:v>
      </x:c>
      <x:c r="D352" s="40" t="str">
        <x:v>R. BetterCalendar Import</x:v>
      </x:c>
      <x:c r="E352" s="40" t="str">
        <x:v>AC-R-014</x:v>
      </x:c>
      <x:c r="F352" s="40" t="str">
        <x:v>FR-R-014</x:v>
      </x:c>
      <x:c r="G352" s="40" t="str">
        <x:v>Given the applicable BetterCalendar Import preconditions and a valid Local Profile</x:v>
      </x:c>
      <x:c r="H352" s="40" t="str">
        <x:v>When the user performs the relevant action or the relevant system condition occurs</x:v>
      </x:c>
      <x:c r="I352" s="40" t="str">
        <x:v>Then a recoverable checkpoint shall be created before import changes live local data.</x:v>
      </x:c>
      <x:c r="J352" s="40" t="str">
        <x:v>No</x:v>
      </x:c>
      <x:c r="K352" s="40" t="str">
        <x:v>Integration test</x:v>
      </x:c>
      <x:c r="L352" s="40" t="str">
        <x:v>Not Started</x:v>
      </x:c>
      <x:c r="M352" s="40"/>
    </x:row>
    <x:row r="353">
      <x:c r="A353" s="40" t="str">
        <x:v>VS-17</x:v>
      </x:c>
      <x:c r="B353" s="40" t="n">
        <x:v>17</x:v>
      </x:c>
      <x:c r="C353" s="40" t="str">
        <x:v>Wave 4 — Device Services and Reliability</x:v>
      </x:c>
      <x:c r="D353" s="40" t="str">
        <x:v>R. BetterCalendar Import</x:v>
      </x:c>
      <x:c r="E353" s="40" t="str">
        <x:v>AC-R-015</x:v>
      </x:c>
      <x:c r="F353" s="40" t="str">
        <x:v>FR-R-015</x:v>
      </x:c>
      <x:c r="G353" s="40" t="str">
        <x:v>Given the applicable BetterCalendar Import preconditions and a valid Local Profile</x:v>
      </x:c>
      <x:c r="H353" s="40" t="str">
        <x:v>When the user performs the relevant action or the relevant system condition occurs</x:v>
      </x:c>
      <x:c r="I353" s="40" t="str">
        <x:v>Then import retries shall not duplicate previously committed records from the same batch or source identity.</x:v>
      </x:c>
      <x:c r="J353" s="40" t="str">
        <x:v>Yes</x:v>
      </x:c>
      <x:c r="K353" s="40" t="str">
        <x:v>Domain test / Integration test</x:v>
      </x:c>
      <x:c r="L353" s="40" t="str">
        <x:v>Not Started</x:v>
      </x:c>
      <x:c r="M353" s="40"/>
    </x:row>
    <x:row r="354">
      <x:c r="A354" s="40" t="str">
        <x:v>VS-17</x:v>
      </x:c>
      <x:c r="B354" s="40" t="n">
        <x:v>17</x:v>
      </x:c>
      <x:c r="C354" s="40" t="str">
        <x:v>Wave 4 — Device Services and Reliability</x:v>
      </x:c>
      <x:c r="D354" s="40" t="str">
        <x:v>R. BetterCalendar Import</x:v>
      </x:c>
      <x:c r="E354" s="40" t="str">
        <x:v>AC-R-016</x:v>
      </x:c>
      <x:c r="F354" s="40" t="str">
        <x:v>FR-R-016</x:v>
      </x:c>
      <x:c r="G354" s="40" t="str">
        <x:v>Given the applicable BetterCalendar Import preconditions and a valid Local Profile</x:v>
      </x:c>
      <x:c r="H354" s="40" t="str">
        <x:v>When the user performs the relevant action or the relevant system condition occurs</x:v>
      </x:c>
      <x:c r="I354" s="40" t="str">
        <x:v>Then existing local records shall not be overwritten solely because titles or visible fields match imported records.</x:v>
      </x:c>
      <x:c r="J354" s="40" t="str">
        <x:v>Yes</x:v>
      </x:c>
      <x:c r="K354" s="40" t="str">
        <x:v>Database test / Integration test</x:v>
      </x:c>
      <x:c r="L354" s="40" t="str">
        <x:v>Not Started</x:v>
      </x:c>
      <x:c r="M354" s="40"/>
    </x:row>
    <x:row r="355">
      <x:c r="A355" s="40" t="str">
        <x:v>VS-17</x:v>
      </x:c>
      <x:c r="B355" s="40" t="n">
        <x:v>17</x:v>
      </x:c>
      <x:c r="C355" s="40" t="str">
        <x:v>Wave 4 — Device Services and Reliability</x:v>
      </x:c>
      <x:c r="D355" s="40" t="str">
        <x:v>R. BetterCalendar Import</x:v>
      </x:c>
      <x:c r="E355" s="40" t="str">
        <x:v>AC-R-017</x:v>
      </x:c>
      <x:c r="F355" s="40" t="str">
        <x:v>FR-R-017</x:v>
      </x:c>
      <x:c r="G355" s="40" t="str">
        <x:v>Given the applicable BetterCalendar Import preconditions and a valid Local Profile</x:v>
      </x:c>
      <x:c r="H355" s="40" t="str">
        <x:v>When the user performs the relevant action or the relevant system condition occurs</x:v>
      </x:c>
      <x:c r="I355" s="40" t="str">
        <x:v>Then only explicitly supported and safe BetterCalendar settings shall be eligible for import.</x:v>
      </x:c>
      <x:c r="J355" s="40" t="str">
        <x:v>No</x:v>
      </x:c>
      <x:c r="K355" s="40" t="str">
        <x:v>Integration test</x:v>
      </x:c>
      <x:c r="L355" s="40" t="str">
        <x:v>Not Started</x:v>
      </x:c>
      <x:c r="M355" s="40"/>
    </x:row>
    <x:row r="356">
      <x:c r="A356" s="40" t="str">
        <x:v>VS-17</x:v>
      </x:c>
      <x:c r="B356" s="40" t="n">
        <x:v>17</x:v>
      </x:c>
      <x:c r="C356" s="40" t="str">
        <x:v>Wave 4 — Device Services and Reliability</x:v>
      </x:c>
      <x:c r="D356" s="40" t="str">
        <x:v>R. BetterCalendar Import</x:v>
      </x:c>
      <x:c r="E356" s="40" t="str">
        <x:v>AC-R-018</x:v>
      </x:c>
      <x:c r="F356" s="40" t="str">
        <x:v>FR-R-018</x:v>
      </x:c>
      <x:c r="G356" s="40" t="str">
        <x:v>Given the applicable BetterCalendar Import preconditions and a valid Local Profile</x:v>
      </x:c>
      <x:c r="H356" s="40" t="str">
        <x:v>When the user performs the relevant action or the relevant system condition occurs</x:v>
      </x:c>
      <x:c r="I356" s="40" t="str">
        <x:v>Then validation, preview, commit, and supported rollback shall operate offline using Drift.</x:v>
      </x:c>
      <x:c r="J356" s="40" t="str">
        <x:v>Yes</x:v>
      </x:c>
      <x:c r="K356" s="40" t="str">
        <x:v>Database test / Widget test</x:v>
      </x:c>
      <x:c r="L356" s="40" t="str">
        <x:v>Not Started</x:v>
      </x:c>
      <x:c r="M356" s="40"/>
    </x:row>
    <x:row r="357">
      <x:c r="A357" s="40" t="str">
        <x:v>VS-17</x:v>
      </x:c>
      <x:c r="B357" s="40" t="n">
        <x:v>17</x:v>
      </x:c>
      <x:c r="C357" s="40" t="str">
        <x:v>Wave 4 — Device Services and Reliability</x:v>
      </x:c>
      <x:c r="D357" s="40" t="str">
        <x:v>R. BetterCalendar Import</x:v>
      </x:c>
      <x:c r="E357" s="40" t="str">
        <x:v>AC-R-019</x:v>
      </x:c>
      <x:c r="F357" s="40" t="str">
        <x:v>FR-R-019</x:v>
      </x:c>
      <x:c r="G357" s="40" t="str">
        <x:v>Given the applicable BetterCalendar Import preconditions and a valid Local Profile</x:v>
      </x:c>
      <x:c r="H357" s="40" t="str">
        <x:v>When the user performs the relevant action or the relevant system condition occurs</x:v>
      </x:c>
      <x:c r="I357" s="40" t="str">
        <x:v>Then import shall not silently overwrite existing reports, ledger history, or user-edited records.</x:v>
      </x:c>
      <x:c r="J357" s="40" t="str">
        <x:v>Yes</x:v>
      </x:c>
      <x:c r="K357" s="40" t="str">
        <x:v>Database test / Integration test</x:v>
      </x:c>
      <x:c r="L357" s="40" t="str">
        <x:v>Not Started</x:v>
      </x:c>
      <x:c r="M357" s="40"/>
    </x:row>
    <x:row r="358">
      <x:c r="A358" s="40" t="str">
        <x:v>VS-17</x:v>
      </x:c>
      <x:c r="B358" s="40" t="n">
        <x:v>17</x:v>
      </x:c>
      <x:c r="C358" s="40" t="str">
        <x:v>Wave 4 — Device Services and Reliability</x:v>
      </x:c>
      <x:c r="D358" s="40" t="str">
        <x:v>R. BetterCalendar Import</x:v>
      </x:c>
      <x:c r="E358" s="40" t="str">
        <x:v>AC-R-020</x:v>
      </x:c>
      <x:c r="F358" s="40" t="str">
        <x:v>FR-R-020</x:v>
      </x:c>
      <x:c r="G358" s="40" t="str">
        <x:v>Given the applicable BetterCalendar Import preconditions and a valid Local Profile</x:v>
      </x:c>
      <x:c r="H358" s="40" t="str">
        <x:v>When the user performs the relevant action or the relevant system condition occurs</x:v>
      </x:c>
      <x:c r="I358" s="40" t="str">
        <x:v>Then provide an import summary distinguishing imported, skipped, deduplicated, unsupported, and failed records.</x:v>
      </x:c>
      <x:c r="J358" s="40" t="str">
        <x:v>No</x:v>
      </x:c>
      <x:c r="K358" s="40" t="str">
        <x:v>Domain test / Integration test</x:v>
      </x:c>
      <x:c r="L358" s="40" t="str">
        <x:v>Not Started</x:v>
      </x:c>
      <x:c r="M358" s="40"/>
    </x:row>
    <x:row r="359">
      <x:c r="A359" s="40" t="str">
        <x:v>VS-18</x:v>
      </x:c>
      <x:c r="B359" s="40" t="n">
        <x:v>18</x:v>
      </x:c>
      <x:c r="C359" s="40" t="str">
        <x:v>Wave 4 — Device Services and Reliability</x:v>
      </x:c>
      <x:c r="D359" s="40" t="str">
        <x:v>S. Backup, Export, and Restore</x:v>
      </x:c>
      <x:c r="E359" s="40" t="str">
        <x:v>AC-S-001</x:v>
      </x:c>
      <x:c r="F359" s="40" t="str">
        <x:v>FR-S-001</x:v>
      </x:c>
      <x:c r="G359" s="40" t="str">
        <x:v>Given the applicable Backup, Export, and Restore preconditions and a valid Local Profile</x:v>
      </x:c>
      <x:c r="H359" s="40" t="str">
        <x:v>When the user performs the relevant action or the relevant system condition occurs</x:v>
      </x:c>
      <x:c r="I359" s="40" t="str">
        <x:v>Then clearly distinguish backup, export, restore, external import, and synchronization.</x:v>
      </x:c>
      <x:c r="J359" s="40" t="str">
        <x:v>Yes</x:v>
      </x:c>
      <x:c r="K359" s="40" t="str">
        <x:v>Database test / Integration test</x:v>
      </x:c>
      <x:c r="L359" s="40" t="str">
        <x:v>Not Started</x:v>
      </x:c>
      <x:c r="M359" s="40"/>
    </x:row>
    <x:row r="360">
      <x:c r="A360" s="40" t="str">
        <x:v>VS-18</x:v>
      </x:c>
      <x:c r="B360" s="40" t="n">
        <x:v>18</x:v>
      </x:c>
      <x:c r="C360" s="40" t="str">
        <x:v>Wave 4 — Device Services and Reliability</x:v>
      </x:c>
      <x:c r="D360" s="40" t="str">
        <x:v>S. Backup, Export, and Restore</x:v>
      </x:c>
      <x:c r="E360" s="40" t="str">
        <x:v>AC-S-002</x:v>
      </x:c>
      <x:c r="F360" s="40" t="str">
        <x:v>FR-S-002</x:v>
      </x:c>
      <x:c r="G360" s="40" t="str">
        <x:v>Given the applicable Backup, Export, and Restore preconditions and a valid Local Profile</x:v>
      </x:c>
      <x:c r="H360" s="40" t="str">
        <x:v>When the user performs the relevant action or the relevant system condition occurs</x:v>
      </x:c>
      <x:c r="I360" s="40" t="str">
        <x:v>Then guest users shall be able to create and restore native local backups.</x:v>
      </x:c>
      <x:c r="J360" s="40" t="str">
        <x:v>Yes</x:v>
      </x:c>
      <x:c r="K360" s="40" t="str">
        <x:v>Database test / Widget test</x:v>
      </x:c>
      <x:c r="L360" s="40" t="str">
        <x:v>Not Started</x:v>
      </x:c>
      <x:c r="M360" s="40"/>
    </x:row>
    <x:row r="361">
      <x:c r="A361" s="40" t="str">
        <x:v>VS-18</x:v>
      </x:c>
      <x:c r="B361" s="40" t="n">
        <x:v>18</x:v>
      </x:c>
      <x:c r="C361" s="40" t="str">
        <x:v>Wave 4 — Device Services and Reliability</x:v>
      </x:c>
      <x:c r="D361" s="40" t="str">
        <x:v>S. Backup, Export, and Restore</x:v>
      </x:c>
      <x:c r="E361" s="40" t="str">
        <x:v>AC-S-003</x:v>
      </x:c>
      <x:c r="F361" s="40" t="str">
        <x:v>FR-S-003</x:v>
      </x:c>
      <x:c r="G361" s="40" t="str">
        <x:v>Given the applicable Backup, Export, and Restore preconditions and a valid Local Profile</x:v>
      </x:c>
      <x:c r="H361" s="40" t="str">
        <x:v>When the user performs the relevant action or the relevant system condition occurs</x:v>
      </x:c>
      <x:c r="I361" s="40" t="str">
        <x:v>Then preserve domain identities and relationships required for full recovery.</x:v>
      </x:c>
      <x:c r="J361" s="40" t="str">
        <x:v>Yes</x:v>
      </x:c>
      <x:c r="K361" s="40" t="str">
        <x:v>Database test / Integration test</x:v>
      </x:c>
      <x:c r="L361" s="40" t="str">
        <x:v>Not Started</x:v>
      </x:c>
      <x:c r="M361" s="40"/>
    </x:row>
    <x:row r="362">
      <x:c r="A362" s="40" t="str">
        <x:v>VS-18</x:v>
      </x:c>
      <x:c r="B362" s="40" t="n">
        <x:v>18</x:v>
      </x:c>
      <x:c r="C362" s="40" t="str">
        <x:v>Wave 4 — Device Services and Reliability</x:v>
      </x:c>
      <x:c r="D362" s="40" t="str">
        <x:v>S. Backup, Export, and Restore</x:v>
      </x:c>
      <x:c r="E362" s="40" t="str">
        <x:v>AC-S-004</x:v>
      </x:c>
      <x:c r="F362" s="40" t="str">
        <x:v>FR-S-004</x:v>
      </x:c>
      <x:c r="G362" s="40" t="str">
        <x:v>Given the applicable Backup, Export, and Restore preconditions and a valid Local Profile</x:v>
      </x:c>
      <x:c r="H362" s="40" t="str">
        <x:v>When the user performs the relevant action or the relevant system condition occurs</x:v>
      </x:c>
      <x:c r="I362" s="40" t="str">
        <x:v>Then preserve reports, Activity Ledger entries, reversals, replacements, and source lineage.</x:v>
      </x:c>
      <x:c r="J362" s="40" t="str">
        <x:v>Yes</x:v>
      </x:c>
      <x:c r="K362" s="40" t="str">
        <x:v>Database test</x:v>
      </x:c>
      <x:c r="L362" s="40" t="str">
        <x:v>Not Started</x:v>
      </x:c>
      <x:c r="M362" s="40"/>
    </x:row>
    <x:row r="363">
      <x:c r="A363" s="40" t="str">
        <x:v>VS-18</x:v>
      </x:c>
      <x:c r="B363" s="40" t="n">
        <x:v>18</x:v>
      </x:c>
      <x:c r="C363" s="40" t="str">
        <x:v>Wave 4 — Device Services and Reliability</x:v>
      </x:c>
      <x:c r="D363" s="40" t="str">
        <x:v>S. Backup, Export, and Restore</x:v>
      </x:c>
      <x:c r="E363" s="40" t="str">
        <x:v>AC-S-005</x:v>
      </x:c>
      <x:c r="F363" s="40" t="str">
        <x:v>FR-S-005</x:v>
      </x:c>
      <x:c r="G363" s="40" t="str">
        <x:v>Given the applicable Backup, Export, and Restore preconditions and a valid Local Profile</x:v>
      </x:c>
      <x:c r="H363" s="40" t="str">
        <x:v>When the user performs the relevant action or the relevant system condition occurs</x:v>
      </x:c>
      <x:c r="I363" s="40" t="str">
        <x:v>Then preserve recurrence occurrence identities and Task–Event links.</x:v>
      </x:c>
      <x:c r="J363" s="40" t="str">
        <x:v>Yes</x:v>
      </x:c>
      <x:c r="K363" s="40" t="str">
        <x:v>Database test</x:v>
      </x:c>
      <x:c r="L363" s="40" t="str">
        <x:v>Not Started</x:v>
      </x:c>
      <x:c r="M363" s="40"/>
    </x:row>
    <x:row r="364">
      <x:c r="A364" s="40" t="str">
        <x:v>VS-18</x:v>
      </x:c>
      <x:c r="B364" s="40" t="n">
        <x:v>18</x:v>
      </x:c>
      <x:c r="C364" s="40" t="str">
        <x:v>Wave 4 — Device Services and Reliability</x:v>
      </x:c>
      <x:c r="D364" s="40" t="str">
        <x:v>S. Backup, Export, and Restore</x:v>
      </x:c>
      <x:c r="E364" s="40" t="str">
        <x:v>AC-S-006</x:v>
      </x:c>
      <x:c r="F364" s="40" t="str">
        <x:v>FR-S-006</x:v>
      </x:c>
      <x:c r="G364" s="40" t="str">
        <x:v>Given the applicable Backup, Export, and Restore preconditions and a valid Local Profile</x:v>
      </x:c>
      <x:c r="H364" s="40" t="str">
        <x:v>When the user performs the relevant action or the relevant system condition occurs</x:v>
      </x:c>
      <x:c r="I364" s="40" t="str">
        <x:v>Then backup files shall support approved protection appropriate to their sensitivity.</x:v>
      </x:c>
      <x:c r="J364" s="40" t="str">
        <x:v>Yes</x:v>
      </x:c>
      <x:c r="K364" s="40" t="str">
        <x:v>Database test</x:v>
      </x:c>
      <x:c r="L364" s="40" t="str">
        <x:v>Not Started</x:v>
      </x:c>
      <x:c r="M364" s="40"/>
    </x:row>
    <x:row r="365">
      <x:c r="A365" s="40" t="str">
        <x:v>VS-18</x:v>
      </x:c>
      <x:c r="B365" s="40" t="n">
        <x:v>18</x:v>
      </x:c>
      <x:c r="C365" s="40" t="str">
        <x:v>Wave 4 — Device Services and Reliability</x:v>
      </x:c>
      <x:c r="D365" s="40" t="str">
        <x:v>S. Backup, Export, and Restore</x:v>
      </x:c>
      <x:c r="E365" s="40" t="str">
        <x:v>AC-S-007</x:v>
      </x:c>
      <x:c r="F365" s="40" t="str">
        <x:v>FR-S-007</x:v>
      </x:c>
      <x:c r="G365" s="40" t="str">
        <x:v>Given the applicable Backup, Export, and Restore preconditions and a valid Local Profile</x:v>
      </x:c>
      <x:c r="H365" s="40" t="str">
        <x:v>When the user performs the relevant action or the relevant system condition occurs</x:v>
      </x:c>
      <x:c r="I365" s="40" t="str">
        <x:v>Then user-readable export shall state that it is not necessarily a restorable native backup.</x:v>
      </x:c>
      <x:c r="J365" s="40" t="str">
        <x:v>Yes</x:v>
      </x:c>
      <x:c r="K365" s="40" t="str">
        <x:v>Database test / Integration test</x:v>
      </x:c>
      <x:c r="L365" s="40" t="str">
        <x:v>Not Started</x:v>
      </x:c>
      <x:c r="M365" s="40"/>
    </x:row>
    <x:row r="366">
      <x:c r="A366" s="40" t="str">
        <x:v>VS-18</x:v>
      </x:c>
      <x:c r="B366" s="40" t="n">
        <x:v>18</x:v>
      </x:c>
      <x:c r="C366" s="40" t="str">
        <x:v>Wave 4 — Device Services and Reliability</x:v>
      </x:c>
      <x:c r="D366" s="40" t="str">
        <x:v>S. Backup, Export, and Restore</x:v>
      </x:c>
      <x:c r="E366" s="40" t="str">
        <x:v>AC-S-008</x:v>
      </x:c>
      <x:c r="F366" s="40" t="str">
        <x:v>FR-S-008</x:v>
      </x:c>
      <x:c r="G366" s="40" t="str">
        <x:v>Given the applicable Backup, Export, and Restore preconditions and a valid Local Profile</x:v>
      </x:c>
      <x:c r="H366" s="40" t="str">
        <x:v>When the user performs the relevant action or the relevant system condition occurs</x:v>
      </x:c>
      <x:c r="I366" s="40" t="str">
        <x:v>Then validate format, integrity, version compatibility, and included categories before commit.</x:v>
      </x:c>
      <x:c r="J366" s="40" t="str">
        <x:v>Yes</x:v>
      </x:c>
      <x:c r="K366" s="40" t="str">
        <x:v>Database test</x:v>
      </x:c>
      <x:c r="L366" s="40" t="str">
        <x:v>Not Started</x:v>
      </x:c>
      <x:c r="M366" s="40"/>
    </x:row>
    <x:row r="367">
      <x:c r="A367" s="40" t="str">
        <x:v>VS-18</x:v>
      </x:c>
      <x:c r="B367" s="40" t="n">
        <x:v>18</x:v>
      </x:c>
      <x:c r="C367" s="40" t="str">
        <x:v>Wave 4 — Device Services and Reliability</x:v>
      </x:c>
      <x:c r="D367" s="40" t="str">
        <x:v>S. Backup, Export, and Restore</x:v>
      </x:c>
      <x:c r="E367" s="40" t="str">
        <x:v>AC-S-009</x:v>
      </x:c>
      <x:c r="F367" s="40" t="str">
        <x:v>FR-S-009</x:v>
      </x:c>
      <x:c r="G367" s="40" t="str">
        <x:v>Given the applicable Backup, Export, and Restore preconditions and a valid Local Profile</x:v>
      </x:c>
      <x:c r="H367" s="40" t="str">
        <x:v>When the user performs the relevant action or the relevant system condition occurs</x:v>
      </x:c>
      <x:c r="I367" s="40" t="str">
        <x:v>Then present a preview of affected data before modifying live local records.</x:v>
      </x:c>
      <x:c r="J367" s="40" t="str">
        <x:v>Yes</x:v>
      </x:c>
      <x:c r="K367" s="40" t="str">
        <x:v>Database test / Widget test</x:v>
      </x:c>
      <x:c r="L367" s="40" t="str">
        <x:v>Not Started</x:v>
      </x:c>
      <x:c r="M367" s="40"/>
    </x:row>
    <x:row r="368">
      <x:c r="A368" s="40" t="str">
        <x:v>VS-18</x:v>
      </x:c>
      <x:c r="B368" s="40" t="n">
        <x:v>18</x:v>
      </x:c>
      <x:c r="C368" s="40" t="str">
        <x:v>Wave 4 — Device Services and Reliability</x:v>
      </x:c>
      <x:c r="D368" s="40" t="str">
        <x:v>S. Backup, Export, and Restore</x:v>
      </x:c>
      <x:c r="E368" s="40" t="str">
        <x:v>AC-S-010</x:v>
      </x:c>
      <x:c r="F368" s="40" t="str">
        <x:v>FR-S-010</x:v>
      </x:c>
      <x:c r="G368" s="40" t="str">
        <x:v>Given the applicable Backup, Export, and Restore preconditions and a valid Local Profile</x:v>
      </x:c>
      <x:c r="H368" s="40" t="str">
        <x:v>When the user performs the relevant action or the relevant system condition occurs</x:v>
      </x:c>
      <x:c r="I368" s="40" t="str">
        <x:v>Then not silently overwrite newer local data.</x:v>
      </x:c>
      <x:c r="J368" s="40" t="str">
        <x:v>Yes</x:v>
      </x:c>
      <x:c r="K368" s="40" t="str">
        <x:v>Database test</x:v>
      </x:c>
      <x:c r="L368" s="40" t="str">
        <x:v>Not Started</x:v>
      </x:c>
      <x:c r="M368" s="40"/>
    </x:row>
    <x:row r="369">
      <x:c r="A369" s="40" t="str">
        <x:v>VS-18</x:v>
      </x:c>
      <x:c r="B369" s="40" t="n">
        <x:v>18</x:v>
      </x:c>
      <x:c r="C369" s="40" t="str">
        <x:v>Wave 4 — Device Services and Reliability</x:v>
      </x:c>
      <x:c r="D369" s="40" t="str">
        <x:v>S. Backup, Export, and Restore</x:v>
      </x:c>
      <x:c r="E369" s="40" t="str">
        <x:v>AC-S-011</x:v>
      </x:c>
      <x:c r="F369" s="40" t="str">
        <x:v>FR-S-011</x:v>
      </x:c>
      <x:c r="G369" s="40" t="str">
        <x:v>Given the applicable Backup, Export, and Restore preconditions and a valid Local Profile</x:v>
      </x:c>
      <x:c r="H369" s="40" t="str">
        <x:v>When the user performs the relevant action or the relevant system condition occurs</x:v>
      </x:c>
      <x:c r="I369" s="40" t="str">
        <x:v>Then a recoverable copy of current local data shall be created before destructive restore behavior.</x:v>
      </x:c>
      <x:c r="J369" s="40" t="str">
        <x:v>Yes</x:v>
      </x:c>
      <x:c r="K369" s="40" t="str">
        <x:v>Database test</x:v>
      </x:c>
      <x:c r="L369" s="40" t="str">
        <x:v>Not Started</x:v>
      </x:c>
      <x:c r="M369" s="40"/>
    </x:row>
    <x:row r="370">
      <x:c r="A370" s="40" t="str">
        <x:v>VS-18</x:v>
      </x:c>
      <x:c r="B370" s="40" t="n">
        <x:v>18</x:v>
      </x:c>
      <x:c r="C370" s="40" t="str">
        <x:v>Wave 4 — Device Services and Reliability</x:v>
      </x:c>
      <x:c r="D370" s="40" t="str">
        <x:v>S. Backup, Export, and Restore</x:v>
      </x:c>
      <x:c r="E370" s="40" t="str">
        <x:v>AC-S-012</x:v>
      </x:c>
      <x:c r="F370" s="40" t="str">
        <x:v>FR-S-012</x:v>
      </x:c>
      <x:c r="G370" s="40" t="str">
        <x:v>Given the applicable Backup, Export, and Restore preconditions and a valid Local Profile</x:v>
      </x:c>
      <x:c r="H370" s="40" t="str">
        <x:v>When the user performs the relevant action or the relevant system condition occurs</x:v>
      </x:c>
      <x:c r="I370" s="40" t="str">
        <x:v>Then restore modes shall preserve relationship integrity and prevent invalid partial recovery.</x:v>
      </x:c>
      <x:c r="J370" s="40" t="str">
        <x:v>Yes</x:v>
      </x:c>
      <x:c r="K370" s="40" t="str">
        <x:v>Database test / Integration test</x:v>
      </x:c>
      <x:c r="L370" s="40" t="str">
        <x:v>Not Started</x:v>
      </x:c>
      <x:c r="M370" s="40"/>
    </x:row>
    <x:row r="371">
      <x:c r="A371" s="40" t="str">
        <x:v>VS-18</x:v>
      </x:c>
      <x:c r="B371" s="40" t="n">
        <x:v>18</x:v>
      </x:c>
      <x:c r="C371" s="40" t="str">
        <x:v>Wave 4 — Device Services and Reliability</x:v>
      </x:c>
      <x:c r="D371" s="40" t="str">
        <x:v>S. Backup, Export, and Restore</x:v>
      </x:c>
      <x:c r="E371" s="40" t="str">
        <x:v>AC-S-013</x:v>
      </x:c>
      <x:c r="F371" s="40" t="str">
        <x:v>FR-S-013</x:v>
      </x:c>
      <x:c r="G371" s="40" t="str">
        <x:v>Given the applicable Backup, Export, and Restore preconditions and a valid Local Profile</x:v>
      </x:c>
      <x:c r="H371" s="40" t="str">
        <x:v>When the user performs the relevant action or the relevant system condition occurs</x:v>
      </x:c>
      <x:c r="I371" s="40" t="str">
        <x:v>Then restore and retry operations shall prevent duplicate stable records and ledger effects.</x:v>
      </x:c>
      <x:c r="J371" s="40" t="str">
        <x:v>Yes</x:v>
      </x:c>
      <x:c r="K371" s="40" t="str">
        <x:v>Domain test / Database test</x:v>
      </x:c>
      <x:c r="L371" s="40" t="str">
        <x:v>Not Started</x:v>
      </x:c>
      <x:c r="M371" s="40"/>
    </x:row>
    <x:row r="372">
      <x:c r="A372" s="40" t="str">
        <x:v>VS-18</x:v>
      </x:c>
      <x:c r="B372" s="40" t="n">
        <x:v>18</x:v>
      </x:c>
      <x:c r="C372" s="40" t="str">
        <x:v>Wave 4 — Device Services and Reliability</x:v>
      </x:c>
      <x:c r="D372" s="40" t="str">
        <x:v>S. Backup, Export, and Restore</x:v>
      </x:c>
      <x:c r="E372" s="40" t="str">
        <x:v>AC-S-014</x:v>
      </x:c>
      <x:c r="F372" s="40" t="str">
        <x:v>FR-S-014</x:v>
      </x:c>
      <x:c r="G372" s="40" t="str">
        <x:v>Given the applicable Backup, Export, and Restore preconditions and a valid Local Profile</x:v>
      </x:c>
      <x:c r="H372" s="40" t="str">
        <x:v>When the user performs the relevant action or the relevant system condition occurs</x:v>
      </x:c>
      <x:c r="I372" s="40" t="str">
        <x:v>Then derived projections shall be rebuilt from restored canonical records rather than imported as editable Actual.</x:v>
      </x:c>
      <x:c r="J372" s="40" t="str">
        <x:v>Yes</x:v>
      </x:c>
      <x:c r="K372" s="40" t="str">
        <x:v>Domain test / Database test / Integration test</x:v>
      </x:c>
      <x:c r="L372" s="40" t="str">
        <x:v>Not Started</x:v>
      </x:c>
      <x:c r="M372" s="40"/>
    </x:row>
    <x:row r="373">
      <x:c r="A373" s="40" t="str">
        <x:v>VS-18</x:v>
      </x:c>
      <x:c r="B373" s="40" t="n">
        <x:v>18</x:v>
      </x:c>
      <x:c r="C373" s="40" t="str">
        <x:v>Wave 4 — Device Services and Reliability</x:v>
      </x:c>
      <x:c r="D373" s="40" t="str">
        <x:v>S. Backup, Export, and Restore</x:v>
      </x:c>
      <x:c r="E373" s="40" t="str">
        <x:v>AC-S-015</x:v>
      </x:c>
      <x:c r="F373" s="40" t="str">
        <x:v>FR-S-015</x:v>
      </x:c>
      <x:c r="G373" s="40" t="str">
        <x:v>Given the applicable Backup, Export, and Restore preconditions and a valid Local Profile</x:v>
      </x:c>
      <x:c r="H373" s="40" t="str">
        <x:v>When the user performs the relevant action or the relevant system condition occurs</x:v>
      </x:c>
      <x:c r="I373" s="40" t="str">
        <x:v>Then unsupported or incompatible backups shall be rejected without changing local data.</x:v>
      </x:c>
      <x:c r="J373" s="40" t="str">
        <x:v>Yes</x:v>
      </x:c>
      <x:c r="K373" s="40" t="str">
        <x:v>Database test</x:v>
      </x:c>
      <x:c r="L373" s="40" t="str">
        <x:v>Not Started</x:v>
      </x:c>
      <x:c r="M373" s="40"/>
    </x:row>
    <x:row r="374">
      <x:c r="A374" s="40" t="str">
        <x:v>VS-18</x:v>
      </x:c>
      <x:c r="B374" s="40" t="n">
        <x:v>18</x:v>
      </x:c>
      <x:c r="C374" s="40" t="str">
        <x:v>Wave 4 — Device Services and Reliability</x:v>
      </x:c>
      <x:c r="D374" s="40" t="str">
        <x:v>S. Backup, Export, and Restore</x:v>
      </x:c>
      <x:c r="E374" s="40" t="str">
        <x:v>AC-S-016</x:v>
      </x:c>
      <x:c r="F374" s="40" t="str">
        <x:v>FR-S-016</x:v>
      </x:c>
      <x:c r="G374" s="40" t="str">
        <x:v>Given the applicable Backup, Export, and Restore preconditions and a valid Local Profile</x:v>
      </x:c>
      <x:c r="H374" s="40" t="str">
        <x:v>When the user performs the relevant action or the relevant system condition occurs</x:v>
      </x:c>
      <x:c r="I374" s="40" t="str">
        <x:v>Then partial or failed restore shall produce a detailed recovery result rather than silent omission.</x:v>
      </x:c>
      <x:c r="J374" s="40" t="str">
        <x:v>Yes</x:v>
      </x:c>
      <x:c r="K374" s="40" t="str">
        <x:v>Database test / Integration test</x:v>
      </x:c>
      <x:c r="L374" s="40" t="str">
        <x:v>Not Started</x:v>
      </x:c>
      <x:c r="M374" s="40"/>
    </x:row>
    <x:row r="375">
      <x:c r="A375" s="40" t="str">
        <x:v>VS-18</x:v>
      </x:c>
      <x:c r="B375" s="40" t="n">
        <x:v>18</x:v>
      </x:c>
      <x:c r="C375" s="40" t="str">
        <x:v>Wave 4 — Device Services and Reliability</x:v>
      </x:c>
      <x:c r="D375" s="40" t="str">
        <x:v>S. Backup, Export, and Restore</x:v>
      </x:c>
      <x:c r="E375" s="40" t="str">
        <x:v>AC-S-017</x:v>
      </x:c>
      <x:c r="F375" s="40" t="str">
        <x:v>FR-S-017</x:v>
      </x:c>
      <x:c r="G375" s="40" t="str">
        <x:v>Given the applicable Backup, Export, and Restore preconditions and a valid Local Profile</x:v>
      </x:c>
      <x:c r="H375" s="40" t="str">
        <x:v>When the user performs the relevant action or the relevant system condition occurs</x:v>
      </x:c>
      <x:c r="I375" s="40" t="str">
        <x:v>Then backup, export, restore preview, and restore shall operate offline.</x:v>
      </x:c>
      <x:c r="J375" s="40" t="str">
        <x:v>Yes</x:v>
      </x:c>
      <x:c r="K375" s="40" t="str">
        <x:v>Database test / Widget test / Integration test</x:v>
      </x:c>
      <x:c r="L375" s="40" t="str">
        <x:v>Not Started</x:v>
      </x:c>
      <x:c r="M375" s="40"/>
    </x:row>
    <x:row r="376">
      <x:c r="A376" s="40" t="str">
        <x:v>VS-18</x:v>
      </x:c>
      <x:c r="B376" s="40" t="n">
        <x:v>18</x:v>
      </x:c>
      <x:c r="C376" s="40" t="str">
        <x:v>Wave 4 — Device Services and Reliability</x:v>
      </x:c>
      <x:c r="D376" s="40" t="str">
        <x:v>S. Backup, Export, and Restore</x:v>
      </x:c>
      <x:c r="E376" s="40" t="str">
        <x:v>AC-S-018</x:v>
      </x:c>
      <x:c r="F376" s="40" t="str">
        <x:v>FR-S-018</x:v>
      </x:c>
      <x:c r="G376" s="40" t="str">
        <x:v>Given the applicable Backup, Export, and Restore preconditions and a valid Local Profile</x:v>
      </x:c>
      <x:c r="H376" s="40" t="str">
        <x:v>When the user performs the relevant action or the relevant system condition occurs</x:v>
      </x:c>
      <x:c r="I376" s="40" t="str">
        <x:v>Then not modify or delete the selected source backup or export file.</x:v>
      </x:c>
      <x:c r="J376" s="40" t="str">
        <x:v>Yes</x:v>
      </x:c>
      <x:c r="K376" s="40" t="str">
        <x:v>Database test / Integration test</x:v>
      </x:c>
      <x:c r="L376" s="40" t="str">
        <x:v>Not Started</x:v>
      </x:c>
      <x:c r="M376" s="40"/>
    </x:row>
    <x:row r="377">
      <x:c r="A377" s="40" t="str">
        <x:v>VS-18</x:v>
      </x:c>
      <x:c r="B377" s="40" t="n">
        <x:v>18</x:v>
      </x:c>
      <x:c r="C377" s="40" t="str">
        <x:v>Wave 4 — Device Services and Reliability</x:v>
      </x:c>
      <x:c r="D377" s="40" t="str">
        <x:v>S. Backup, Export, and Restore</x:v>
      </x:c>
      <x:c r="E377" s="40" t="str">
        <x:v>AC-S-019</x:v>
      </x:c>
      <x:c r="F377" s="40" t="str">
        <x:v>FR-S-019</x:v>
      </x:c>
      <x:c r="G377" s="40" t="str">
        <x:v>Given the applicable Backup, Export, and Restore preconditions and a valid Local Profile</x:v>
      </x:c>
      <x:c r="H377" s="40" t="str">
        <x:v>When the user performs the relevant action or the relevant system condition occurs</x:v>
      </x:c>
      <x:c r="I377" s="40" t="str">
        <x:v>Then include integrity and compatibility metadata sufficient for safe restore decisions.</x:v>
      </x:c>
      <x:c r="J377" s="40" t="str">
        <x:v>Yes</x:v>
      </x:c>
      <x:c r="K377" s="40" t="str">
        <x:v>Database test</x:v>
      </x:c>
      <x:c r="L377" s="40" t="str">
        <x:v>Not Started</x:v>
      </x:c>
      <x:c r="M377" s="40"/>
    </x:row>
    <x:row r="378">
      <x:c r="A378" s="40" t="str">
        <x:v>VS-18</x:v>
      </x:c>
      <x:c r="B378" s="40" t="n">
        <x:v>18</x:v>
      </x:c>
      <x:c r="C378" s="40" t="str">
        <x:v>Wave 4 — Device Services and Reliability</x:v>
      </x:c>
      <x:c r="D378" s="40" t="str">
        <x:v>S. Backup, Export, and Restore</x:v>
      </x:c>
      <x:c r="E378" s="40" t="str">
        <x:v>AC-S-020</x:v>
      </x:c>
      <x:c r="F378" s="40" t="str">
        <x:v>FR-S-020</x:v>
      </x:c>
      <x:c r="G378" s="40" t="str">
        <x:v>Given the applicable Backup, Export, and Restore preconditions and a valid Local Profile</x:v>
      </x:c>
      <x:c r="H378" s="40" t="str">
        <x:v>When the user performs the relevant action or the relevant system condition occurs</x:v>
      </x:c>
      <x:c r="I378" s="40" t="str">
        <x:v>Then users may configure scheduled local backup reminders or automatic backups when an approved destination remains available.</x:v>
      </x:c>
      <x:c r="J378" s="40" t="str">
        <x:v>No</x:v>
      </x:c>
      <x:c r="K378" s="40" t="str">
        <x:v>Database test</x:v>
      </x:c>
      <x:c r="L378" s="40" t="str">
        <x:v>Not Started</x:v>
      </x:c>
      <x:c r="M378" s="40"/>
    </x:row>
    <x:row r="379">
      <x:c r="A379" s="40" t="str">
        <x:v>VS-19</x:v>
      </x:c>
      <x:c r="B379" s="40" t="n">
        <x:v>19</x:v>
      </x:c>
      <x:c r="C379" s="40" t="str">
        <x:v>Wave 4 — Device Services and Reliability</x:v>
      </x:c>
      <x:c r="D379" s="40" t="str">
        <x:v>T. Account and Synchronization</x:v>
      </x:c>
      <x:c r="E379" s="40" t="str">
        <x:v>AC-T-001</x:v>
      </x:c>
      <x:c r="F379" s="40" t="str">
        <x:v>FR-T-001</x:v>
      </x:c>
      <x:c r="G379" s="40" t="str">
        <x:v>Given the applicable Account and Synchronization preconditions and a valid Local Profile</x:v>
      </x:c>
      <x:c r="H379" s="40" t="str">
        <x:v>When the user performs the relevant action or the relevant system condition occurs</x:v>
      </x:c>
      <x:c r="I379" s="40" t="str">
        <x:v>Then be able to use the complete core application without creating an account.</x:v>
      </x:c>
      <x:c r="J379" s="40" t="str">
        <x:v>Yes</x:v>
      </x:c>
      <x:c r="K379" s="40" t="str">
        <x:v>Widget test</x:v>
      </x:c>
      <x:c r="L379" s="40" t="str">
        <x:v>Not Started</x:v>
      </x:c>
      <x:c r="M379" s="40"/>
    </x:row>
    <x:row r="380">
      <x:c r="A380" s="40" t="str">
        <x:v>VS-19</x:v>
      </x:c>
      <x:c r="B380" s="40" t="n">
        <x:v>19</x:v>
      </x:c>
      <x:c r="C380" s="40" t="str">
        <x:v>Wave 4 — Device Services and Reliability</x:v>
      </x:c>
      <x:c r="D380" s="40" t="str">
        <x:v>T. Account and Synchronization</x:v>
      </x:c>
      <x:c r="E380" s="40" t="str">
        <x:v>AC-T-002</x:v>
      </x:c>
      <x:c r="F380" s="40" t="str">
        <x:v>FR-T-002</x:v>
      </x:c>
      <x:c r="G380" s="40" t="str">
        <x:v>Given the applicable Account and Synchronization preconditions and a valid Local Profile</x:v>
      </x:c>
      <x:c r="H380" s="40" t="str">
        <x:v>When the user performs the relevant action or the relevant system condition occurs</x:v>
      </x:c>
      <x:c r="I380" s="40" t="str">
        <x:v>Then be able to link an existing guest Local Profile to an optional account.</x:v>
      </x:c>
      <x:c r="J380" s="40" t="str">
        <x:v>Yes</x:v>
      </x:c>
      <x:c r="K380" s="40" t="str">
        <x:v>Widget test</x:v>
      </x:c>
      <x:c r="L380" s="40" t="str">
        <x:v>Not Started</x:v>
      </x:c>
      <x:c r="M380" s="40"/>
    </x:row>
    <x:row r="381">
      <x:c r="A381" s="40" t="str">
        <x:v>VS-19</x:v>
      </x:c>
      <x:c r="B381" s="40" t="n">
        <x:v>19</x:v>
      </x:c>
      <x:c r="C381" s="40" t="str">
        <x:v>Wave 4 — Device Services and Reliability</x:v>
      </x:c>
      <x:c r="D381" s="40" t="str">
        <x:v>T. Account and Synchronization</x:v>
      </x:c>
      <x:c r="E381" s="40" t="str">
        <x:v>AC-T-003</x:v>
      </x:c>
      <x:c r="F381" s="40" t="str">
        <x:v>FR-T-003</x:v>
      </x:c>
      <x:c r="G381" s="40" t="str">
        <x:v>Given the applicable Account and Synchronization preconditions and a valid Local Profile</x:v>
      </x:c>
      <x:c r="H381" s="40" t="str">
        <x:v>When the user performs the relevant action or the relevant system condition occurs</x:v>
      </x:c>
      <x:c r="I381" s="40" t="str">
        <x:v>Then account linking shall retain the existing Local Profile rather than creating a replacement profile silently.</x:v>
      </x:c>
      <x:c r="J381" s="40" t="str">
        <x:v>Yes</x:v>
      </x:c>
      <x:c r="K381" s="40" t="str">
        <x:v>Integration test</x:v>
      </x:c>
      <x:c r="L381" s="40" t="str">
        <x:v>Not Started</x:v>
      </x:c>
      <x:c r="M381" s="40"/>
    </x:row>
    <x:row r="382">
      <x:c r="A382" s="40" t="str">
        <x:v>VS-19</x:v>
      </x:c>
      <x:c r="B382" s="40" t="n">
        <x:v>19</x:v>
      </x:c>
      <x:c r="C382" s="40" t="str">
        <x:v>Wave 4 — Device Services and Reliability</x:v>
      </x:c>
      <x:c r="D382" s="40" t="str">
        <x:v>T. Account and Synchronization</x:v>
      </x:c>
      <x:c r="E382" s="40" t="str">
        <x:v>AC-T-004</x:v>
      </x:c>
      <x:c r="F382" s="40" t="str">
        <x:v>FR-T-004</x:v>
      </x:c>
      <x:c r="G382" s="40" t="str">
        <x:v>Given the applicable Account and Synchronization preconditions and a valid Local Profile</x:v>
      </x:c>
      <x:c r="H382" s="40" t="str">
        <x:v>When the user performs the relevant action or the relevant system condition occurs</x:v>
      </x:c>
      <x:c r="I382" s="40" t="str">
        <x:v>Then drift-backed local state shall become usable before synchronization completes.</x:v>
      </x:c>
      <x:c r="J382" s="40" t="str">
        <x:v>Yes</x:v>
      </x:c>
      <x:c r="K382" s="40" t="str">
        <x:v>Database test / Integration test</x:v>
      </x:c>
      <x:c r="L382" s="40" t="str">
        <x:v>Not Started</x:v>
      </x:c>
      <x:c r="M382" s="40"/>
    </x:row>
    <x:row r="383">
      <x:c r="A383" s="40" t="str">
        <x:v>VS-19</x:v>
      </x:c>
      <x:c r="B383" s="40" t="n">
        <x:v>19</x:v>
      </x:c>
      <x:c r="C383" s="40" t="str">
        <x:v>Wave 4 — Device Services and Reliability</x:v>
      </x:c>
      <x:c r="D383" s="40" t="str">
        <x:v>T. Account and Synchronization</x:v>
      </x:c>
      <x:c r="E383" s="40" t="str">
        <x:v>AC-T-005</x:v>
      </x:c>
      <x:c r="F383" s="40" t="str">
        <x:v>FR-T-005</x:v>
      </x:c>
      <x:c r="G383" s="40" t="str">
        <x:v>Given the applicable Account and Synchronization preconditions and a valid Local Profile</x:v>
      </x:c>
      <x:c r="H383" s="40" t="str">
        <x:v>When the user performs the relevant action or the relevant system condition occurs</x:v>
      </x:c>
      <x:c r="I383" s="40" t="str">
        <x:v>Then offline local changes shall enter a durable synchronization outbox.</x:v>
      </x:c>
      <x:c r="J383" s="40" t="str">
        <x:v>Yes</x:v>
      </x:c>
      <x:c r="K383" s="40" t="str">
        <x:v>Database test / Integration test</x:v>
      </x:c>
      <x:c r="L383" s="40" t="str">
        <x:v>Not Started</x:v>
      </x:c>
      <x:c r="M383" s="40"/>
    </x:row>
    <x:row r="384">
      <x:c r="A384" s="40" t="str">
        <x:v>VS-19</x:v>
      </x:c>
      <x:c r="B384" s="40" t="n">
        <x:v>19</x:v>
      </x:c>
      <x:c r="C384" s="40" t="str">
        <x:v>Wave 4 — Device Services and Reliability</x:v>
      </x:c>
      <x:c r="D384" s="40" t="str">
        <x:v>T. Account and Synchronization</x:v>
      </x:c>
      <x:c r="E384" s="40" t="str">
        <x:v>AC-T-006</x:v>
      </x:c>
      <x:c r="F384" s="40" t="str">
        <x:v>FR-T-006</x:v>
      </x:c>
      <x:c r="G384" s="40" t="str">
        <x:v>Given the applicable Account and Synchronization preconditions and a valid Local Profile</x:v>
      </x:c>
      <x:c r="H384" s="40" t="str">
        <x:v>When the user performs the relevant action or the relevant system condition occurs</x:v>
      </x:c>
      <x:c r="I384" s="40" t="str">
        <x:v>Then first sync to an empty cloud account shall upload the existing Local Profile without duplicating it.</x:v>
      </x:c>
      <x:c r="J384" s="40" t="str">
        <x:v>Yes</x:v>
      </x:c>
      <x:c r="K384" s="40" t="str">
        <x:v>Integration test</x:v>
      </x:c>
      <x:c r="L384" s="40" t="str">
        <x:v>Not Started</x:v>
      </x:c>
      <x:c r="M384" s="40"/>
    </x:row>
    <x:row r="385">
      <x:c r="A385" s="40" t="str">
        <x:v>VS-19</x:v>
      </x:c>
      <x:c r="B385" s="40" t="n">
        <x:v>19</x:v>
      </x:c>
      <x:c r="C385" s="40" t="str">
        <x:v>Wave 4 — Device Services and Reliability</x:v>
      </x:c>
      <x:c r="D385" s="40" t="str">
        <x:v>T. Account and Synchronization</x:v>
      </x:c>
      <x:c r="E385" s="40" t="str">
        <x:v>AC-T-007</x:v>
      </x:c>
      <x:c r="F385" s="40" t="str">
        <x:v>FR-T-007</x:v>
      </x:c>
      <x:c r="G385" s="40" t="str">
        <x:v>Given the applicable Account and Synchronization preconditions and a valid Local Profile</x:v>
      </x:c>
      <x:c r="H385" s="40" t="str">
        <x:v>When the user performs the relevant action or the relevant system condition occurs</x:v>
      </x:c>
      <x:c r="I385" s="40" t="str">
        <x:v>Then first sync with existing cloud data shall present a safe reconciliation before applying destructive choices.</x:v>
      </x:c>
      <x:c r="J385" s="40" t="str">
        <x:v>Yes</x:v>
      </x:c>
      <x:c r="K385" s="40" t="str">
        <x:v>Integration test</x:v>
      </x:c>
      <x:c r="L385" s="40" t="str">
        <x:v>Not Started</x:v>
      </x:c>
      <x:c r="M385" s="40"/>
    </x:row>
    <x:row r="386">
      <x:c r="A386" s="40" t="str">
        <x:v>VS-19</x:v>
      </x:c>
      <x:c r="B386" s="40" t="n">
        <x:v>19</x:v>
      </x:c>
      <x:c r="C386" s="40" t="str">
        <x:v>Wave 4 — Device Services and Reliability</x:v>
      </x:c>
      <x:c r="D386" s="40" t="str">
        <x:v>T. Account and Synchronization</x:v>
      </x:c>
      <x:c r="E386" s="40" t="str">
        <x:v>AC-T-008</x:v>
      </x:c>
      <x:c r="F386" s="40" t="str">
        <x:v>FR-T-008</x:v>
      </x:c>
      <x:c r="G386" s="40" t="str">
        <x:v>Given the applicable Account and Synchronization preconditions and a valid Local Profile</x:v>
      </x:c>
      <x:c r="H386" s="40" t="str">
        <x:v>When the user performs the relevant action or the relevant system condition occurs</x:v>
      </x:c>
      <x:c r="I386" s="40" t="str">
        <x:v>Then remote synchronization shall not silently overwrite newer or pending local records.</x:v>
      </x:c>
      <x:c r="J386" s="40" t="str">
        <x:v>Yes</x:v>
      </x:c>
      <x:c r="K386" s="40" t="str">
        <x:v>Database test / Integration test</x:v>
      </x:c>
      <x:c r="L386" s="40" t="str">
        <x:v>Not Started</x:v>
      </x:c>
      <x:c r="M386" s="40"/>
    </x:row>
    <x:row r="387">
      <x:c r="A387" s="40" t="str">
        <x:v>VS-19</x:v>
      </x:c>
      <x:c r="B387" s="40" t="n">
        <x:v>19</x:v>
      </x:c>
      <x:c r="C387" s="40" t="str">
        <x:v>Wave 4 — Device Services and Reliability</x:v>
      </x:c>
      <x:c r="D387" s="40" t="str">
        <x:v>T. Account and Synchronization</x:v>
      </x:c>
      <x:c r="E387" s="40" t="str">
        <x:v>AC-T-009</x:v>
      </x:c>
      <x:c r="F387" s="40" t="str">
        <x:v>FR-T-009</x:v>
      </x:c>
      <x:c r="G387" s="40" t="str">
        <x:v>Given the applicable Account and Synchronization preconditions and a valid Local Profile</x:v>
      </x:c>
      <x:c r="H387" s="40" t="str">
        <x:v>When the user performs the relevant action or the relevant system condition occurs</x:v>
      </x:c>
      <x:c r="I387" s="40" t="str">
        <x:v>Then supabase data access shall enforce private single-user ownership through Row Level Security.</x:v>
      </x:c>
      <x:c r="J387" s="40" t="str">
        <x:v>Yes</x:v>
      </x:c>
      <x:c r="K387" s="40" t="str">
        <x:v>RLS test</x:v>
      </x:c>
      <x:c r="L387" s="40" t="str">
        <x:v>Not Started</x:v>
      </x:c>
      <x:c r="M387" s="40"/>
    </x:row>
    <x:row r="388">
      <x:c r="A388" s="40" t="str">
        <x:v>VS-19</x:v>
      </x:c>
      <x:c r="B388" s="40" t="n">
        <x:v>19</x:v>
      </x:c>
      <x:c r="C388" s="40" t="str">
        <x:v>Wave 4 — Device Services and Reliability</x:v>
      </x:c>
      <x:c r="D388" s="40" t="str">
        <x:v>T. Account and Synchronization</x:v>
      </x:c>
      <x:c r="E388" s="40" t="str">
        <x:v>AC-T-010</x:v>
      </x:c>
      <x:c r="F388" s="40" t="str">
        <x:v>FR-T-010</x:v>
      </x:c>
      <x:c r="G388" s="40" t="str">
        <x:v>Given the applicable Account and Synchronization preconditions and a valid Local Profile</x:v>
      </x:c>
      <x:c r="H388" s="40" t="str">
        <x:v>When the user performs the relevant action or the relevant system condition occurs</x:v>
      </x:c>
      <x:c r="I388" s="40" t="str">
        <x:v>Then session expiration shall preserve local access and queue new local changes.</x:v>
      </x:c>
      <x:c r="J388" s="40" t="str">
        <x:v>Yes</x:v>
      </x:c>
      <x:c r="K388" s="40" t="str">
        <x:v>Domain test</x:v>
      </x:c>
      <x:c r="L388" s="40" t="str">
        <x:v>Not Started</x:v>
      </x:c>
      <x:c r="M388" s="40"/>
    </x:row>
    <x:row r="389">
      <x:c r="A389" s="40" t="str">
        <x:v>VS-19</x:v>
      </x:c>
      <x:c r="B389" s="40" t="n">
        <x:v>19</x:v>
      </x:c>
      <x:c r="C389" s="40" t="str">
        <x:v>Wave 4 — Device Services and Reliability</x:v>
      </x:c>
      <x:c r="D389" s="40" t="str">
        <x:v>T. Account and Synchronization</x:v>
      </x:c>
      <x:c r="E389" s="40" t="str">
        <x:v>AC-T-011</x:v>
      </x:c>
      <x:c r="F389" s="40" t="str">
        <x:v>FR-T-011</x:v>
      </x:c>
      <x:c r="G389" s="40" t="str">
        <x:v>Given the applicable Account and Synchronization preconditions and a valid Local Profile</x:v>
      </x:c>
      <x:c r="H389" s="40" t="str">
        <x:v>When the user performs the relevant action or the relevant system condition occurs</x:v>
      </x:c>
      <x:c r="I389" s="40" t="str">
        <x:v>Then signing out shall not automatically erase the Local Profile or its data.</x:v>
      </x:c>
      <x:c r="J389" s="40" t="str">
        <x:v>Yes</x:v>
      </x:c>
      <x:c r="K389" s="40" t="str">
        <x:v>Domain test</x:v>
      </x:c>
      <x:c r="L389" s="40" t="str">
        <x:v>Not Started</x:v>
      </x:c>
      <x:c r="M389" s="40"/>
    </x:row>
    <x:row r="390">
      <x:c r="A390" s="40" t="str">
        <x:v>VS-19</x:v>
      </x:c>
      <x:c r="B390" s="40" t="n">
        <x:v>19</x:v>
      </x:c>
      <x:c r="C390" s="40" t="str">
        <x:v>Wave 4 — Device Services and Reliability</x:v>
      </x:c>
      <x:c r="D390" s="40" t="str">
        <x:v>T. Account and Synchronization</x:v>
      </x:c>
      <x:c r="E390" s="40" t="str">
        <x:v>AC-T-012</x:v>
      </x:c>
      <x:c r="F390" s="40" t="str">
        <x:v>FR-T-012</x:v>
      </x:c>
      <x:c r="G390" s="40" t="str">
        <x:v>Given the applicable Account and Synchronization preconditions and a valid Local Profile</x:v>
      </x:c>
      <x:c r="H390" s="40" t="str">
        <x:v>When the user performs the relevant action or the relevant system condition occurs</x:v>
      </x:c>
      <x:c r="I390" s="40" t="str">
        <x:v>Then sign out, stop synchronization, unlink account, delete cloud data, and delete local data shall remain distinct user actions.</x:v>
      </x:c>
      <x:c r="J390" s="40" t="str">
        <x:v>No</x:v>
      </x:c>
      <x:c r="K390" s="40" t="str">
        <x:v>Integration test</x:v>
      </x:c>
      <x:c r="L390" s="40" t="str">
        <x:v>Not Started</x:v>
      </x:c>
      <x:c r="M390" s="40"/>
    </x:row>
    <x:row r="391">
      <x:c r="A391" s="40" t="str">
        <x:v>VS-19</x:v>
      </x:c>
      <x:c r="B391" s="40" t="n">
        <x:v>19</x:v>
      </x:c>
      <x:c r="C391" s="40" t="str">
        <x:v>Wave 4 — Device Services and Reliability</x:v>
      </x:c>
      <x:c r="D391" s="40" t="str">
        <x:v>T. Account and Synchronization</x:v>
      </x:c>
      <x:c r="E391" s="40" t="str">
        <x:v>AC-T-013</x:v>
      </x:c>
      <x:c r="F391" s="40" t="str">
        <x:v>FR-T-013</x:v>
      </x:c>
      <x:c r="G391" s="40" t="str">
        <x:v>Given the applicable Account and Synchronization preconditions and a valid Local Profile</x:v>
      </x:c>
      <x:c r="H391" s="40" t="str">
        <x:v>When the user performs the relevant action or the relevant system condition occurs</x:v>
      </x:c>
      <x:c r="I391" s="40" t="str">
        <x:v>Then cloud-account deletion shall require explicit confirmation and disclose its effect on cloud and local data.</x:v>
      </x:c>
      <x:c r="J391" s="40" t="str">
        <x:v>Yes</x:v>
      </x:c>
      <x:c r="K391" s="40" t="str">
        <x:v>Domain test</x:v>
      </x:c>
      <x:c r="L391" s="40" t="str">
        <x:v>Not Started</x:v>
      </x:c>
      <x:c r="M391" s="40"/>
    </x:row>
    <x:row r="392">
      <x:c r="A392" s="40" t="str">
        <x:v>VS-19</x:v>
      </x:c>
      <x:c r="B392" s="40" t="n">
        <x:v>19</x:v>
      </x:c>
      <x:c r="C392" s="40" t="str">
        <x:v>Wave 4 — Device Services and Reliability</x:v>
      </x:c>
      <x:c r="D392" s="40" t="str">
        <x:v>T. Account and Synchronization</x:v>
      </x:c>
      <x:c r="E392" s="40" t="str">
        <x:v>AC-T-014</x:v>
      </x:c>
      <x:c r="F392" s="40" t="str">
        <x:v>FR-T-014</x:v>
      </x:c>
      <x:c r="G392" s="40" t="str">
        <x:v>Given the applicable Account and Synchronization preconditions and a valid Local Profile</x:v>
      </x:c>
      <x:c r="H392" s="40" t="str">
        <x:v>When the user performs the relevant action or the relevant system condition occurs</x:v>
      </x:c>
      <x:c r="I392" s="40" t="str">
        <x:v>Then a signed-in user shall be able to recover private cloud data on a replacement device without silent local overwrite.</x:v>
      </x:c>
      <x:c r="J392" s="40" t="str">
        <x:v>Yes</x:v>
      </x:c>
      <x:c r="K392" s="40" t="str">
        <x:v>Widget test</x:v>
      </x:c>
      <x:c r="L392" s="40" t="str">
        <x:v>Not Started</x:v>
      </x:c>
      <x:c r="M392" s="40"/>
    </x:row>
    <x:row r="393">
      <x:c r="A393" s="40" t="str">
        <x:v>VS-19</x:v>
      </x:c>
      <x:c r="B393" s="40" t="n">
        <x:v>19</x:v>
      </x:c>
      <x:c r="C393" s="40" t="str">
        <x:v>Wave 4 — Device Services and Reliability</x:v>
      </x:c>
      <x:c r="D393" s="40" t="str">
        <x:v>T. Account and Synchronization</x:v>
      </x:c>
      <x:c r="E393" s="40" t="str">
        <x:v>AC-T-015</x:v>
      </x:c>
      <x:c r="F393" s="40" t="str">
        <x:v>FR-T-015</x:v>
      </x:c>
      <x:c r="G393" s="40" t="str">
        <x:v>Given the applicable Account and Synchronization preconditions and a valid Local Profile</x:v>
      </x:c>
      <x:c r="H393" s="40" t="str">
        <x:v>When the user performs the relevant action or the relevant system condition occurs</x:v>
      </x:c>
      <x:c r="I393" s="40" t="str">
        <x:v>Then display whether data is local-only, pending upload, synchronized, paused, expired, or Action Required.</x:v>
      </x:c>
      <x:c r="J393" s="40" t="str">
        <x:v>No</x:v>
      </x:c>
      <x:c r="K393" s="40" t="str">
        <x:v>Widget test / Integration test</x:v>
      </x:c>
      <x:c r="L393" s="40" t="str">
        <x:v>Not Started</x:v>
      </x:c>
      <x:c r="M393" s="40"/>
    </x:row>
    <x:row r="394">
      <x:c r="A394" s="40" t="str">
        <x:v>VS-19</x:v>
      </x:c>
      <x:c r="B394" s="40" t="n">
        <x:v>19</x:v>
      </x:c>
      <x:c r="C394" s="40" t="str">
        <x:v>Wave 4 — Device Services and Reliability</x:v>
      </x:c>
      <x:c r="D394" s="40" t="str">
        <x:v>T. Account and Synchronization</x:v>
      </x:c>
      <x:c r="E394" s="40" t="str">
        <x:v>AC-T-016</x:v>
      </x:c>
      <x:c r="F394" s="40" t="str">
        <x:v>FR-T-016</x:v>
      </x:c>
      <x:c r="G394" s="40" t="str">
        <x:v>Given the applicable Account and Synchronization preconditions and a valid Local Profile</x:v>
      </x:c>
      <x:c r="H394" s="40" t="str">
        <x:v>When the user performs the relevant action or the relevant system condition occurs</x:v>
      </x:c>
      <x:c r="I394" s="40" t="str">
        <x:v>Then synchronization retries shall be idempotent and shall not duplicate domain records or contribution effects.</x:v>
      </x:c>
      <x:c r="J394" s="40" t="str">
        <x:v>Yes</x:v>
      </x:c>
      <x:c r="K394" s="40" t="str">
        <x:v>Domain test / Integration test</x:v>
      </x:c>
      <x:c r="L394" s="40" t="str">
        <x:v>Not Started</x:v>
      </x:c>
      <x:c r="M394" s="40"/>
    </x:row>
    <x:row r="395">
      <x:c r="A395" s="40" t="str">
        <x:v>VS-19</x:v>
      </x:c>
      <x:c r="B395" s="40" t="n">
        <x:v>19</x:v>
      </x:c>
      <x:c r="C395" s="40" t="str">
        <x:v>Wave 4 — Device Services and Reliability</x:v>
      </x:c>
      <x:c r="D395" s="40" t="str">
        <x:v>T. Account and Synchronization</x:v>
      </x:c>
      <x:c r="E395" s="40" t="str">
        <x:v>AC-T-017</x:v>
      </x:c>
      <x:c r="F395" s="40" t="str">
        <x:v>FR-T-017</x:v>
      </x:c>
      <x:c r="G395" s="40" t="str">
        <x:v>Given the applicable Account and Synchronization preconditions and a valid Local Profile</x:v>
      </x:c>
      <x:c r="H395" s="40" t="str">
        <x:v>When the user performs the relevant action or the relevant system condition occurs</x:v>
      </x:c>
      <x:c r="I395" s="40" t="str">
        <x:v>Then conflict resolution shall preserve report history, ledger lineage, recurrence occurrences, and Task–Event relationships.</x:v>
      </x:c>
      <x:c r="J395" s="40" t="str">
        <x:v>Yes</x:v>
      </x:c>
      <x:c r="K395" s="40" t="str">
        <x:v>Database test</x:v>
      </x:c>
      <x:c r="L395" s="40" t="str">
        <x:v>Not Started</x:v>
      </x:c>
      <x:c r="M395" s="40"/>
    </x:row>
    <x:row r="396">
      <x:c r="A396" s="40" t="str">
        <x:v>VS-19</x:v>
      </x:c>
      <x:c r="B396" s="40" t="n">
        <x:v>19</x:v>
      </x:c>
      <x:c r="C396" s="40" t="str">
        <x:v>Wave 4 — Device Services and Reliability</x:v>
      </x:c>
      <x:c r="D396" s="40" t="str">
        <x:v>T. Account and Synchronization</x:v>
      </x:c>
      <x:c r="E396" s="40" t="str">
        <x:v>AC-T-018</x:v>
      </x:c>
      <x:c r="F396" s="40" t="str">
        <x:v>FR-T-018</x:v>
      </x:c>
      <x:c r="G396" s="40" t="str">
        <x:v>Given the applicable Account and Synchronization preconditions and a valid Local Profile</x:v>
      </x:c>
      <x:c r="H396" s="40" t="str">
        <x:v>When the user performs the relevant action or the relevant system condition occurs</x:v>
      </x:c>
      <x:c r="I396" s="40" t="str">
        <x:v>Then not provide sharing, collaboration, leader, family, or mentor access.</x:v>
      </x:c>
      <x:c r="J396" s="40" t="str">
        <x:v>Yes</x:v>
      </x:c>
      <x:c r="K396" s="40" t="str">
        <x:v>Integration test</x:v>
      </x:c>
      <x:c r="L396" s="40" t="str">
        <x:v>Not Started</x:v>
      </x:c>
      <x:c r="M396" s="40"/>
    </x:row>
    <x:row r="397">
      <x:c r="A397" s="40" t="str">
        <x:v>VS-19</x:v>
      </x:c>
      <x:c r="B397" s="40" t="n">
        <x:v>19</x:v>
      </x:c>
      <x:c r="C397" s="40" t="str">
        <x:v>Wave 4 — Device Services and Reliability</x:v>
      </x:c>
      <x:c r="D397" s="40" t="str">
        <x:v>T. Account and Synchronization</x:v>
      </x:c>
      <x:c r="E397" s="40" t="str">
        <x:v>AC-T-019</x:v>
      </x:c>
      <x:c r="F397" s="40" t="str">
        <x:v>FR-T-019</x:v>
      </x:c>
      <x:c r="G397" s="40" t="str">
        <x:v>Given the applicable Account and Synchronization preconditions and a valid Local Profile</x:v>
      </x:c>
      <x:c r="H397" s="40" t="str">
        <x:v>When the user performs the relevant action or the relevant system condition occurs</x:v>
      </x:c>
      <x:c r="I397" s="40" t="str">
        <x:v>Then privacy lock shall remain enforceable independently of account authentication state.</x:v>
      </x:c>
      <x:c r="J397" s="40" t="str">
        <x:v>Yes</x:v>
      </x:c>
      <x:c r="K397" s="40" t="str">
        <x:v>Domain test</x:v>
      </x:c>
      <x:c r="L397" s="40" t="str">
        <x:v>Not Started</x:v>
      </x:c>
      <x:c r="M397" s="40"/>
    </x:row>
    <x:row r="398">
      <x:c r="A398" s="40" t="str">
        <x:v>VS-19</x:v>
      </x:c>
      <x:c r="B398" s="40" t="n">
        <x:v>19</x:v>
      </x:c>
      <x:c r="C398" s="40" t="str">
        <x:v>Wave 4 — Device Services and Reliability</x:v>
      </x:c>
      <x:c r="D398" s="40" t="str">
        <x:v>T. Account and Synchronization</x:v>
      </x:c>
      <x:c r="E398" s="40" t="str">
        <x:v>AC-T-020</x:v>
      </x:c>
      <x:c r="F398" s="40" t="str">
        <x:v>FR-T-020</x:v>
      </x:c>
      <x:c r="G398" s="40" t="str">
        <x:v>Given the applicable Account and Synchronization preconditions and a valid Local Profile</x:v>
      </x:c>
      <x:c r="H398" s="40" t="str">
        <x:v>When the user performs the relevant action or the relevant system condition occurs</x:v>
      </x:c>
      <x:c r="I398" s="40" t="str">
        <x:v>Then failed or cancelled authentication shall return the user to usable local-only operation.</x:v>
      </x:c>
      <x:c r="J398" s="40" t="str">
        <x:v>No</x:v>
      </x:c>
      <x:c r="K398" s="40" t="str">
        <x:v>Domain test</x:v>
      </x:c>
      <x:c r="L398" s="40" t="str">
        <x:v>Not Started</x:v>
      </x:c>
      <x:c r="M398" s="40"/>
    </x:row>
    <x:row r="399">
      <x:c r="A399" s="40" t="str">
        <x:v>VS-19</x:v>
      </x:c>
      <x:c r="B399" s="40" t="n">
        <x:v>19</x:v>
      </x:c>
      <x:c r="C399" s="40" t="str">
        <x:v>Wave 4 — Device Services and Reliability</x:v>
      </x:c>
      <x:c r="D399" s="40" t="str">
        <x:v>T. Account and Synchronization</x:v>
      </x:c>
      <x:c r="E399" s="40" t="str">
        <x:v>AC-T-021</x:v>
      </x:c>
      <x:c r="F399" s="40" t="str">
        <x:v>FR-T-021</x:v>
      </x:c>
      <x:c r="G399" s="40" t="str">
        <x:v>Given the applicable Account and Synchronization preconditions and a valid Local Profile</x:v>
      </x:c>
      <x:c r="H399" s="40" t="str">
        <x:v>When the user performs the relevant action or the relevant system condition occurs</x:v>
      </x:c>
      <x:c r="I399" s="40" t="str">
        <x:v>Then synchronization diagnostics shall minimize user content and avoid exposing authentication secrets.</x:v>
      </x:c>
      <x:c r="J399" s="40" t="str">
        <x:v>No</x:v>
      </x:c>
      <x:c r="K399" s="40" t="str">
        <x:v>Integration test</x:v>
      </x:c>
      <x:c r="L399" s="40" t="str">
        <x:v>Not Started</x:v>
      </x:c>
      <x:c r="M399" s="40"/>
    </x:row>
    <x:row r="400">
      <x:c r="A400" s="40" t="str">
        <x:v>VS-19</x:v>
      </x:c>
      <x:c r="B400" s="40" t="n">
        <x:v>19</x:v>
      </x:c>
      <x:c r="C400" s="40" t="str">
        <x:v>Wave 4 — Device Services and Reliability</x:v>
      </x:c>
      <x:c r="D400" s="40" t="str">
        <x:v>T. Account and Synchronization</x:v>
      </x:c>
      <x:c r="E400" s="40" t="str">
        <x:v>AC-T-022</x:v>
      </x:c>
      <x:c r="F400" s="40" t="str">
        <x:v>FR-T-022</x:v>
      </x:c>
      <x:c r="G400" s="40" t="str">
        <x:v>Given the applicable Account and Synchronization preconditions and a valid Local Profile</x:v>
      </x:c>
      <x:c r="H400" s="40" t="str">
        <x:v>When the user performs the relevant action or the relevant system condition occurs</x:v>
      </x:c>
      <x:c r="I400" s="40" t="str">
        <x:v>Then a user may pause synchronization without disabling local application workflows.</x:v>
      </x:c>
      <x:c r="J400" s="40" t="str">
        <x:v>No</x:v>
      </x:c>
      <x:c r="K400" s="40" t="str">
        <x:v>Integration test</x:v>
      </x:c>
      <x:c r="L400" s="40" t="str">
        <x:v>Not Started</x:v>
      </x:c>
      <x:c r="M400" s="40"/>
    </x:row>
    <x:row r="401">
      <x:c r="A401" s="40" t="str">
        <x:v>VS-16</x:v>
      </x:c>
      <x:c r="B401" s="40" t="n">
        <x:v>16</x:v>
      </x:c>
      <x:c r="C401" s="40" t="str">
        <x:v>Wave 4 — Device Services and Reliability</x:v>
      </x:c>
      <x:c r="D401" s="40" t="str">
        <x:v>U. Notifications and Background Work</x:v>
      </x:c>
      <x:c r="E401" s="40" t="str">
        <x:v>AC-U-001</x:v>
      </x:c>
      <x:c r="F401" s="40" t="str">
        <x:v>FR-U-001</x:v>
      </x:c>
      <x:c r="G401" s="40" t="str">
        <x:v>Given the applicable Notifications and Background Work preconditions and a valid Local Profile</x:v>
      </x:c>
      <x:c r="H401" s="40" t="str">
        <x:v>When the user performs the relevant action or the relevant system condition occurs</x:v>
      </x:c>
      <x:c r="I401" s="40" t="str">
        <x:v>Then provide a durable local background-work scheduler for approved V1 jobs.</x:v>
      </x:c>
      <x:c r="J401" s="40" t="str">
        <x:v>Yes</x:v>
      </x:c>
      <x:c r="K401" s="40" t="str">
        <x:v>Integration test</x:v>
      </x:c>
      <x:c r="L401" s="40" t="str">
        <x:v>Not Started</x:v>
      </x:c>
      <x:c r="M401" s="40"/>
    </x:row>
    <x:row r="402">
      <x:c r="A402" s="40" t="str">
        <x:v>VS-16</x:v>
      </x:c>
      <x:c r="B402" s="40" t="n">
        <x:v>16</x:v>
      </x:c>
      <x:c r="C402" s="40" t="str">
        <x:v>Wave 4 — Device Services and Reliability</x:v>
      </x:c>
      <x:c r="D402" s="40" t="str">
        <x:v>U. Notifications and Background Work</x:v>
      </x:c>
      <x:c r="E402" s="40" t="str">
        <x:v>AC-U-002</x:v>
      </x:c>
      <x:c r="F402" s="40" t="str">
        <x:v>FR-U-002</x:v>
      </x:c>
      <x:c r="G402" s="40" t="str">
        <x:v>Given the applicable Notifications and Background Work preconditions and a valid Local Profile</x:v>
      </x:c>
      <x:c r="H402" s="40" t="str">
        <x:v>When the user performs the relevant action or the relevant system condition occurs</x:v>
      </x:c>
      <x:c r="I402" s="40" t="str">
        <x:v>Then background work shall never create Task completion, Calendar Event outcomes, reports, Actual, or Activity Ledger contributions without a valid canonical source.</x:v>
      </x:c>
      <x:c r="J402" s="40" t="str">
        <x:v>Yes</x:v>
      </x:c>
      <x:c r="K402" s="40" t="str">
        <x:v>Domain test / Database test / Integration test</x:v>
      </x:c>
      <x:c r="L402" s="40" t="str">
        <x:v>Not Started</x:v>
      </x:c>
      <x:c r="M402" s="40"/>
    </x:row>
    <x:row r="403">
      <x:c r="A403" s="40" t="str">
        <x:v>VS-16</x:v>
      </x:c>
      <x:c r="B403" s="40" t="n">
        <x:v>16</x:v>
      </x:c>
      <x:c r="C403" s="40" t="str">
        <x:v>Wave 4 — Device Services and Reliability</x:v>
      </x:c>
      <x:c r="D403" s="40" t="str">
        <x:v>U. Notifications and Background Work</x:v>
      </x:c>
      <x:c r="E403" s="40" t="str">
        <x:v>AC-U-003</x:v>
      </x:c>
      <x:c r="F403" s="40" t="str">
        <x:v>FR-U-003</x:v>
      </x:c>
      <x:c r="G403" s="40" t="str">
        <x:v>Given the applicable Notifications and Background Work preconditions and a valid Local Profile</x:v>
      </x:c>
      <x:c r="H403" s="40" t="str">
        <x:v>When the user performs the relevant action or the relevant system condition occurs</x:v>
      </x:c>
      <x:c r="I403" s="40" t="str">
        <x:v>Then background jobs shall be idempotent and safe to retry after process death, device restart, or uncertain completion.</x:v>
      </x:c>
      <x:c r="J403" s="40" t="str">
        <x:v>Yes</x:v>
      </x:c>
      <x:c r="K403" s="40" t="str">
        <x:v>Domain test / Integration test</x:v>
      </x:c>
      <x:c r="L403" s="40" t="str">
        <x:v>Not Started</x:v>
      </x:c>
      <x:c r="M403" s="40"/>
    </x:row>
    <x:row r="404">
      <x:c r="A404" s="40" t="str">
        <x:v>VS-16</x:v>
      </x:c>
      <x:c r="B404" s="40" t="n">
        <x:v>16</x:v>
      </x:c>
      <x:c r="C404" s="40" t="str">
        <x:v>Wave 4 — Device Services and Reliability</x:v>
      </x:c>
      <x:c r="D404" s="40" t="str">
        <x:v>U. Notifications and Background Work</x:v>
      </x:c>
      <x:c r="E404" s="40" t="str">
        <x:v>AC-U-004</x:v>
      </x:c>
      <x:c r="F404" s="40" t="str">
        <x:v>FR-U-004</x:v>
      </x:c>
      <x:c r="G404" s="40" t="str">
        <x:v>Given the applicable Notifications and Background Work preconditions and a valid Local Profile</x:v>
      </x:c>
      <x:c r="H404" s="40" t="str">
        <x:v>When the user performs the relevant action or the relevant system condition occurs</x:v>
      </x:c>
      <x:c r="I404" s="40" t="str">
        <x:v>Then background jobs shall declare and respect required connectivity, charging, battery, and storage constraints where applicable.</x:v>
      </x:c>
      <x:c r="J404" s="40" t="str">
        <x:v>Yes</x:v>
      </x:c>
      <x:c r="K404" s="40" t="str">
        <x:v>Integration test</x:v>
      </x:c>
      <x:c r="L404" s="40" t="str">
        <x:v>Not Started</x:v>
      </x:c>
      <x:c r="M404" s="40"/>
    </x:row>
    <x:row r="405">
      <x:c r="A405" s="40" t="str">
        <x:v>VS-16</x:v>
      </x:c>
      <x:c r="B405" s="40" t="n">
        <x:v>16</x:v>
      </x:c>
      <x:c r="C405" s="40" t="str">
        <x:v>Wave 4 — Device Services and Reliability</x:v>
      </x:c>
      <x:c r="D405" s="40" t="str">
        <x:v>U. Notifications and Background Work</x:v>
      </x:c>
      <x:c r="E405" s="40" t="str">
        <x:v>AC-U-005</x:v>
      </x:c>
      <x:c r="F405" s="40" t="str">
        <x:v>FR-U-005</x:v>
      </x:c>
      <x:c r="G405" s="40" t="str">
        <x:v>Given the applicable Notifications and Background Work preconditions and a valid Local Profile</x:v>
      </x:c>
      <x:c r="H405" s="40" t="str">
        <x:v>When the user performs the relevant action or the relevant system condition occurs</x:v>
      </x:c>
      <x:c r="I405" s="40" t="str">
        <x:v>Then recover eligible reminder schedules and pending background work after device restart or app update.</x:v>
      </x:c>
      <x:c r="J405" s="40" t="str">
        <x:v>Yes</x:v>
      </x:c>
      <x:c r="K405" s="40" t="str">
        <x:v>Integration test</x:v>
      </x:c>
      <x:c r="L405" s="40" t="str">
        <x:v>Not Started</x:v>
      </x:c>
      <x:c r="M405" s="40"/>
    </x:row>
    <x:row r="406">
      <x:c r="A406" s="40" t="str">
        <x:v>VS-16</x:v>
      </x:c>
      <x:c r="B406" s="40" t="n">
        <x:v>16</x:v>
      </x:c>
      <x:c r="C406" s="40" t="str">
        <x:v>Wave 4 — Device Services and Reliability</x:v>
      </x:c>
      <x:c r="D406" s="40" t="str">
        <x:v>U. Notifications and Background Work</x:v>
      </x:c>
      <x:c r="E406" s="40" t="str">
        <x:v>AC-U-006</x:v>
      </x:c>
      <x:c r="F406" s="40" t="str">
        <x:v>FR-U-006</x:v>
      </x:c>
      <x:c r="G406" s="40" t="str">
        <x:v>Given the applicable Notifications and Background Work preconditions and a valid Local Profile</x:v>
      </x:c>
      <x:c r="H406" s="40" t="str">
        <x:v>When the user performs the relevant action or the relevant system condition occurs</x:v>
      </x:c>
      <x:c r="I406" s="40" t="str">
        <x:v>Then process synchronization outbox work without blocking foreground local workflows.</x:v>
      </x:c>
      <x:c r="J406" s="40" t="str">
        <x:v>Yes</x:v>
      </x:c>
      <x:c r="K406" s="40" t="str">
        <x:v>Database test / Integration test</x:v>
      </x:c>
      <x:c r="L406" s="40" t="str">
        <x:v>Not Started</x:v>
      </x:c>
      <x:c r="M406" s="40"/>
    </x:row>
    <x:row r="407">
      <x:c r="A407" s="40" t="str">
        <x:v>VS-16</x:v>
      </x:c>
      <x:c r="B407" s="40" t="n">
        <x:v>16</x:v>
      </x:c>
      <x:c r="C407" s="40" t="str">
        <x:v>Wave 4 — Device Services and Reliability</x:v>
      </x:c>
      <x:c r="D407" s="40" t="str">
        <x:v>U. Notifications and Background Work</x:v>
      </x:c>
      <x:c r="E407" s="40" t="str">
        <x:v>AC-U-007</x:v>
      </x:c>
      <x:c r="F407" s="40" t="str">
        <x:v>FR-U-007</x:v>
      </x:c>
      <x:c r="G407" s="40" t="str">
        <x:v>Given the applicable Notifications and Background Work preconditions and a valid Local Profile</x:v>
      </x:c>
      <x:c r="H407" s="40" t="str">
        <x:v>When the user performs the relevant action or the relevant system condition occurs</x:v>
      </x:c>
      <x:c r="I407" s="40" t="str">
        <x:v>Then background synchronization failure shall preserve pending local operations and expose factual status.</x:v>
      </x:c>
      <x:c r="J407" s="40" t="str">
        <x:v>Yes</x:v>
      </x:c>
      <x:c r="K407" s="40" t="str">
        <x:v>Domain test / Integration test</x:v>
      </x:c>
      <x:c r="L407" s="40" t="str">
        <x:v>Not Started</x:v>
      </x:c>
      <x:c r="M407" s="40"/>
    </x:row>
    <x:row r="408">
      <x:c r="A408" s="40" t="str">
        <x:v>VS-16</x:v>
      </x:c>
      <x:c r="B408" s="40" t="n">
        <x:v>16</x:v>
      </x:c>
      <x:c r="C408" s="40" t="str">
        <x:v>Wave 4 — Device Services and Reliability</x:v>
      </x:c>
      <x:c r="D408" s="40" t="str">
        <x:v>U. Notifications and Background Work</x:v>
      </x:c>
      <x:c r="E408" s="40" t="str">
        <x:v>AC-U-008</x:v>
      </x:c>
      <x:c r="F408" s="40" t="str">
        <x:v>FR-U-008</x:v>
      </x:c>
      <x:c r="G408" s="40" t="str">
        <x:v>Given the applicable Notifications and Background Work preconditions and a valid Local Profile</x:v>
      </x:c>
      <x:c r="H408" s="40" t="str">
        <x:v>When the user performs the relevant action or the relevant system condition occurs</x:v>
      </x:c>
      <x:c r="I408" s="40" t="str">
        <x:v>Then support periodic official-content update checks without blocking bundled or last-known-valid content.</x:v>
      </x:c>
      <x:c r="J408" s="40" t="str">
        <x:v>Yes</x:v>
      </x:c>
      <x:c r="K408" s="40" t="str">
        <x:v>Manual review</x:v>
      </x:c>
      <x:c r="L408" s="40" t="str">
        <x:v>Not Started</x:v>
      </x:c>
      <x:c r="M408" s="40"/>
    </x:row>
    <x:row r="409">
      <x:c r="A409" s="40" t="str">
        <x:v>VS-16</x:v>
      </x:c>
      <x:c r="B409" s="40" t="n">
        <x:v>16</x:v>
      </x:c>
      <x:c r="C409" s="40" t="str">
        <x:v>Wave 4 — Device Services and Reliability</x:v>
      </x:c>
      <x:c r="D409" s="40" t="str">
        <x:v>U. Notifications and Background Work</x:v>
      </x:c>
      <x:c r="E409" s="40" t="str">
        <x:v>AC-U-009</x:v>
      </x:c>
      <x:c r="F409" s="40" t="str">
        <x:v>FR-U-009</x:v>
      </x:c>
      <x:c r="G409" s="40" t="str">
        <x:v>Given the applicable Notifications and Background Work preconditions and a valid Local Profile</x:v>
      </x:c>
      <x:c r="H409" s="40" t="str">
        <x:v>When the user performs the relevant action or the relevant system condition occurs</x:v>
      </x:c>
      <x:c r="I409" s="40" t="str">
        <x:v>Then background content checks shall not overwrite user-created state or verified historical content.</x:v>
      </x:c>
      <x:c r="J409" s="40" t="str">
        <x:v>Yes</x:v>
      </x:c>
      <x:c r="K409" s="40" t="str">
        <x:v>Integration test</x:v>
      </x:c>
      <x:c r="L409" s="40" t="str">
        <x:v>Not Started</x:v>
      </x:c>
      <x:c r="M409" s="40"/>
    </x:row>
    <x:row r="410">
      <x:c r="A410" s="40" t="str">
        <x:v>VS-16</x:v>
      </x:c>
      <x:c r="B410" s="40" t="n">
        <x:v>16</x:v>
      </x:c>
      <x:c r="C410" s="40" t="str">
        <x:v>Wave 4 — Device Services and Reliability</x:v>
      </x:c>
      <x:c r="D410" s="40" t="str">
        <x:v>U. Notifications and Background Work</x:v>
      </x:c>
      <x:c r="E410" s="40" t="str">
        <x:v>AC-U-010</x:v>
      </x:c>
      <x:c r="F410" s="40" t="str">
        <x:v>FR-U-010</x:v>
      </x:c>
      <x:c r="G410" s="40" t="str">
        <x:v>Given the applicable Notifications and Background Work preconditions and a valid Local Profile</x:v>
      </x:c>
      <x:c r="H410" s="40" t="str">
        <x:v>When the user performs the relevant action or the relevant system condition occurs</x:v>
      </x:c>
      <x:c r="I410" s="40" t="str">
        <x:v>Then not use background location permission or continuous background location work in V1.</x:v>
      </x:c>
      <x:c r="J410" s="40" t="str">
        <x:v>Yes</x:v>
      </x:c>
      <x:c r="K410" s="40" t="str">
        <x:v>Widget test / Integration test</x:v>
      </x:c>
      <x:c r="L410" s="40" t="str">
        <x:v>Not Started</x:v>
      </x:c>
      <x:c r="M410" s="40"/>
    </x:row>
    <x:row r="411">
      <x:c r="A411" s="40" t="str">
        <x:v>VS-16</x:v>
      </x:c>
      <x:c r="B411" s="40" t="n">
        <x:v>16</x:v>
      </x:c>
      <x:c r="C411" s="40" t="str">
        <x:v>Wave 4 — Device Services and Reliability</x:v>
      </x:c>
      <x:c r="D411" s="40" t="str">
        <x:v>U. Notifications and Background Work</x:v>
      </x:c>
      <x:c r="E411" s="40" t="str">
        <x:v>AC-U-011</x:v>
      </x:c>
      <x:c r="F411" s="40" t="str">
        <x:v>FR-U-011</x:v>
      </x:c>
      <x:c r="G411" s="40" t="str">
        <x:v>Given the applicable Notifications and Background Work preconditions and a valid Local Profile</x:v>
      </x:c>
      <x:c r="H411" s="40" t="str">
        <x:v>When the user performs the relevant action or the relevant system condition occurs</x:v>
      </x:c>
      <x:c r="I411" s="40" t="str">
        <x:v>Then long-running user-initiated work shall use an appropriate visible progress experience when Android requires it.</x:v>
      </x:c>
      <x:c r="J411" s="40" t="str">
        <x:v>No</x:v>
      </x:c>
      <x:c r="K411" s="40" t="str">
        <x:v>Domain test</x:v>
      </x:c>
      <x:c r="L411" s="40" t="str">
        <x:v>Not Started</x:v>
      </x:c>
      <x:c r="M411" s="40"/>
    </x:row>
    <x:row r="412">
      <x:c r="A412" s="40" t="str">
        <x:v>VS-16</x:v>
      </x:c>
      <x:c r="B412" s="40" t="n">
        <x:v>16</x:v>
      </x:c>
      <x:c r="C412" s="40" t="str">
        <x:v>Wave 4 — Device Services and Reliability</x:v>
      </x:c>
      <x:c r="D412" s="40" t="str">
        <x:v>U. Notifications and Background Work</x:v>
      </x:c>
      <x:c r="E412" s="40" t="str">
        <x:v>AC-U-012</x:v>
      </x:c>
      <x:c r="F412" s="40" t="str">
        <x:v>FR-U-012</x:v>
      </x:c>
      <x:c r="G412" s="40" t="str">
        <x:v>Given the applicable Notifications and Background Work preconditions and a valid Local Profile</x:v>
      </x:c>
      <x:c r="H412" s="40" t="str">
        <x:v>When the user performs the relevant action or the relevant system condition occurs</x:v>
      </x:c>
      <x:c r="I412" s="40" t="str">
        <x:v>Then background jobs shall not contain private record titles, notes, reflections, document references, or precise locations in logs or analytics.</x:v>
      </x:c>
      <x:c r="J412" s="40" t="str">
        <x:v>Yes</x:v>
      </x:c>
      <x:c r="K412" s="40" t="str">
        <x:v>Integration test</x:v>
      </x:c>
      <x:c r="L412" s="40" t="str">
        <x:v>Not Started</x:v>
      </x:c>
      <x:c r="M412" s="40"/>
    </x:row>
    <x:row r="413">
      <x:c r="A413" s="40" t="str">
        <x:v>VS-16</x:v>
      </x:c>
      <x:c r="B413" s="40" t="n">
        <x:v>16</x:v>
      </x:c>
      <x:c r="C413" s="40" t="str">
        <x:v>Wave 4 — Device Services and Reliability</x:v>
      </x:c>
      <x:c r="D413" s="40" t="str">
        <x:v>U. Notifications and Background Work</x:v>
      </x:c>
      <x:c r="E413" s="40" t="str">
        <x:v>AC-U-013</x:v>
      </x:c>
      <x:c r="F413" s="40" t="str">
        <x:v>FR-U-013</x:v>
      </x:c>
      <x:c r="G413" s="40" t="str">
        <x:v>Given the applicable Notifications and Background Work preconditions and a valid Local Profile</x:v>
      </x:c>
      <x:c r="H413" s="40" t="str">
        <x:v>When the user performs the relevant action or the relevant system condition occurs</x:v>
      </x:c>
      <x:c r="I413" s="40" t="str">
        <x:v>Then provide privacy-safe diagnostic status for failed, delayed, cancelled, and retried background jobs.</x:v>
      </x:c>
      <x:c r="J413" s="40" t="str">
        <x:v>Yes</x:v>
      </x:c>
      <x:c r="K413" s="40" t="str">
        <x:v>Domain test / Integration test</x:v>
      </x:c>
      <x:c r="L413" s="40" t="str">
        <x:v>Not Started</x:v>
      </x:c>
      <x:c r="M413" s="40"/>
    </x:row>
    <x:row r="414">
      <x:c r="A414" s="40" t="str">
        <x:v>VS-16</x:v>
      </x:c>
      <x:c r="B414" s="40" t="n">
        <x:v>16</x:v>
      </x:c>
      <x:c r="C414" s="40" t="str">
        <x:v>Wave 4 — Device Services and Reliability</x:v>
      </x:c>
      <x:c r="D414" s="40" t="str">
        <x:v>U. Notifications and Background Work</x:v>
      </x:c>
      <x:c r="E414" s="40" t="str">
        <x:v>AC-U-014</x:v>
      </x:c>
      <x:c r="F414" s="40" t="str">
        <x:v>FR-U-014</x:v>
      </x:c>
      <x:c r="G414" s="40" t="str">
        <x:v>Given the applicable Notifications and Background Work preconditions and a valid Local Profile</x:v>
      </x:c>
      <x:c r="H414" s="40" t="str">
        <x:v>When the user performs the relevant action or the relevant system condition occurs</x:v>
      </x:c>
      <x:c r="I414" s="40" t="str">
        <x:v>Then duplicate scheduled work for the same stable job identity shall be coalesced or safely deduplicated.</x:v>
      </x:c>
      <x:c r="J414" s="40" t="str">
        <x:v>No</x:v>
      </x:c>
      <x:c r="K414" s="40" t="str">
        <x:v>Domain test</x:v>
      </x:c>
      <x:c r="L414" s="40" t="str">
        <x:v>Not Started</x:v>
      </x:c>
      <x:c r="M414" s="40"/>
    </x:row>
    <x:row r="415">
      <x:c r="A415" s="40" t="str">
        <x:v>VS-16</x:v>
      </x:c>
      <x:c r="B415" s="40" t="n">
        <x:v>16</x:v>
      </x:c>
      <x:c r="C415" s="40" t="str">
        <x:v>Wave 4 — Device Services and Reliability</x:v>
      </x:c>
      <x:c r="D415" s="40" t="str">
        <x:v>U. Notifications and Background Work</x:v>
      </x:c>
      <x:c r="E415" s="40" t="str">
        <x:v>AC-U-015</x:v>
      </x:c>
      <x:c r="F415" s="40" t="str">
        <x:v>FR-U-015</x:v>
      </x:c>
      <x:c r="G415" s="40" t="str">
        <x:v>Given the applicable Notifications and Background Work preconditions and a valid Local Profile</x:v>
      </x:c>
      <x:c r="H415" s="40" t="str">
        <x:v>When the user performs the relevant action or the relevant system condition occurs</x:v>
      </x:c>
      <x:c r="I415" s="40" t="str">
        <x:v>Then expired or obsolete background jobs shall be cancelled when their owning record is cancelled, rescheduled, deleted, or archived.</x:v>
      </x:c>
      <x:c r="J415" s="40" t="str">
        <x:v>No</x:v>
      </x:c>
      <x:c r="K415" s="40" t="str">
        <x:v>Integration test</x:v>
      </x:c>
      <x:c r="L415" s="40" t="str">
        <x:v>Not Started</x:v>
      </x:c>
      <x:c r="M415" s="40"/>
    </x:row>
    <x:row r="416">
      <x:c r="A416" s="40" t="str">
        <x:v>VS-16</x:v>
      </x:c>
      <x:c r="B416" s="40" t="n">
        <x:v>16</x:v>
      </x:c>
      <x:c r="C416" s="40" t="str">
        <x:v>Wave 4 — Device Services and Reliability</x:v>
      </x:c>
      <x:c r="D416" s="40" t="str">
        <x:v>U. Notifications and Background Work</x:v>
      </x:c>
      <x:c r="E416" s="40" t="str">
        <x:v>AC-U-016</x:v>
      </x:c>
      <x:c r="F416" s="40" t="str">
        <x:v>FR-U-016</x:v>
      </x:c>
      <x:c r="G416" s="40" t="str">
        <x:v>Given the applicable Notifications and Background Work preconditions and a valid Local Profile</x:v>
      </x:c>
      <x:c r="H416" s="40" t="str">
        <x:v>When the user performs the relevant action or the relevant system condition occurs</x:v>
      </x:c>
      <x:c r="I416" s="40" t="str">
        <x:v>Then background work shall preserve Local Profile ownership and shall not operate across user profiles.</x:v>
      </x:c>
      <x:c r="J416" s="40" t="str">
        <x:v>Yes</x:v>
      </x:c>
      <x:c r="K416" s="40" t="str">
        <x:v>Integration test</x:v>
      </x:c>
      <x:c r="L416" s="40" t="str">
        <x:v>Not Started</x:v>
      </x:c>
      <x:c r="M416" s="40"/>
    </x:row>
    <x:row r="417">
      <x:c r="A417" s="40" t="str">
        <x:v>VS-16</x:v>
      </x:c>
      <x:c r="B417" s="40" t="n">
        <x:v>16</x:v>
      </x:c>
      <x:c r="C417" s="40" t="str">
        <x:v>Wave 4 — Device Services and Reliability</x:v>
      </x:c>
      <x:c r="D417" s="40" t="str">
        <x:v>U. Notifications and Background Work</x:v>
      </x:c>
      <x:c r="E417" s="40" t="str">
        <x:v>AC-U-017</x:v>
      </x:c>
      <x:c r="F417" s="40" t="str">
        <x:v>FR-U-017</x:v>
      </x:c>
      <x:c r="G417" s="40" t="str">
        <x:v>Given the applicable Notifications and Background Work preconditions and a valid Local Profile</x:v>
      </x:c>
      <x:c r="H417" s="40" t="str">
        <x:v>When the user performs the relevant action or the relevant system condition occurs</x:v>
      </x:c>
      <x:c r="I417" s="40" t="str">
        <x:v>Then core V1 background functions shall remain usable for guest users where no account is required.</x:v>
      </x:c>
      <x:c r="J417" s="40" t="str">
        <x:v>Yes</x:v>
      </x:c>
      <x:c r="K417" s="40" t="str">
        <x:v>Integration test</x:v>
      </x:c>
      <x:c r="L417" s="40" t="str">
        <x:v>Not Started</x:v>
      </x:c>
      <x:c r="M417" s="40"/>
    </x:row>
    <x:row r="418">
      <x:c r="A418" s="40" t="str">
        <x:v>VS-16</x:v>
      </x:c>
      <x:c r="B418" s="40" t="n">
        <x:v>16</x:v>
      </x:c>
      <x:c r="C418" s="40" t="str">
        <x:v>Wave 4 — Device Services and Reliability</x:v>
      </x:c>
      <x:c r="D418" s="40" t="str">
        <x:v>U. Notifications and Background Work</x:v>
      </x:c>
      <x:c r="E418" s="40" t="str">
        <x:v>AC-U-018</x:v>
      </x:c>
      <x:c r="F418" s="40" t="str">
        <x:v>FR-U-018</x:v>
      </x:c>
      <x:c r="G418" s="40" t="str">
        <x:v>Given the applicable Notifications and Background Work preconditions and a valid Local Profile</x:v>
      </x:c>
      <x:c r="H418" s="40" t="str">
        <x:v>When the user performs the relevant action or the relevant system condition occurs</x:v>
      </x:c>
      <x:c r="I418" s="40" t="str">
        <x:v>Then avoid exact-alarm or foreground-service use unless an approved user-facing function genuinely requires it.</x:v>
      </x:c>
      <x:c r="J418" s="40" t="str">
        <x:v>No</x:v>
      </x:c>
      <x:c r="K418" s="40" t="str">
        <x:v>Domain test</x:v>
      </x:c>
      <x:c r="L418" s="40" t="str">
        <x:v>Not Started</x:v>
      </x:c>
      <x:c r="M418" s="40"/>
    </x:row>
    <x:row r="419">
      <x:c r="A419" s="40" t="str">
        <x:v>VS-16</x:v>
      </x:c>
      <x:c r="B419" s="40" t="n">
        <x:v>16</x:v>
      </x:c>
      <x:c r="C419" s="40" t="str">
        <x:v>Wave 4 — Device Services and Reliability</x:v>
      </x:c>
      <x:c r="D419" s="40" t="str">
        <x:v>U. Notifications and Background Work</x:v>
      </x:c>
      <x:c r="E419" s="40" t="str">
        <x:v>AC-U-019</x:v>
      </x:c>
      <x:c r="F419" s="40" t="str">
        <x:v>FR-U-019</x:v>
      </x:c>
      <x:c r="G419" s="40" t="str">
        <x:v>Given the applicable Notifications and Background Work preconditions and a valid Local Profile</x:v>
      </x:c>
      <x:c r="H419" s="40" t="str">
        <x:v>When the user performs the relevant action or the relevant system condition occurs</x:v>
      </x:c>
      <x:c r="I419" s="40" t="str">
        <x:v>Then background execution limitations imposed by Android shall be communicated without implying that domain work was completed.</x:v>
      </x:c>
      <x:c r="J419" s="40" t="str">
        <x:v>Yes</x:v>
      </x:c>
      <x:c r="K419" s="40" t="str">
        <x:v>Integration test</x:v>
      </x:c>
      <x:c r="L419" s="40" t="str">
        <x:v>Not Started</x:v>
      </x:c>
      <x:c r="M419" s="40"/>
    </x:row>
    <x:row r="420">
      <x:c r="A420" s="40" t="str">
        <x:v>VS-16</x:v>
      </x:c>
      <x:c r="B420" s="40" t="n">
        <x:v>16</x:v>
      </x:c>
      <x:c r="C420" s="40" t="str">
        <x:v>Wave 4 — Device Services and Reliability</x:v>
      </x:c>
      <x:c r="D420" s="40" t="str">
        <x:v>U. Notifications and Background Work</x:v>
      </x:c>
      <x:c r="E420" s="40" t="str">
        <x:v>AC-U-020</x:v>
      </x:c>
      <x:c r="F420" s="40" t="str">
        <x:v>FR-U-020</x:v>
      </x:c>
      <x:c r="G420" s="40" t="str">
        <x:v>Given the applicable Notifications and Background Work preconditions and a valid Local Profile</x:v>
      </x:c>
      <x:c r="H420" s="40" t="str">
        <x:v>When the user performs the relevant action or the relevant system condition occurs</x:v>
      </x:c>
      <x:c r="I420" s="40" t="str">
        <x:v>Then expose last-run and next-eligible-run information for support-relevant background categories where useful.</x:v>
      </x:c>
      <x:c r="J420" s="40" t="str">
        <x:v>No</x:v>
      </x:c>
      <x:c r="K420" s="40" t="str">
        <x:v>Integration test</x:v>
      </x:c>
      <x:c r="L420" s="40" t="str">
        <x:v>Not Started</x:v>
      </x:c>
      <x:c r="M420" s="40"/>
    </x:row>
    <x:row r="421">
      <x:c r="A421" s="40" t="str">
        <x:v>VS-20</x:v>
      </x:c>
      <x:c r="B421" s="40" t="n">
        <x:v>20</x:v>
      </x:c>
      <x:c r="C421" s="40" t="str">
        <x:v>Wave 4 — Device Services and Reliability</x:v>
      </x:c>
      <x:c r="D421" s="40" t="str">
        <x:v>V. Device-Calendar Manual Import and Export</x:v>
      </x:c>
      <x:c r="E421" s="40" t="str">
        <x:v>AC-V-001</x:v>
      </x:c>
      <x:c r="F421" s="40" t="str">
        <x:v>FR-V-001</x:v>
      </x:c>
      <x:c r="G421" s="40" t="str">
        <x:v>Given the applicable Device-Calendar Manual Import and Export preconditions and a valid Local Profile</x:v>
      </x:c>
      <x:c r="H421" s="40" t="str">
        <x:v>When the user performs the relevant action or the relevant system condition occurs</x:v>
      </x:c>
      <x:c r="I421" s="40" t="str">
        <x:v>Then be able to manually import selected device-calendar events after an explicit calendar-permission request.</x:v>
      </x:c>
      <x:c r="J421" s="40" t="str">
        <x:v>Yes</x:v>
      </x:c>
      <x:c r="K421" s="40" t="str">
        <x:v>Widget test / Integration test</x:v>
      </x:c>
      <x:c r="L421" s="40" t="str">
        <x:v>Not Started</x:v>
      </x:c>
      <x:c r="M421" s="40"/>
    </x:row>
    <x:row r="422">
      <x:c r="A422" s="40" t="str">
        <x:v>VS-20</x:v>
      </x:c>
      <x:c r="B422" s="40" t="n">
        <x:v>20</x:v>
      </x:c>
      <x:c r="C422" s="40" t="str">
        <x:v>Wave 4 — Device Services and Reliability</x:v>
      </x:c>
      <x:c r="D422" s="40" t="str">
        <x:v>V. Device-Calendar Manual Import and Export</x:v>
      </x:c>
      <x:c r="E422" s="40" t="str">
        <x:v>AC-V-002</x:v>
      </x:c>
      <x:c r="F422" s="40" t="str">
        <x:v>FR-V-002</x:v>
      </x:c>
      <x:c r="G422" s="40" t="str">
        <x:v>Given the applicable Device-Calendar Manual Import and Export preconditions and a valid Local Profile</x:v>
      </x:c>
      <x:c r="H422" s="40" t="str">
        <x:v>When the user performs the relevant action or the relevant system condition occurs</x:v>
      </x:c>
      <x:c r="I422" s="40" t="str">
        <x:v>Then be able to manually export selected Next Transfer Calendar Events to a chosen device calendar.</x:v>
      </x:c>
      <x:c r="J422" s="40" t="str">
        <x:v>Yes</x:v>
      </x:c>
      <x:c r="K422" s="40" t="str">
        <x:v>Widget test / Integration test</x:v>
      </x:c>
      <x:c r="L422" s="40" t="str">
        <x:v>Not Started</x:v>
      </x:c>
      <x:c r="M422" s="40"/>
    </x:row>
    <x:row r="423">
      <x:c r="A423" s="40" t="str">
        <x:v>VS-20</x:v>
      </x:c>
      <x:c r="B423" s="40" t="n">
        <x:v>20</x:v>
      </x:c>
      <x:c r="C423" s="40" t="str">
        <x:v>Wave 4 — Device Services and Reliability</x:v>
      </x:c>
      <x:c r="D423" s="40" t="str">
        <x:v>V. Device-Calendar Manual Import and Export</x:v>
      </x:c>
      <x:c r="E423" s="40" t="str">
        <x:v>AC-V-003</x:v>
      </x:c>
      <x:c r="F423" s="40" t="str">
        <x:v>FR-V-003</x:v>
      </x:c>
      <x:c r="G423" s="40" t="str">
        <x:v>Given the applicable Device-Calendar Manual Import and Export preconditions and a valid Local Profile</x:v>
      </x:c>
      <x:c r="H423" s="40" t="str">
        <x:v>When the user performs the relevant action or the relevant system condition occurs</x:v>
      </x:c>
      <x:c r="I423" s="40" t="str">
        <x:v>Then the internal Next Transfer Planner shall remain authoritative after import or export.</x:v>
      </x:c>
      <x:c r="J423" s="40" t="str">
        <x:v>Yes</x:v>
      </x:c>
      <x:c r="K423" s="40" t="str">
        <x:v>Integration test</x:v>
      </x:c>
      <x:c r="L423" s="40" t="str">
        <x:v>Not Started</x:v>
      </x:c>
      <x:c r="M423" s="40"/>
    </x:row>
    <x:row r="424">
      <x:c r="A424" s="40" t="str">
        <x:v>VS-20</x:v>
      </x:c>
      <x:c r="B424" s="40" t="n">
        <x:v>20</x:v>
      </x:c>
      <x:c r="C424" s="40" t="str">
        <x:v>Wave 4 — Device Services and Reliability</x:v>
      </x:c>
      <x:c r="D424" s="40" t="str">
        <x:v>V. Device-Calendar Manual Import and Export</x:v>
      </x:c>
      <x:c r="E424" s="40" t="str">
        <x:v>AC-V-004</x:v>
      </x:c>
      <x:c r="F424" s="40" t="str">
        <x:v>FR-V-004</x:v>
      </x:c>
      <x:c r="G424" s="40" t="str">
        <x:v>Given the applicable Device-Calendar Manual Import and Export preconditions and a valid Local Profile</x:v>
      </x:c>
      <x:c r="H424" s="40" t="str">
        <x:v>When the user performs the relevant action or the relevant system condition occurs</x:v>
      </x:c>
      <x:c r="I424" s="40" t="str">
        <x:v>Then be requested only after the user selects an external-calendar action.</x:v>
      </x:c>
      <x:c r="J424" s="40" t="str">
        <x:v>Yes</x:v>
      </x:c>
      <x:c r="K424" s="40" t="str">
        <x:v>Widget test / Integration test</x:v>
      </x:c>
      <x:c r="L424" s="40" t="str">
        <x:v>Not Started</x:v>
      </x:c>
      <x:c r="M424" s="40"/>
    </x:row>
    <x:row r="425">
      <x:c r="A425" s="40" t="str">
        <x:v>VS-20</x:v>
      </x:c>
      <x:c r="B425" s="40" t="n">
        <x:v>20</x:v>
      </x:c>
      <x:c r="C425" s="40" t="str">
        <x:v>Wave 4 — Device Services and Reliability</x:v>
      </x:c>
      <x:c r="D425" s="40" t="str">
        <x:v>V. Device-Calendar Manual Import and Export</x:v>
      </x:c>
      <x:c r="E425" s="40" t="str">
        <x:v>AC-V-005</x:v>
      </x:c>
      <x:c r="F425" s="40" t="str">
        <x:v>FR-V-005</x:v>
      </x:c>
      <x:c r="G425" s="40" t="str">
        <x:v>Given the applicable Device-Calendar Manual Import and Export preconditions and a valid Local Profile</x:v>
      </x:c>
      <x:c r="H425" s="40" t="str">
        <x:v>When the user performs the relevant action or the relevant system condition occurs</x:v>
      </x:c>
      <x:c r="I425" s="40" t="str">
        <x:v>Then external events shall be previewed before import.</x:v>
      </x:c>
      <x:c r="J425" s="40" t="str">
        <x:v>Yes</x:v>
      </x:c>
      <x:c r="K425" s="40" t="str">
        <x:v>Widget test / Integration test</x:v>
      </x:c>
      <x:c r="L425" s="40" t="str">
        <x:v>Not Started</x:v>
      </x:c>
      <x:c r="M425" s="40"/>
    </x:row>
    <x:row r="426">
      <x:c r="A426" s="40" t="str">
        <x:v>VS-20</x:v>
      </x:c>
      <x:c r="B426" s="40" t="n">
        <x:v>20</x:v>
      </x:c>
      <x:c r="C426" s="40" t="str">
        <x:v>Wave 4 — Device Services and Reliability</x:v>
      </x:c>
      <x:c r="D426" s="40" t="str">
        <x:v>V. Device-Calendar Manual Import and Export</x:v>
      </x:c>
      <x:c r="E426" s="40" t="str">
        <x:v>AC-V-006</x:v>
      </x:c>
      <x:c r="F426" s="40" t="str">
        <x:v>FR-V-006</x:v>
      </x:c>
      <x:c r="G426" s="40" t="str">
        <x:v>Given the applicable Device-Calendar Manual Import and Export preconditions and a valid Local Profile</x:v>
      </x:c>
      <x:c r="H426" s="40" t="str">
        <x:v>When the user performs the relevant action or the relevant system condition occurs</x:v>
      </x:c>
      <x:c r="I426" s="40" t="str">
        <x:v>Then imported external events shall receive new Next Transfer UUIDs as primary identities.</x:v>
      </x:c>
      <x:c r="J426" s="40" t="str">
        <x:v>Yes</x:v>
      </x:c>
      <x:c r="K426" s="40" t="str">
        <x:v>Integration test</x:v>
      </x:c>
      <x:c r="L426" s="40" t="str">
        <x:v>Not Started</x:v>
      </x:c>
      <x:c r="M426" s="40"/>
    </x:row>
    <x:row r="427">
      <x:c r="A427" s="40" t="str">
        <x:v>VS-20</x:v>
      </x:c>
      <x:c r="B427" s="40" t="n">
        <x:v>20</x:v>
      </x:c>
      <x:c r="C427" s="40" t="str">
        <x:v>Wave 4 — Device Services and Reliability</x:v>
      </x:c>
      <x:c r="D427" s="40" t="str">
        <x:v>V. Device-Calendar Manual Import and Export</x:v>
      </x:c>
      <x:c r="E427" s="40" t="str">
        <x:v>AC-V-007</x:v>
      </x:c>
      <x:c r="F427" s="40" t="str">
        <x:v>FR-V-007</x:v>
      </x:c>
      <x:c r="G427" s="40" t="str">
        <x:v>Given the applicable Device-Calendar Manual Import and Export preconditions and a valid Local Profile</x:v>
      </x:c>
      <x:c r="H427" s="40" t="str">
        <x:v>When the user performs the relevant action or the relevant system condition occurs</x:v>
      </x:c>
      <x:c r="I427" s="40" t="str">
        <x:v>Then external event IDs and iCal UIDs shall be retained only as mapping and duplicate-detection metadata.</x:v>
      </x:c>
      <x:c r="J427" s="40" t="str">
        <x:v>Yes</x:v>
      </x:c>
      <x:c r="K427" s="40" t="str">
        <x:v>Domain test / Integration test</x:v>
      </x:c>
      <x:c r="L427" s="40" t="str">
        <x:v>Not Started</x:v>
      </x:c>
      <x:c r="M427" s="40"/>
    </x:row>
    <x:row r="428">
      <x:c r="A428" s="40" t="str">
        <x:v>VS-20</x:v>
      </x:c>
      <x:c r="B428" s="40" t="n">
        <x:v>20</x:v>
      </x:c>
      <x:c r="C428" s="40" t="str">
        <x:v>Wave 4 — Device Services and Reliability</x:v>
      </x:c>
      <x:c r="D428" s="40" t="str">
        <x:v>V. Device-Calendar Manual Import and Export</x:v>
      </x:c>
      <x:c r="E428" s="40" t="str">
        <x:v>AC-V-008</x:v>
      </x:c>
      <x:c r="F428" s="40" t="str">
        <x:v>FR-V-008</x:v>
      </x:c>
      <x:c r="G428" s="40" t="str">
        <x:v>Given the applicable Device-Calendar Manual Import and Export preconditions and a valid Local Profile</x:v>
      </x:c>
      <x:c r="H428" s="40" t="str">
        <x:v>When the user performs the relevant action or the relevant system condition occurs</x:v>
      </x:c>
      <x:c r="I428" s="40" t="str">
        <x:v>Then external provider IDs shall never become Next Transfer primary keys.</x:v>
      </x:c>
      <x:c r="J428" s="40" t="str">
        <x:v>Yes</x:v>
      </x:c>
      <x:c r="K428" s="40" t="str">
        <x:v>Integration test</x:v>
      </x:c>
      <x:c r="L428" s="40" t="str">
        <x:v>Not Started</x:v>
      </x:c>
      <x:c r="M428" s="40"/>
    </x:row>
    <x:row r="429">
      <x:c r="A429" s="40" t="str">
        <x:v>VS-20</x:v>
      </x:c>
      <x:c r="B429" s="40" t="n">
        <x:v>20</x:v>
      </x:c>
      <x:c r="C429" s="40" t="str">
        <x:v>Wave 4 — Device Services and Reliability</x:v>
      </x:c>
      <x:c r="D429" s="40" t="str">
        <x:v>V. Device-Calendar Manual Import and Export</x:v>
      </x:c>
      <x:c r="E429" s="40" t="str">
        <x:v>AC-V-009</x:v>
      </x:c>
      <x:c r="F429" s="40" t="str">
        <x:v>FR-V-009</x:v>
      </x:c>
      <x:c r="G429" s="40" t="str">
        <x:v>Given the applicable Device-Calendar Manual Import and Export preconditions and a valid Local Profile</x:v>
      </x:c>
      <x:c r="H429" s="40" t="str">
        <x:v>When the user performs the relevant action or the relevant system condition occurs</x:v>
      </x:c>
      <x:c r="I429" s="40" t="str">
        <x:v>Then a past imported external event shall remain without a happened outcome until valid Next Transfer reporting occurs.</x:v>
      </x:c>
      <x:c r="J429" s="40" t="str">
        <x:v>Yes</x:v>
      </x:c>
      <x:c r="K429" s="40" t="str">
        <x:v>Domain test / Integration test</x:v>
      </x:c>
      <x:c r="L429" s="40" t="str">
        <x:v>Not Started</x:v>
      </x:c>
      <x:c r="M429" s="40"/>
    </x:row>
    <x:row r="430">
      <x:c r="A430" s="40" t="str">
        <x:v>VS-20</x:v>
      </x:c>
      <x:c r="B430" s="40" t="n">
        <x:v>20</x:v>
      </x:c>
      <x:c r="C430" s="40" t="str">
        <x:v>Wave 4 — Device Services and Reliability</x:v>
      </x:c>
      <x:c r="D430" s="40" t="str">
        <x:v>V. Device-Calendar Manual Import and Export</x:v>
      </x:c>
      <x:c r="E430" s="40" t="str">
        <x:v>AC-V-010</x:v>
      </x:c>
      <x:c r="F430" s="40" t="str">
        <x:v>FR-V-010</x:v>
      </x:c>
      <x:c r="G430" s="40" t="str">
        <x:v>Given the applicable Device-Calendar Manual Import and Export preconditions and a valid Local Profile</x:v>
      </x:c>
      <x:c r="H430" s="40" t="str">
        <x:v>When the user performs the relevant action or the relevant system condition occurs</x:v>
      </x:c>
      <x:c r="I430" s="40" t="str">
        <x:v>Then manual import or export shall not create Actual or Activity Ledger contributions.</x:v>
      </x:c>
      <x:c r="J430" s="40" t="str">
        <x:v>Yes</x:v>
      </x:c>
      <x:c r="K430" s="40" t="str">
        <x:v>Domain test / Database test / Integration test</x:v>
      </x:c>
      <x:c r="L430" s="40" t="str">
        <x:v>Not Started</x:v>
      </x:c>
      <x:c r="M430" s="40"/>
    </x:row>
    <x:row r="431">
      <x:c r="A431" s="40" t="str">
        <x:v>VS-20</x:v>
      </x:c>
      <x:c r="B431" s="40" t="n">
        <x:v>20</x:v>
      </x:c>
      <x:c r="C431" s="40" t="str">
        <x:v>Wave 4 — Device Services and Reliability</x:v>
      </x:c>
      <x:c r="D431" s="40" t="str">
        <x:v>V. Device-Calendar Manual Import and Export</x:v>
      </x:c>
      <x:c r="E431" s="40" t="str">
        <x:v>AC-V-011</x:v>
      </x:c>
      <x:c r="F431" s="40" t="str">
        <x:v>FR-V-011</x:v>
      </x:c>
      <x:c r="G431" s="40" t="str">
        <x:v>Given the applicable Device-Calendar Manual Import and Export preconditions and a valid Local Profile</x:v>
      </x:c>
      <x:c r="H431" s="40" t="str">
        <x:v>When the user performs the relevant action or the relevant system condition occurs</x:v>
      </x:c>
      <x:c r="I431" s="40" t="str">
        <x:v>Then duplicate detection shall prioritize external event ID, iCal UID, recurring-series identity and occurrence date, then exact event fingerprints.</x:v>
      </x:c>
      <x:c r="J431" s="40" t="str">
        <x:v>No</x:v>
      </x:c>
      <x:c r="K431" s="40" t="str">
        <x:v>Domain test / Integration test</x:v>
      </x:c>
      <x:c r="L431" s="40" t="str">
        <x:v>Not Started</x:v>
      </x:c>
      <x:c r="M431" s="40"/>
    </x:row>
    <x:row r="432">
      <x:c r="A432" s="40" t="str">
        <x:v>VS-20</x:v>
      </x:c>
      <x:c r="B432" s="40" t="n">
        <x:v>20</x:v>
      </x:c>
      <x:c r="C432" s="40" t="str">
        <x:v>Wave 4 — Device Services and Reliability</x:v>
      </x:c>
      <x:c r="D432" s="40" t="str">
        <x:v>V. Device-Calendar Manual Import and Export</x:v>
      </x:c>
      <x:c r="E432" s="40" t="str">
        <x:v>AC-V-012</x:v>
      </x:c>
      <x:c r="F432" s="40" t="str">
        <x:v>FR-V-012</x:v>
      </x:c>
      <x:c r="G432" s="40" t="str">
        <x:v>Given the applicable Device-Calendar Manual Import and Export preconditions and a valid Local Profile</x:v>
      </x:c>
      <x:c r="H432" s="40" t="str">
        <x:v>When the user performs the relevant action or the relevant system condition occurs</x:v>
      </x:c>
      <x:c r="I432" s="40" t="str">
        <x:v>Then deleting or modifying an external event shall not automatically delete or modify its internal Next Transfer copy.</x:v>
      </x:c>
      <x:c r="J432" s="40" t="str">
        <x:v>Yes</x:v>
      </x:c>
      <x:c r="K432" s="40" t="str">
        <x:v>Integration test</x:v>
      </x:c>
      <x:c r="L432" s="40" t="str">
        <x:v>Not Started</x:v>
      </x:c>
      <x:c r="M432" s="40"/>
    </x:row>
    <x:row r="433">
      <x:c r="A433" s="40" t="str">
        <x:v>VS-20</x:v>
      </x:c>
      <x:c r="B433" s="40" t="n">
        <x:v>20</x:v>
      </x:c>
      <x:c r="C433" s="40" t="str">
        <x:v>Wave 4 — Device Services and Reliability</x:v>
      </x:c>
      <x:c r="D433" s="40" t="str">
        <x:v>V. Device-Calendar Manual Import and Export</x:v>
      </x:c>
      <x:c r="E433" s="40" t="str">
        <x:v>AC-V-013</x:v>
      </x:c>
      <x:c r="F433" s="40" t="str">
        <x:v>FR-V-013</x:v>
      </x:c>
      <x:c r="G433" s="40" t="str">
        <x:v>Given the applicable Device-Calendar Manual Import and Export preconditions and a valid Local Profile</x:v>
      </x:c>
      <x:c r="H433" s="40" t="str">
        <x:v>When the user performs the relevant action or the relevant system condition occurs</x:v>
      </x:c>
      <x:c r="I433" s="40" t="str">
        <x:v>Then deleting or modifying an internal event shall not silently delete or modify its external copy.</x:v>
      </x:c>
      <x:c r="J433" s="40" t="str">
        <x:v>Yes</x:v>
      </x:c>
      <x:c r="K433" s="40" t="str">
        <x:v>Integration test</x:v>
      </x:c>
      <x:c r="L433" s="40" t="str">
        <x:v>Not Started</x:v>
      </x:c>
      <x:c r="M433" s="40"/>
    </x:row>
    <x:row r="434">
      <x:c r="A434" s="40" t="str">
        <x:v>VS-20</x:v>
      </x:c>
      <x:c r="B434" s="40" t="n">
        <x:v>20</x:v>
      </x:c>
      <x:c r="C434" s="40" t="str">
        <x:v>Wave 4 — Device Services and Reliability</x:v>
      </x:c>
      <x:c r="D434" s="40" t="str">
        <x:v>V. Device-Calendar Manual Import and Export</x:v>
      </x:c>
      <x:c r="E434" s="40" t="str">
        <x:v>AC-V-014</x:v>
      </x:c>
      <x:c r="F434" s="40" t="str">
        <x:v>FR-V-014</x:v>
      </x:c>
      <x:c r="G434" s="40" t="str">
        <x:v>Given the applicable Device-Calendar Manual Import and Export preconditions and a valid Local Profile</x:v>
      </x:c>
      <x:c r="H434" s="40" t="str">
        <x:v>When the user performs the relevant action or the relevant system condition occurs</x:v>
      </x:c>
      <x:c r="I434" s="40" t="str">
        <x:v>Then revoking calendar permission shall preserve all internal Planner records and mapping metadata already stored locally.</x:v>
      </x:c>
      <x:c r="J434" s="40" t="str">
        <x:v>Yes</x:v>
      </x:c>
      <x:c r="K434" s="40" t="str">
        <x:v>Database test / Widget test / Integration test</x:v>
      </x:c>
      <x:c r="L434" s="40" t="str">
        <x:v>Not Started</x:v>
      </x:c>
      <x:c r="M434" s="40"/>
    </x:row>
    <x:row r="435">
      <x:c r="A435" s="40" t="str">
        <x:v>VS-20</x:v>
      </x:c>
      <x:c r="B435" s="40" t="n">
        <x:v>20</x:v>
      </x:c>
      <x:c r="C435" s="40" t="str">
        <x:v>Wave 4 — Device Services and Reliability</x:v>
      </x:c>
      <x:c r="D435" s="40" t="str">
        <x:v>V. Device-Calendar Manual Import and Export</x:v>
      </x:c>
      <x:c r="E435" s="40" t="str">
        <x:v>AC-V-015</x:v>
      </x:c>
      <x:c r="F435" s="40" t="str">
        <x:v>FR-V-015</x:v>
      </x:c>
      <x:c r="G435" s="40" t="str">
        <x:v>Given the applicable Device-Calendar Manual Import and Export preconditions and a valid Local Profile</x:v>
      </x:c>
      <x:c r="H435" s="40" t="str">
        <x:v>When the user performs the relevant action or the relevant system condition occurs</x:v>
      </x:c>
      <x:c r="I435" s="40" t="str">
        <x:v>Then sensitive descriptions, private reflections, and Extra Private fields shall be excluded from export by default.</x:v>
      </x:c>
      <x:c r="J435" s="40" t="str">
        <x:v>No</x:v>
      </x:c>
      <x:c r="K435" s="40" t="str">
        <x:v>Integration test</x:v>
      </x:c>
      <x:c r="L435" s="40" t="str">
        <x:v>Not Started</x:v>
      </x:c>
      <x:c r="M435" s="40"/>
    </x:row>
    <x:row r="436">
      <x:c r="A436" s="40" t="str">
        <x:v>VS-20</x:v>
      </x:c>
      <x:c r="B436" s="40" t="n">
        <x:v>20</x:v>
      </x:c>
      <x:c r="C436" s="40" t="str">
        <x:v>Wave 4 — Device Services and Reliability</x:v>
      </x:c>
      <x:c r="D436" s="40" t="str">
        <x:v>V. Device-Calendar Manual Import and Export</x:v>
      </x:c>
      <x:c r="E436" s="40" t="str">
        <x:v>AC-V-016</x:v>
      </x:c>
      <x:c r="F436" s="40" t="str">
        <x:v>FR-V-016</x:v>
      </x:c>
      <x:c r="G436" s="40" t="str">
        <x:v>Given the applicable Device-Calendar Manual Import and Export preconditions and a valid Local Profile</x:v>
      </x:c>
      <x:c r="H436" s="40" t="str">
        <x:v>When the user performs the relevant action or the relevant system condition occurs</x:v>
      </x:c>
      <x:c r="I436" s="40" t="str">
        <x:v>Then be able to review which fields will be exported before commit.</x:v>
      </x:c>
      <x:c r="J436" s="40" t="str">
        <x:v>No</x:v>
      </x:c>
      <x:c r="K436" s="40" t="str">
        <x:v>Widget test / Integration test</x:v>
      </x:c>
      <x:c r="L436" s="40" t="str">
        <x:v>Not Started</x:v>
      </x:c>
      <x:c r="M436" s="40"/>
    </x:row>
    <x:row r="437">
      <x:c r="A437" s="40" t="str">
        <x:v>VS-20</x:v>
      </x:c>
      <x:c r="B437" s="40" t="n">
        <x:v>20</x:v>
      </x:c>
      <x:c r="C437" s="40" t="str">
        <x:v>Wave 4 — Device Services and Reliability</x:v>
      </x:c>
      <x:c r="D437" s="40" t="str">
        <x:v>V. Device-Calendar Manual Import and Export</x:v>
      </x:c>
      <x:c r="E437" s="40" t="str">
        <x:v>AC-V-017</x:v>
      </x:c>
      <x:c r="F437" s="40" t="str">
        <x:v>FR-V-017</x:v>
      </x:c>
      <x:c r="G437" s="40" t="str">
        <x:v>Given the applicable Device-Calendar Manual Import and Export preconditions and a valid Local Profile</x:v>
      </x:c>
      <x:c r="H437" s="40" t="str">
        <x:v>When the user performs the relevant action or the relevant system condition occurs</x:v>
      </x:c>
      <x:c r="I437" s="40" t="str">
        <x:v>Then recurring external events shall be imported with stable series and occurrence mapping where supported.</x:v>
      </x:c>
      <x:c r="J437" s="40" t="str">
        <x:v>No</x:v>
      </x:c>
      <x:c r="K437" s="40" t="str">
        <x:v>Integration test</x:v>
      </x:c>
      <x:c r="L437" s="40" t="str">
        <x:v>Not Started</x:v>
      </x:c>
      <x:c r="M437" s="40"/>
    </x:row>
    <x:row r="438">
      <x:c r="A438" s="40" t="str">
        <x:v>VS-20</x:v>
      </x:c>
      <x:c r="B438" s="40" t="n">
        <x:v>20</x:v>
      </x:c>
      <x:c r="C438" s="40" t="str">
        <x:v>Wave 4 — Device Services and Reliability</x:v>
      </x:c>
      <x:c r="D438" s="40" t="str">
        <x:v>V. Device-Calendar Manual Import and Export</x:v>
      </x:c>
      <x:c r="E438" s="40" t="str">
        <x:v>AC-V-018</x:v>
      </x:c>
      <x:c r="F438" s="40" t="str">
        <x:v>FR-V-018</x:v>
      </x:c>
      <x:c r="G438" s="40" t="str">
        <x:v>Given the applicable Device-Calendar Manual Import and Export preconditions and a valid Local Profile</x:v>
      </x:c>
      <x:c r="H438" s="40" t="str">
        <x:v>When the user performs the relevant action or the relevant system condition occurs</x:v>
      </x:c>
      <x:c r="I438" s="40" t="str">
        <x:v>Then manual re-import and re-export shall avoid duplicate internal or external copies when stable mapping exists.</x:v>
      </x:c>
      <x:c r="J438" s="40" t="str">
        <x:v>No</x:v>
      </x:c>
      <x:c r="K438" s="40" t="str">
        <x:v>Domain test / Integration test</x:v>
      </x:c>
      <x:c r="L438" s="40" t="str">
        <x:v>Not Started</x:v>
      </x:c>
      <x:c r="M438" s="40"/>
    </x:row>
    <x:row r="439">
      <x:c r="A439" s="40" t="str">
        <x:v>VS-20</x:v>
      </x:c>
      <x:c r="B439" s="40" t="n">
        <x:v>20</x:v>
      </x:c>
      <x:c r="C439" s="40" t="str">
        <x:v>Wave 4 — Device Services and Reliability</x:v>
      </x:c>
      <x:c r="D439" s="40" t="str">
        <x:v>V. Device-Calendar Manual Import and Export</x:v>
      </x:c>
      <x:c r="E439" s="40" t="str">
        <x:v>AC-V-019</x:v>
      </x:c>
      <x:c r="F439" s="40" t="str">
        <x:v>FR-V-019</x:v>
      </x:c>
      <x:c r="G439" s="40" t="str">
        <x:v>Given the applicable Device-Calendar Manual Import and Export preconditions and a valid Local Profile</x:v>
      </x:c>
      <x:c r="H439" s="40" t="str">
        <x:v>When the user performs the relevant action or the relevant system condition occurs</x:v>
      </x:c>
      <x:c r="I439" s="40" t="str">
        <x:v>Then unsupported provider fields or recurrence patterns shall be disclosed before import.</x:v>
      </x:c>
      <x:c r="J439" s="40" t="str">
        <x:v>No</x:v>
      </x:c>
      <x:c r="K439" s="40" t="str">
        <x:v>Integration test</x:v>
      </x:c>
      <x:c r="L439" s="40" t="str">
        <x:v>Not Started</x:v>
      </x:c>
      <x:c r="M439" s="40"/>
    </x:row>
    <x:row r="440">
      <x:c r="A440" s="40" t="str">
        <x:v>VS-20</x:v>
      </x:c>
      <x:c r="B440" s="40" t="n">
        <x:v>20</x:v>
      </x:c>
      <x:c r="C440" s="40" t="str">
        <x:v>Wave 4 — Device Services and Reliability</x:v>
      </x:c>
      <x:c r="D440" s="40" t="str">
        <x:v>V. Device-Calendar Manual Import and Export</x:v>
      </x:c>
      <x:c r="E440" s="40" t="str">
        <x:v>AC-V-020</x:v>
      </x:c>
      <x:c r="F440" s="40" t="str">
        <x:v>FR-V-020</x:v>
      </x:c>
      <x:c r="G440" s="40" t="str">
        <x:v>Given the applicable Device-Calendar Manual Import and Export preconditions and a valid Local Profile</x:v>
      </x:c>
      <x:c r="H440" s="40" t="str">
        <x:v>When the user performs the relevant action or the relevant system condition occurs</x:v>
      </x:c>
      <x:c r="I440" s="40" t="str">
        <x:v>Then continuous or automatic two-way device-calendar synchronization shall remain deferred.</x:v>
      </x:c>
      <x:c r="J440" s="40" t="str">
        <x:v>No</x:v>
      </x:c>
      <x:c r="K440" s="40" t="str">
        <x:v>Integration test</x:v>
      </x:c>
      <x:c r="L440" s="40" t="str">
        <x:v>Not Started</x:v>
      </x:c>
      <x:c r="M440" s="40"/>
    </x:row>
    <x:row r="441">
      <x:c r="A441" s="40" t="str">
        <x:v>VS-02</x:v>
      </x:c>
      <x:c r="B441" s="40" t="n">
        <x:v>2</x:v>
      </x:c>
      <x:c r="C441" s="40" t="str">
        <x:v>Wave 1 — Foundation</x:v>
      </x:c>
      <x:c r="D441" s="40" t="str">
        <x:v>W. Privacy Lock, Permissions, and Privacy Center</x:v>
      </x:c>
      <x:c r="E441" s="40" t="str">
        <x:v>AC-W-001</x:v>
      </x:c>
      <x:c r="F441" s="40" t="str">
        <x:v>FR-W-001</x:v>
      </x:c>
      <x:c r="G441" s="40" t="str">
        <x:v>Given the applicable Privacy Lock, Permissions, and Privacy Center preconditions and a valid Local Profile</x:v>
      </x:c>
      <x:c r="H441" s="40" t="str">
        <x:v>When the user performs the relevant action or the relevant system condition occurs</x:v>
      </x:c>
      <x:c r="I441" s="40" t="str">
        <x:v>Then core V1 workflows shall remain usable when all optional Android permissions are denied.</x:v>
      </x:c>
      <x:c r="J441" s="40" t="str">
        <x:v>Yes</x:v>
      </x:c>
      <x:c r="K441" s="40" t="str">
        <x:v>Widget test</x:v>
      </x:c>
      <x:c r="L441" s="40" t="str">
        <x:v>Not Started</x:v>
      </x:c>
      <x:c r="M441" s="40"/>
    </x:row>
    <x:row r="442">
      <x:c r="A442" s="40" t="str">
        <x:v>VS-02</x:v>
      </x:c>
      <x:c r="B442" s="40" t="n">
        <x:v>2</x:v>
      </x:c>
      <x:c r="C442" s="40" t="str">
        <x:v>Wave 1 — Foundation</x:v>
      </x:c>
      <x:c r="D442" s="40" t="str">
        <x:v>W. Privacy Lock, Permissions, and Privacy Center</x:v>
      </x:c>
      <x:c r="E442" s="40" t="str">
        <x:v>AC-W-002</x:v>
      </x:c>
      <x:c r="F442" s="40" t="str">
        <x:v>FR-W-002</x:v>
      </x:c>
      <x:c r="G442" s="40" t="str">
        <x:v>Given the applicable Privacy Lock, Permissions, and Privacy Center preconditions and a valid Local Profile</x:v>
      </x:c>
      <x:c r="H442" s="40" t="str">
        <x:v>When the user performs the relevant action or the relevant system condition occurs</x:v>
      </x:c>
      <x:c r="I442" s="40" t="str">
        <x:v>Then permissions shall be requested just in time and only for the selected feature.</x:v>
      </x:c>
      <x:c r="J442" s="40" t="str">
        <x:v>Yes</x:v>
      </x:c>
      <x:c r="K442" s="40" t="str">
        <x:v>Widget test</x:v>
      </x:c>
      <x:c r="L442" s="40" t="str">
        <x:v>Not Started</x:v>
      </x:c>
      <x:c r="M442" s="40"/>
    </x:row>
    <x:row r="443">
      <x:c r="A443" s="40" t="str">
        <x:v>VS-02</x:v>
      </x:c>
      <x:c r="B443" s="40" t="n">
        <x:v>2</x:v>
      </x:c>
      <x:c r="C443" s="40" t="str">
        <x:v>Wave 1 — Foundation</x:v>
      </x:c>
      <x:c r="D443" s="40" t="str">
        <x:v>W. Privacy Lock, Permissions, and Privacy Center</x:v>
      </x:c>
      <x:c r="E443" s="40" t="str">
        <x:v>AC-W-003</x:v>
      </x:c>
      <x:c r="F443" s="40" t="str">
        <x:v>FR-W-003</x:v>
      </x:c>
      <x:c r="G443" s="40" t="str">
        <x:v>Given the applicable Privacy Lock, Permissions, and Privacy Center preconditions and a valid Local Profile</x:v>
      </x:c>
      <x:c r="H443" s="40" t="str">
        <x:v>When the user performs the relevant action or the relevant system condition occurs</x:v>
      </x:c>
      <x:c r="I443" s="40" t="str">
        <x:v>Then privacy Lock shall use operating-system biometric or device-credential authentication where available.</x:v>
      </x:c>
      <x:c r="J443" s="40" t="str">
        <x:v>Yes</x:v>
      </x:c>
      <x:c r="K443" s="40" t="str">
        <x:v>Domain test</x:v>
      </x:c>
      <x:c r="L443" s="40" t="str">
        <x:v>Not Started</x:v>
      </x:c>
      <x:c r="M443" s="40"/>
    </x:row>
    <x:row r="444">
      <x:c r="A444" s="40" t="str">
        <x:v>VS-02</x:v>
      </x:c>
      <x:c r="B444" s="40" t="n">
        <x:v>2</x:v>
      </x:c>
      <x:c r="C444" s="40" t="str">
        <x:v>Wave 1 — Foundation</x:v>
      </x:c>
      <x:c r="D444" s="40" t="str">
        <x:v>W. Privacy Lock, Permissions, and Privacy Center</x:v>
      </x:c>
      <x:c r="E444" s="40" t="str">
        <x:v>AC-W-004</x:v>
      </x:c>
      <x:c r="F444" s="40" t="str">
        <x:v>FR-W-004</x:v>
      </x:c>
      <x:c r="G444" s="40" t="str">
        <x:v>Given the applicable Privacy Lock, Permissions, and Privacy Center preconditions and a valid Local Profile</x:v>
      </x:c>
      <x:c r="H444" s="40" t="str">
        <x:v>When the user performs the relevant action or the relevant system condition occurs</x:v>
      </x:c>
      <x:c r="I444" s="40" t="str">
        <x:v>Then not store biometric data.</x:v>
      </x:c>
      <x:c r="J444" s="40" t="str">
        <x:v>Yes</x:v>
      </x:c>
      <x:c r="K444" s="40" t="str">
        <x:v>Domain test</x:v>
      </x:c>
      <x:c r="L444" s="40" t="str">
        <x:v>Not Started</x:v>
      </x:c>
      <x:c r="M444" s="40"/>
    </x:row>
    <x:row r="445">
      <x:c r="A445" s="40" t="str">
        <x:v>VS-02</x:v>
      </x:c>
      <x:c r="B445" s="40" t="n">
        <x:v>2</x:v>
      </x:c>
      <x:c r="C445" s="40" t="str">
        <x:v>Wave 1 — Foundation</x:v>
      </x:c>
      <x:c r="D445" s="40" t="str">
        <x:v>W. Privacy Lock, Permissions, and Privacy Center</x:v>
      </x:c>
      <x:c r="E445" s="40" t="str">
        <x:v>AC-W-005</x:v>
      </x:c>
      <x:c r="F445" s="40" t="str">
        <x:v>FR-W-005</x:v>
      </x:c>
      <x:c r="G445" s="40" t="str">
        <x:v>Given the applicable Privacy Lock, Permissions, and Privacy Center preconditions and a valid Local Profile</x:v>
      </x:c>
      <x:c r="H445" s="40" t="str">
        <x:v>When the user performs the relevant action or the relevant system condition occurs</x:v>
      </x:c>
      <x:c r="I445" s="40" t="str">
        <x:v>Then privacy Lock failure shall not delete, reset, or corrupt local data.</x:v>
      </x:c>
      <x:c r="J445" s="40" t="str">
        <x:v>Yes</x:v>
      </x:c>
      <x:c r="K445" s="40" t="str">
        <x:v>Domain test</x:v>
      </x:c>
      <x:c r="L445" s="40" t="str">
        <x:v>Not Started</x:v>
      </x:c>
      <x:c r="M445" s="40"/>
    </x:row>
    <x:row r="446">
      <x:c r="A446" s="40" t="str">
        <x:v>VS-02</x:v>
      </x:c>
      <x:c r="B446" s="40" t="n">
        <x:v>2</x:v>
      </x:c>
      <x:c r="C446" s="40" t="str">
        <x:v>Wave 1 — Foundation</x:v>
      </x:c>
      <x:c r="D446" s="40" t="str">
        <x:v>W. Privacy Lock, Permissions, and Privacy Center</x:v>
      </x:c>
      <x:c r="E446" s="40" t="str">
        <x:v>AC-W-006</x:v>
      </x:c>
      <x:c r="F446" s="40" t="str">
        <x:v>FR-W-006</x:v>
      </x:c>
      <x:c r="G446" s="40" t="str">
        <x:v>Given the applicable Privacy Lock, Permissions, and Privacy Center preconditions and a valid Local Profile</x:v>
      </x:c>
      <x:c r="H446" s="40" t="str">
        <x:v>When the user performs the relevant action or the relevant system condition occurs</x:v>
      </x:c>
      <x:c r="I446" s="40" t="str">
        <x:v>Then sensitive content shall be obscured in app-switcher previews where supported.</x:v>
      </x:c>
      <x:c r="J446" s="40" t="str">
        <x:v>Yes</x:v>
      </x:c>
      <x:c r="K446" s="40" t="str">
        <x:v>Widget test</x:v>
      </x:c>
      <x:c r="L446" s="40" t="str">
        <x:v>Not Started</x:v>
      </x:c>
      <x:c r="M446" s="40"/>
    </x:row>
    <x:row r="447">
      <x:c r="A447" s="40" t="str">
        <x:v>VS-02</x:v>
      </x:c>
      <x:c r="B447" s="40" t="n">
        <x:v>2</x:v>
      </x:c>
      <x:c r="C447" s="40" t="str">
        <x:v>Wave 1 — Foundation</x:v>
      </x:c>
      <x:c r="D447" s="40" t="str">
        <x:v>W. Privacy Lock, Permissions, and Privacy Center</x:v>
      </x:c>
      <x:c r="E447" s="40" t="str">
        <x:v>AC-W-007</x:v>
      </x:c>
      <x:c r="F447" s="40" t="str">
        <x:v>FR-W-007</x:v>
      </x:c>
      <x:c r="G447" s="40" t="str">
        <x:v>Given the applicable Privacy Lock, Permissions, and Privacy Center preconditions and a valid Local Profile</x:v>
      </x:c>
      <x:c r="H447" s="40" t="str">
        <x:v>When the user performs the relevant action or the relevant system condition occurs</x:v>
      </x:c>
      <x:c r="I447" s="40" t="str">
        <x:v>Then notification previews shall follow the user’s privacy settings and obscure sensitive content where supported.</x:v>
      </x:c>
      <x:c r="J447" s="40" t="str">
        <x:v>Yes</x:v>
      </x:c>
      <x:c r="K447" s="40" t="str">
        <x:v>Widget test</x:v>
      </x:c>
      <x:c r="L447" s="40" t="str">
        <x:v>Not Started</x:v>
      </x:c>
      <x:c r="M447" s="40"/>
    </x:row>
    <x:row r="448">
      <x:c r="A448" s="40" t="str">
        <x:v>VS-02</x:v>
      </x:c>
      <x:c r="B448" s="40" t="n">
        <x:v>2</x:v>
      </x:c>
      <x:c r="C448" s="40" t="str">
        <x:v>Wave 1 — Foundation</x:v>
      </x:c>
      <x:c r="D448" s="40" t="str">
        <x:v>W. Privacy Lock, Permissions, and Privacy Center</x:v>
      </x:c>
      <x:c r="E448" s="40" t="str">
        <x:v>AC-W-008</x:v>
      </x:c>
      <x:c r="F448" s="40" t="str">
        <x:v>FR-W-008</x:v>
      </x:c>
      <x:c r="G448" s="40" t="str">
        <x:v>Given the applicable Privacy Lock, Permissions, and Privacy Center preconditions and a valid Local Profile</x:v>
      </x:c>
      <x:c r="H448" s="40" t="str">
        <x:v>When the user performs the relevant action or the relevant system condition occurs</x:v>
      </x:c>
      <x:c r="I448" s="40" t="str">
        <x:v>Then the Privacy Center shall explain local storage, optional cloud synchronization, and local-only records.</x:v>
      </x:c>
      <x:c r="J448" s="40" t="str">
        <x:v>Yes</x:v>
      </x:c>
      <x:c r="K448" s="40" t="str">
        <x:v>Integration test</x:v>
      </x:c>
      <x:c r="L448" s="40" t="str">
        <x:v>Not Started</x:v>
      </x:c>
      <x:c r="M448" s="40"/>
    </x:row>
    <x:row r="449">
      <x:c r="A449" s="40" t="str">
        <x:v>VS-02</x:v>
      </x:c>
      <x:c r="B449" s="40" t="n">
        <x:v>2</x:v>
      </x:c>
      <x:c r="C449" s="40" t="str">
        <x:v>Wave 1 — Foundation</x:v>
      </x:c>
      <x:c r="D449" s="40" t="str">
        <x:v>W. Privacy Lock, Permissions, and Privacy Center</x:v>
      </x:c>
      <x:c r="E449" s="40" t="str">
        <x:v>AC-W-009</x:v>
      </x:c>
      <x:c r="F449" s="40" t="str">
        <x:v>FR-W-009</x:v>
      </x:c>
      <x:c r="G449" s="40" t="str">
        <x:v>Given the applicable Privacy Lock, Permissions, and Privacy Center preconditions and a valid Local Profile</x:v>
      </x:c>
      <x:c r="H449" s="40" t="str">
        <x:v>When the user performs the relevant action or the relevant system condition occurs</x:v>
      </x:c>
      <x:c r="I449" s="40" t="str">
        <x:v>Then the Privacy Center shall explain imported contacts, attachments, permissions, diagnostics, export, backup, and deletion.</x:v>
      </x:c>
      <x:c r="J449" s="40" t="str">
        <x:v>Yes</x:v>
      </x:c>
      <x:c r="K449" s="40" t="str">
        <x:v>Database test / Widget test / Integration test</x:v>
      </x:c>
      <x:c r="L449" s="40" t="str">
        <x:v>Not Started</x:v>
      </x:c>
      <x:c r="M449" s="40"/>
    </x:row>
    <x:row r="450">
      <x:c r="A450" s="40" t="str">
        <x:v>VS-02</x:v>
      </x:c>
      <x:c r="B450" s="40" t="n">
        <x:v>2</x:v>
      </x:c>
      <x:c r="C450" s="40" t="str">
        <x:v>Wave 1 — Foundation</x:v>
      </x:c>
      <x:c r="D450" s="40" t="str">
        <x:v>W. Privacy Lock, Permissions, and Privacy Center</x:v>
      </x:c>
      <x:c r="E450" s="40" t="str">
        <x:v>AC-W-010</x:v>
      </x:c>
      <x:c r="F450" s="40" t="str">
        <x:v>FR-W-010</x:v>
      </x:c>
      <x:c r="G450" s="40" t="str">
        <x:v>Given the applicable Privacy Lock, Permissions, and Privacy Center preconditions and a valid Local Profile</x:v>
      </x:c>
      <x:c r="H450" s="40" t="str">
        <x:v>When the user performs the relevant action or the relevant system condition occurs</x:v>
      </x:c>
      <x:c r="I450" s="40" t="str">
        <x:v>Then raw BetterCalendar backup files shall remain local and shall never enter Supabase, analytics, diagnostics, or the synchronization outbox.</x:v>
      </x:c>
      <x:c r="J450" s="40" t="str">
        <x:v>Yes</x:v>
      </x:c>
      <x:c r="K450" s="40" t="str">
        <x:v>Database test / Integration test / RLS test</x:v>
      </x:c>
      <x:c r="L450" s="40" t="str">
        <x:v>Not Started</x:v>
      </x:c>
      <x:c r="M450" s="40"/>
    </x:row>
    <x:row r="451">
      <x:c r="A451" s="40" t="str">
        <x:v>VS-02</x:v>
      </x:c>
      <x:c r="B451" s="40" t="n">
        <x:v>2</x:v>
      </x:c>
      <x:c r="C451" s="40" t="str">
        <x:v>Wave 1 — Foundation</x:v>
      </x:c>
      <x:c r="D451" s="40" t="str">
        <x:v>W. Privacy Lock, Permissions, and Privacy Center</x:v>
      </x:c>
      <x:c r="E451" s="40" t="str">
        <x:v>AC-W-011</x:v>
      </x:c>
      <x:c r="F451" s="40" t="str">
        <x:v>FR-W-011</x:v>
      </x:c>
      <x:c r="G451" s="40" t="str">
        <x:v>Given the applicable Privacy Lock, Permissions, and Privacy Center preconditions and a valid Local Profile</x:v>
      </x:c>
      <x:c r="H451" s="40" t="str">
        <x:v>When the user performs the relevant action or the relevant system condition occurs</x:v>
      </x:c>
      <x:c r="I451" s="40" t="str">
        <x:v>Then authentication tokens shall use secure device storage and shall not be stored in Drift or portable backups.</x:v>
      </x:c>
      <x:c r="J451" s="40" t="str">
        <x:v>Yes</x:v>
      </x:c>
      <x:c r="K451" s="40" t="str">
        <x:v>Database test</x:v>
      </x:c>
      <x:c r="L451" s="40" t="str">
        <x:v>Not Started</x:v>
      </x:c>
      <x:c r="M451" s="40"/>
    </x:row>
    <x:row r="452">
      <x:c r="A452" s="40" t="str">
        <x:v>VS-02</x:v>
      </x:c>
      <x:c r="B452" s="40" t="n">
        <x:v>2</x:v>
      </x:c>
      <x:c r="C452" s="40" t="str">
        <x:v>Wave 1 — Foundation</x:v>
      </x:c>
      <x:c r="D452" s="40" t="str">
        <x:v>W. Privacy Lock, Permissions, and Privacy Center</x:v>
      </x:c>
      <x:c r="E452" s="40" t="str">
        <x:v>AC-W-012</x:v>
      </x:c>
      <x:c r="F452" s="40" t="str">
        <x:v>FR-W-012</x:v>
      </x:c>
      <x:c r="G452" s="40" t="str">
        <x:v>Given the applicable Privacy Lock, Permissions, and Privacy Center preconditions and a valid Local Profile</x:v>
      </x:c>
      <x:c r="H452" s="40" t="str">
        <x:v>When the user performs the relevant action or the relevant system condition occurs</x:v>
      </x:c>
      <x:c r="I452" s="40" t="str">
        <x:v>Then private records and sensitive field values shall be excluded from logs and analytics.</x:v>
      </x:c>
      <x:c r="J452" s="40" t="str">
        <x:v>No</x:v>
      </x:c>
      <x:c r="K452" s="40" t="str">
        <x:v>Domain test</x:v>
      </x:c>
      <x:c r="L452" s="40" t="str">
        <x:v>Not Started</x:v>
      </x:c>
      <x:c r="M452" s="40"/>
    </x:row>
    <x:row r="453">
      <x:c r="A453" s="40" t="str">
        <x:v>VS-02</x:v>
      </x:c>
      <x:c r="B453" s="40" t="n">
        <x:v>2</x:v>
      </x:c>
      <x:c r="C453" s="40" t="str">
        <x:v>Wave 1 — Foundation</x:v>
      </x:c>
      <x:c r="D453" s="40" t="str">
        <x:v>W. Privacy Lock, Permissions, and Privacy Center</x:v>
      </x:c>
      <x:c r="E453" s="40" t="str">
        <x:v>AC-W-013</x:v>
      </x:c>
      <x:c r="F453" s="40" t="str">
        <x:v>FR-W-013</x:v>
      </x:c>
      <x:c r="G453" s="40" t="str">
        <x:v>Given the applicable Privacy Lock, Permissions, and Privacy Center preconditions and a valid Local Profile</x:v>
      </x:c>
      <x:c r="H453" s="40" t="str">
        <x:v>When the user performs the relevant action or the relevant system condition occurs</x:v>
      </x:c>
      <x:c r="I453" s="40" t="str">
        <x:v>Then private reflections shall default to Extra Private or local-only behavior according to the approved privacy model.</x:v>
      </x:c>
      <x:c r="J453" s="40" t="str">
        <x:v>Yes</x:v>
      </x:c>
      <x:c r="K453" s="40" t="str">
        <x:v>Domain test</x:v>
      </x:c>
      <x:c r="L453" s="40" t="str">
        <x:v>Not Started</x:v>
      </x:c>
      <x:c r="M453" s="40"/>
    </x:row>
    <x:row r="454">
      <x:c r="A454" s="40" t="str">
        <x:v>VS-02</x:v>
      </x:c>
      <x:c r="B454" s="40" t="n">
        <x:v>2</x:v>
      </x:c>
      <x:c r="C454" s="40" t="str">
        <x:v>Wave 1 — Foundation</x:v>
      </x:c>
      <x:c r="D454" s="40" t="str">
        <x:v>W. Privacy Lock, Permissions, and Privacy Center</x:v>
      </x:c>
      <x:c r="E454" s="40" t="str">
        <x:v>AC-W-014</x:v>
      </x:c>
      <x:c r="F454" s="40" t="str">
        <x:v>FR-W-014</x:v>
      </x:c>
      <x:c r="G454" s="40" t="str">
        <x:v>Given the applicable Privacy Lock, Permissions, and Privacy Center preconditions and a valid Local Profile</x:v>
      </x:c>
      <x:c r="H454" s="40" t="str">
        <x:v>When the user performs the relevant action or the relevant system condition occurs</x:v>
      </x:c>
      <x:c r="I454" s="40" t="str">
        <x:v>Then covenant Path records shall not be shared automatically with leaders, family, or mentors.</x:v>
      </x:c>
      <x:c r="J454" s="40" t="str">
        <x:v>Yes</x:v>
      </x:c>
      <x:c r="K454" s="40" t="str">
        <x:v>Domain test</x:v>
      </x:c>
      <x:c r="L454" s="40" t="str">
        <x:v>Not Started</x:v>
      </x:c>
      <x:c r="M454" s="40"/>
    </x:row>
    <x:row r="455">
      <x:c r="A455" s="40" t="str">
        <x:v>VS-02</x:v>
      </x:c>
      <x:c r="B455" s="40" t="n">
        <x:v>2</x:v>
      </x:c>
      <x:c r="C455" s="40" t="str">
        <x:v>Wave 1 — Foundation</x:v>
      </x:c>
      <x:c r="D455" s="40" t="str">
        <x:v>W. Privacy Lock, Permissions, and Privacy Center</x:v>
      </x:c>
      <x:c r="E455" s="40" t="str">
        <x:v>AC-W-015</x:v>
      </x:c>
      <x:c r="F455" s="40" t="str">
        <x:v>FR-W-015</x:v>
      </x:c>
      <x:c r="G455" s="40" t="str">
        <x:v>Given the applicable Privacy Lock, Permissions, and Privacy Center preconditions and a valid Local Profile</x:v>
      </x:c>
      <x:c r="H455" s="40" t="str">
        <x:v>When the user performs the relevant action or the relevant system condition occurs</x:v>
      </x:c>
      <x:c r="I455" s="40" t="str">
        <x:v>Then not claim end-to-end encryption or a fully encrypted local database unless implemented and verified.</x:v>
      </x:c>
      <x:c r="J455" s="40" t="str">
        <x:v>Yes</x:v>
      </x:c>
      <x:c r="K455" s="40" t="str">
        <x:v>Database test / Manual review</x:v>
      </x:c>
      <x:c r="L455" s="40" t="str">
        <x:v>Not Started</x:v>
      </x:c>
      <x:c r="M455" s="40"/>
    </x:row>
    <x:row r="456">
      <x:c r="A456" s="40" t="str">
        <x:v>VS-02</x:v>
      </x:c>
      <x:c r="B456" s="40" t="n">
        <x:v>2</x:v>
      </x:c>
      <x:c r="C456" s="40" t="str">
        <x:v>Wave 1 — Foundation</x:v>
      </x:c>
      <x:c r="D456" s="40" t="str">
        <x:v>W. Privacy Lock, Permissions, and Privacy Center</x:v>
      </x:c>
      <x:c r="E456" s="40" t="str">
        <x:v>AC-W-016</x:v>
      </x:c>
      <x:c r="F456" s="40" t="str">
        <x:v>FR-W-016</x:v>
      </x:c>
      <x:c r="G456" s="40" t="str">
        <x:v>Given the applicable Privacy Lock, Permissions, and Privacy Center preconditions and a valid Local Profile</x:v>
      </x:c>
      <x:c r="H456" s="40" t="str">
        <x:v>When the user performs the relevant action or the relevant system condition occurs</x:v>
      </x:c>
      <x:c r="I456" s="40" t="str">
        <x:v>Then file selection shall use scoped system pickers rather than broad storage permission.</x:v>
      </x:c>
      <x:c r="J456" s="40" t="str">
        <x:v>Yes</x:v>
      </x:c>
      <x:c r="K456" s="40" t="str">
        <x:v>Widget test</x:v>
      </x:c>
      <x:c r="L456" s="40" t="str">
        <x:v>Not Started</x:v>
      </x:c>
      <x:c r="M456" s="40"/>
    </x:row>
    <x:row r="457">
      <x:c r="A457" s="40" t="str">
        <x:v>VS-02</x:v>
      </x:c>
      <x:c r="B457" s="40" t="n">
        <x:v>2</x:v>
      </x:c>
      <x:c r="C457" s="40" t="str">
        <x:v>Wave 1 — Foundation</x:v>
      </x:c>
      <x:c r="D457" s="40" t="str">
        <x:v>W. Privacy Lock, Permissions, and Privacy Center</x:v>
      </x:c>
      <x:c r="E457" s="40" t="str">
        <x:v>AC-W-017</x:v>
      </x:c>
      <x:c r="F457" s="40" t="str">
        <x:v>FR-W-017</x:v>
      </x:c>
      <x:c r="G457" s="40" t="str">
        <x:v>Given the applicable Privacy Lock, Permissions, and Privacy Center preconditions and a valid Local Profile</x:v>
      </x:c>
      <x:c r="H457" s="40" t="str">
        <x:v>When the user performs the relevant action or the relevant system condition occurs</x:v>
      </x:c>
      <x:c r="I457" s="40" t="str">
        <x:v>Then background location permission shall not be included in V1.</x:v>
      </x:c>
      <x:c r="J457" s="40" t="str">
        <x:v>Yes</x:v>
      </x:c>
      <x:c r="K457" s="40" t="str">
        <x:v>Widget test / Integration test</x:v>
      </x:c>
      <x:c r="L457" s="40" t="str">
        <x:v>Not Started</x:v>
      </x:c>
      <x:c r="M457" s="40"/>
    </x:row>
    <x:row r="458">
      <x:c r="A458" s="40" t="str">
        <x:v>VS-02</x:v>
      </x:c>
      <x:c r="B458" s="40" t="n">
        <x:v>2</x:v>
      </x:c>
      <x:c r="C458" s="40" t="str">
        <x:v>Wave 1 — Foundation</x:v>
      </x:c>
      <x:c r="D458" s="40" t="str">
        <x:v>W. Privacy Lock, Permissions, and Privacy Center</x:v>
      </x:c>
      <x:c r="E458" s="40" t="str">
        <x:v>AC-W-018</x:v>
      </x:c>
      <x:c r="F458" s="40" t="str">
        <x:v>FR-W-018</x:v>
      </x:c>
      <x:c r="G458" s="40" t="str">
        <x:v>Given the applicable Privacy Lock, Permissions, and Privacy Center preconditions and a valid Local Profile</x:v>
      </x:c>
      <x:c r="H458" s="40" t="str">
        <x:v>When the user performs the relevant action or the relevant system condition occurs</x:v>
      </x:c>
      <x:c r="I458" s="40" t="str">
        <x:v>Then be able to review the current status and purpose of every optional permission.</x:v>
      </x:c>
      <x:c r="J458" s="40" t="str">
        <x:v>Yes</x:v>
      </x:c>
      <x:c r="K458" s="40" t="str">
        <x:v>Domain test / Widget test</x:v>
      </x:c>
      <x:c r="L458" s="40" t="str">
        <x:v>Not Started</x:v>
      </x:c>
      <x:c r="M458" s="40"/>
    </x:row>
    <x:row r="459">
      <x:c r="A459" s="40" t="str">
        <x:v>VS-02</x:v>
      </x:c>
      <x:c r="B459" s="40" t="n">
        <x:v>2</x:v>
      </x:c>
      <x:c r="C459" s="40" t="str">
        <x:v>Wave 1 — Foundation</x:v>
      </x:c>
      <x:c r="D459" s="40" t="str">
        <x:v>W. Privacy Lock, Permissions, and Privacy Center</x:v>
      </x:c>
      <x:c r="E459" s="40" t="str">
        <x:v>AC-W-019</x:v>
      </x:c>
      <x:c r="F459" s="40" t="str">
        <x:v>FR-W-019</x:v>
      </x:c>
      <x:c r="G459" s="40" t="str">
        <x:v>Given the applicable Privacy Lock, Permissions, and Privacy Center preconditions and a valid Local Profile</x:v>
      </x:c>
      <x:c r="H459" s="40" t="str">
        <x:v>When the user performs the relevant action or the relevant system condition occurs</x:v>
      </x:c>
      <x:c r="I459" s="40" t="str">
        <x:v>Then be able to revoke or open system settings for optional permissions without losing internal records.</x:v>
      </x:c>
      <x:c r="J459" s="40" t="str">
        <x:v>Yes</x:v>
      </x:c>
      <x:c r="K459" s="40" t="str">
        <x:v>Widget test</x:v>
      </x:c>
      <x:c r="L459" s="40" t="str">
        <x:v>Not Started</x:v>
      </x:c>
      <x:c r="M459" s="40"/>
    </x:row>
    <x:row r="460">
      <x:c r="A460" s="40" t="str">
        <x:v>VS-02</x:v>
      </x:c>
      <x:c r="B460" s="40" t="n">
        <x:v>2</x:v>
      </x:c>
      <x:c r="C460" s="40" t="str">
        <x:v>Wave 1 — Foundation</x:v>
      </x:c>
      <x:c r="D460" s="40" t="str">
        <x:v>W. Privacy Lock, Permissions, and Privacy Center</x:v>
      </x:c>
      <x:c r="E460" s="40" t="str">
        <x:v>AC-W-020</x:v>
      </x:c>
      <x:c r="F460" s="40" t="str">
        <x:v>FR-W-020</x:v>
      </x:c>
      <x:c r="G460" s="40" t="str">
        <x:v>Given the applicable Privacy Lock, Permissions, and Privacy Center preconditions and a valid Local Profile</x:v>
      </x:c>
      <x:c r="H460" s="40" t="str">
        <x:v>When the user performs the relevant action or the relevant system condition occurs</x:v>
      </x:c>
      <x:c r="I460" s="40" t="str">
        <x:v>Then privacy Lock and account authentication shall remain separate protections.</x:v>
      </x:c>
      <x:c r="J460" s="40" t="str">
        <x:v>Yes</x:v>
      </x:c>
      <x:c r="K460" s="40" t="str">
        <x:v>Domain test</x:v>
      </x:c>
      <x:c r="L460" s="40" t="str">
        <x:v>Not Started</x:v>
      </x:c>
      <x:c r="M460" s="40"/>
    </x:row>
    <x:row r="461">
      <x:c r="A461" s="40" t="str">
        <x:v>VS-02</x:v>
      </x:c>
      <x:c r="B461" s="40" t="n">
        <x:v>2</x:v>
      </x:c>
      <x:c r="C461" s="40" t="str">
        <x:v>Wave 1 — Foundation</x:v>
      </x:c>
      <x:c r="D461" s="40" t="str">
        <x:v>W. Privacy Lock, Permissions, and Privacy Center</x:v>
      </x:c>
      <x:c r="E461" s="40" t="str">
        <x:v>AC-W-021</x:v>
      </x:c>
      <x:c r="F461" s="40" t="str">
        <x:v>FR-W-021</x:v>
      </x:c>
      <x:c r="G461" s="40" t="str">
        <x:v>Given the applicable Privacy Lock, Permissions, and Privacy Center preconditions and a valid Local Profile</x:v>
      </x:c>
      <x:c r="H461" s="40" t="str">
        <x:v>When the user performs the relevant action or the relevant system condition occurs</x:v>
      </x:c>
      <x:c r="I461" s="40" t="str">
        <x:v>Then destructive privacy and deletion actions shall explain the difference between local data, synchronized data, backups, and source files.</x:v>
      </x:c>
      <x:c r="J461" s="40" t="str">
        <x:v>Yes</x:v>
      </x:c>
      <x:c r="K461" s="40" t="str">
        <x:v>Database test / Integration test</x:v>
      </x:c>
      <x:c r="L461" s="40" t="str">
        <x:v>Not Started</x:v>
      </x:c>
      <x:c r="M461" s="40"/>
    </x:row>
    <x:row r="462">
      <x:c r="A462" s="40" t="str">
        <x:v>VS-02</x:v>
      </x:c>
      <x:c r="B462" s="40" t="n">
        <x:v>2</x:v>
      </x:c>
      <x:c r="C462" s="40" t="str">
        <x:v>Wave 1 — Foundation</x:v>
      </x:c>
      <x:c r="D462" s="40" t="str">
        <x:v>W. Privacy Lock, Permissions, and Privacy Center</x:v>
      </x:c>
      <x:c r="E462" s="40" t="str">
        <x:v>AC-W-022</x:v>
      </x:c>
      <x:c r="F462" s="40" t="str">
        <x:v>FR-W-022</x:v>
      </x:c>
      <x:c r="G462" s="40" t="str">
        <x:v>Given the applicable Privacy Lock, Permissions, and Privacy Center preconditions and a valid Local Profile</x:v>
      </x:c>
      <x:c r="H462" s="40" t="str">
        <x:v>When the user performs the relevant action or the relevant system condition occurs</x:v>
      </x:c>
      <x:c r="I462" s="40" t="str">
        <x:v>Then privacy-safe diagnostics shall require explicit user review before exporting any optional detailed information.</x:v>
      </x:c>
      <x:c r="J462" s="40" t="str">
        <x:v>Yes</x:v>
      </x:c>
      <x:c r="K462" s="40" t="str">
        <x:v>Integration test</x:v>
      </x:c>
      <x:c r="L462" s="40" t="str">
        <x:v>Not Started</x:v>
      </x:c>
      <x:c r="M462" s="40"/>
    </x:row>
    <x:row r="463">
      <x:c r="A463" s="40" t="str">
        <x:v>VS-19</x:v>
      </x:c>
      <x:c r="B463" s="40" t="n">
        <x:v>19</x:v>
      </x:c>
      <x:c r="C463" s="40" t="str">
        <x:v>Wave 4 — Device Services and Reliability</x:v>
      </x:c>
      <x:c r="D463" s="40" t="str">
        <x:v>X. Settings, Account and Sync Center, and More Screen</x:v>
      </x:c>
      <x:c r="E463" s="40" t="str">
        <x:v>AC-X-001</x:v>
      </x:c>
      <x:c r="F463" s="40" t="str">
        <x:v>FR-X-001</x:v>
      </x:c>
      <x:c r="G463" s="40" t="str">
        <x:v>Given the applicable Settings, Account and Sync Center, and More Screen preconditions and a valid Local Profile</x:v>
      </x:c>
      <x:c r="H463" s="40" t="str">
        <x:v>When the user performs the relevant action or the relevant system condition occurs</x:v>
      </x:c>
      <x:c r="I463" s="40" t="str">
        <x:v>Then more shall remain the fifth permanent bottom-navigation destination.</x:v>
      </x:c>
      <x:c r="J463" s="40" t="str">
        <x:v>Yes</x:v>
      </x:c>
      <x:c r="K463" s="40" t="str">
        <x:v>Widget test</x:v>
      </x:c>
      <x:c r="L463" s="40" t="str">
        <x:v>Not Started</x:v>
      </x:c>
      <x:c r="M463" s="40"/>
    </x:row>
    <x:row r="464">
      <x:c r="A464" s="40" t="str">
        <x:v>VS-19</x:v>
      </x:c>
      <x:c r="B464" s="40" t="n">
        <x:v>19</x:v>
      </x:c>
      <x:c r="C464" s="40" t="str">
        <x:v>Wave 4 — Device Services and Reliability</x:v>
      </x:c>
      <x:c r="D464" s="40" t="str">
        <x:v>X. Settings, Account and Sync Center, and More Screen</x:v>
      </x:c>
      <x:c r="E464" s="40" t="str">
        <x:v>AC-X-002</x:v>
      </x:c>
      <x:c r="F464" s="40" t="str">
        <x:v>FR-X-002</x:v>
      </x:c>
      <x:c r="G464" s="40" t="str">
        <x:v>Given the applicable Settings, Account and Sync Center, and More Screen preconditions and a valid Local Profile</x:v>
      </x:c>
      <x:c r="H464" s="40" t="str">
        <x:v>When the user performs the relevant action or the relevant system condition occurs</x:v>
      </x:c>
      <x:c r="I464" s="40" t="str">
        <x:v>Then the More Screen shall provide a clear Account and Sync entry point.</x:v>
      </x:c>
      <x:c r="J464" s="40" t="str">
        <x:v>Yes</x:v>
      </x:c>
      <x:c r="K464" s="40" t="str">
        <x:v>Widget test / Integration test</x:v>
      </x:c>
      <x:c r="L464" s="40" t="str">
        <x:v>Not Started</x:v>
      </x:c>
      <x:c r="M464" s="40"/>
    </x:row>
    <x:row r="465">
      <x:c r="A465" s="40" t="str">
        <x:v>VS-19</x:v>
      </x:c>
      <x:c r="B465" s="40" t="n">
        <x:v>19</x:v>
      </x:c>
      <x:c r="C465" s="40" t="str">
        <x:v>Wave 4 — Device Services and Reliability</x:v>
      </x:c>
      <x:c r="D465" s="40" t="str">
        <x:v>X. Settings, Account and Sync Center, and More Screen</x:v>
      </x:c>
      <x:c r="E465" s="40" t="str">
        <x:v>AC-X-003</x:v>
      </x:c>
      <x:c r="F465" s="40" t="str">
        <x:v>FR-X-003</x:v>
      </x:c>
      <x:c r="G465" s="40" t="str">
        <x:v>Given the applicable Settings, Account and Sync Center, and More Screen preconditions and a valid Local Profile</x:v>
      </x:c>
      <x:c r="H465" s="40" t="str">
        <x:v>When the user performs the relevant action or the relevant system condition occurs</x:v>
      </x:c>
      <x:c r="I465" s="40" t="str">
        <x:v>Then the More Screen shall provide a clear Sync Center entry point.</x:v>
      </x:c>
      <x:c r="J465" s="40" t="str">
        <x:v>Yes</x:v>
      </x:c>
      <x:c r="K465" s="40" t="str">
        <x:v>Widget test / Integration test</x:v>
      </x:c>
      <x:c r="L465" s="40" t="str">
        <x:v>Not Started</x:v>
      </x:c>
      <x:c r="M465" s="40"/>
    </x:row>
    <x:row r="466">
      <x:c r="A466" s="40" t="str">
        <x:v>VS-19</x:v>
      </x:c>
      <x:c r="B466" s="40" t="n">
        <x:v>19</x:v>
      </x:c>
      <x:c r="C466" s="40" t="str">
        <x:v>Wave 4 — Device Services and Reliability</x:v>
      </x:c>
      <x:c r="D466" s="40" t="str">
        <x:v>X. Settings, Account and Sync Center, and More Screen</x:v>
      </x:c>
      <x:c r="E466" s="40" t="str">
        <x:v>AC-X-004</x:v>
      </x:c>
      <x:c r="F466" s="40" t="str">
        <x:v>FR-X-004</x:v>
      </x:c>
      <x:c r="G466" s="40" t="str">
        <x:v>Given the applicable Settings, Account and Sync Center, and More Screen preconditions and a valid Local Profile</x:v>
      </x:c>
      <x:c r="H466" s="40" t="str">
        <x:v>When the user performs the relevant action or the relevant system condition occurs</x:v>
      </x:c>
      <x:c r="I466" s="40" t="str">
        <x:v>Then the More Screen shall provide clear Import and Export and Backup and Recovery entry points.</x:v>
      </x:c>
      <x:c r="J466" s="40" t="str">
        <x:v>Yes</x:v>
      </x:c>
      <x:c r="K466" s="40" t="str">
        <x:v>Database test / Widget test / Integration test</x:v>
      </x:c>
      <x:c r="L466" s="40" t="str">
        <x:v>Not Started</x:v>
      </x:c>
      <x:c r="M466" s="40"/>
    </x:row>
    <x:row r="467">
      <x:c r="A467" s="40" t="str">
        <x:v>VS-19</x:v>
      </x:c>
      <x:c r="B467" s="40" t="n">
        <x:v>19</x:v>
      </x:c>
      <x:c r="C467" s="40" t="str">
        <x:v>Wave 4 — Device Services and Reliability</x:v>
      </x:c>
      <x:c r="D467" s="40" t="str">
        <x:v>X. Settings, Account and Sync Center, and More Screen</x:v>
      </x:c>
      <x:c r="E467" s="40" t="str">
        <x:v>AC-X-005</x:v>
      </x:c>
      <x:c r="F467" s="40" t="str">
        <x:v>FR-X-005</x:v>
      </x:c>
      <x:c r="G467" s="40" t="str">
        <x:v>Given the applicable Settings, Account and Sync Center, and More Screen preconditions and a valid Local Profile</x:v>
      </x:c>
      <x:c r="H467" s="40" t="str">
        <x:v>When the user performs the relevant action or the relevant system condition occurs</x:v>
      </x:c>
      <x:c r="I467" s="40" t="str">
        <x:v>Then the More Screen shall provide clear Notifications and Calendar and Philippine Content and Content Updates entry points.</x:v>
      </x:c>
      <x:c r="J467" s="40" t="str">
        <x:v>Yes</x:v>
      </x:c>
      <x:c r="K467" s="40" t="str">
        <x:v>Widget test / Integration test</x:v>
      </x:c>
      <x:c r="L467" s="40" t="str">
        <x:v>Not Started</x:v>
      </x:c>
      <x:c r="M467" s="40"/>
    </x:row>
    <x:row r="468">
      <x:c r="A468" s="40" t="str">
        <x:v>VS-19</x:v>
      </x:c>
      <x:c r="B468" s="40" t="n">
        <x:v>19</x:v>
      </x:c>
      <x:c r="C468" s="40" t="str">
        <x:v>Wave 4 — Device Services and Reliability</x:v>
      </x:c>
      <x:c r="D468" s="40" t="str">
        <x:v>X. Settings, Account and Sync Center, and More Screen</x:v>
      </x:c>
      <x:c r="E468" s="40" t="str">
        <x:v>AC-X-006</x:v>
      </x:c>
      <x:c r="F468" s="40" t="str">
        <x:v>FR-X-006</x:v>
      </x:c>
      <x:c r="G468" s="40" t="str">
        <x:v>Given the applicable Settings, Account and Sync Center, and More Screen preconditions and a valid Local Profile</x:v>
      </x:c>
      <x:c r="H468" s="40" t="str">
        <x:v>When the user performs the relevant action or the relevant system condition occurs</x:v>
      </x:c>
      <x:c r="I468" s="40" t="str">
        <x:v>Then the More Screen shall provide clear Privacy and Data, Permissions, Appearance and Language, and Help, About, and Legal entry points.</x:v>
      </x:c>
      <x:c r="J468" s="40" t="str">
        <x:v>Yes</x:v>
      </x:c>
      <x:c r="K468" s="40" t="str">
        <x:v>Widget test / Manual review</x:v>
      </x:c>
      <x:c r="L468" s="40" t="str">
        <x:v>Not Started</x:v>
      </x:c>
      <x:c r="M468" s="40"/>
    </x:row>
    <x:row r="469">
      <x:c r="A469" s="40" t="str">
        <x:v>VS-19</x:v>
      </x:c>
      <x:c r="B469" s="40" t="n">
        <x:v>19</x:v>
      </x:c>
      <x:c r="C469" s="40" t="str">
        <x:v>Wave 4 — Device Services and Reliability</x:v>
      </x:c>
      <x:c r="D469" s="40" t="str">
        <x:v>X. Settings, Account and Sync Center, and More Screen</x:v>
      </x:c>
      <x:c r="E469" s="40" t="str">
        <x:v>AC-X-007</x:v>
      </x:c>
      <x:c r="F469" s="40" t="str">
        <x:v>FR-X-007</x:v>
      </x:c>
      <x:c r="G469" s="40" t="str">
        <x:v>Given the applicable Settings, Account and Sync Center, and More Screen preconditions and a valid Local Profile</x:v>
      </x:c>
      <x:c r="H469" s="40" t="str">
        <x:v>When the user performs the relevant action or the relevant system condition occurs</x:v>
      </x:c>
      <x:c r="I469" s="40" t="str">
        <x:v>Then account creation shall remain optional throughout More and Account workflows.</x:v>
      </x:c>
      <x:c r="J469" s="40" t="str">
        <x:v>Yes</x:v>
      </x:c>
      <x:c r="K469" s="40" t="str">
        <x:v>Domain test</x:v>
      </x:c>
      <x:c r="L469" s="40" t="str">
        <x:v>Not Started</x:v>
      </x:c>
      <x:c r="M469" s="40"/>
    </x:row>
    <x:row r="470">
      <x:c r="A470" s="40" t="str">
        <x:v>VS-19</x:v>
      </x:c>
      <x:c r="B470" s="40" t="n">
        <x:v>19</x:v>
      </x:c>
      <x:c r="C470" s="40" t="str">
        <x:v>Wave 4 — Device Services and Reliability</x:v>
      </x:c>
      <x:c r="D470" s="40" t="str">
        <x:v>X. Settings, Account and Sync Center, and More Screen</x:v>
      </x:c>
      <x:c r="E470" s="40" t="str">
        <x:v>AC-X-008</x:v>
      </x:c>
      <x:c r="F470" s="40" t="str">
        <x:v>FR-X-008</x:v>
      </x:c>
      <x:c r="G470" s="40" t="str">
        <x:v>Given the applicable Settings, Account and Sync Center, and More Screen preconditions and a valid Local Profile</x:v>
      </x:c>
      <x:c r="H470" s="40" t="str">
        <x:v>When the user performs the relevant action or the relevant system condition occurs</x:v>
      </x:c>
      <x:c r="I470" s="40" t="str">
        <x:v>Then ordinary sign-out shall preserve the Local Profile, local records, and pending synchronization operations.</x:v>
      </x:c>
      <x:c r="J470" s="40" t="str">
        <x:v>Yes</x:v>
      </x:c>
      <x:c r="K470" s="40" t="str">
        <x:v>Database test / Integration test</x:v>
      </x:c>
      <x:c r="L470" s="40" t="str">
        <x:v>Not Started</x:v>
      </x:c>
      <x:c r="M470" s="40"/>
    </x:row>
    <x:row r="471">
      <x:c r="A471" s="40" t="str">
        <x:v>VS-19</x:v>
      </x:c>
      <x:c r="B471" s="40" t="n">
        <x:v>19</x:v>
      </x:c>
      <x:c r="C471" s="40" t="str">
        <x:v>Wave 4 — Device Services and Reliability</x:v>
      </x:c>
      <x:c r="D471" s="40" t="str">
        <x:v>X. Settings, Account and Sync Center, and More Screen</x:v>
      </x:c>
      <x:c r="E471" s="40" t="str">
        <x:v>AC-X-009</x:v>
      </x:c>
      <x:c r="F471" s="40" t="str">
        <x:v>FR-X-009</x:v>
      </x:c>
      <x:c r="G471" s="40" t="str">
        <x:v>Given the applicable Settings, Account and Sync Center, and More Screen preconditions and a valid Local Profile</x:v>
      </x:c>
      <x:c r="H471" s="40" t="str">
        <x:v>When the user performs the relevant action or the relevant system condition occurs</x:v>
      </x:c>
      <x:c r="I471" s="40" t="str">
        <x:v>Then sync pause shall preserve queued changes and full local functionality.</x:v>
      </x:c>
      <x:c r="J471" s="40" t="str">
        <x:v>Yes</x:v>
      </x:c>
      <x:c r="K471" s="40" t="str">
        <x:v>Integration test</x:v>
      </x:c>
      <x:c r="L471" s="40" t="str">
        <x:v>Not Started</x:v>
      </x:c>
      <x:c r="M471" s="40"/>
    </x:row>
    <x:row r="472">
      <x:c r="A472" s="40" t="str">
        <x:v>VS-19</x:v>
      </x:c>
      <x:c r="B472" s="40" t="n">
        <x:v>19</x:v>
      </x:c>
      <x:c r="C472" s="40" t="str">
        <x:v>Wave 4 — Device Services and Reliability</x:v>
      </x:c>
      <x:c r="D472" s="40" t="str">
        <x:v>X. Settings, Account and Sync Center, and More Screen</x:v>
      </x:c>
      <x:c r="E472" s="40" t="str">
        <x:v>AC-X-010</x:v>
      </x:c>
      <x:c r="F472" s="40" t="str">
        <x:v>FR-X-010</x:v>
      </x:c>
      <x:c r="G472" s="40" t="str">
        <x:v>Given the applicable Settings, Account and Sync Center, and More Screen preconditions and a valid Local Profile</x:v>
      </x:c>
      <x:c r="H472" s="40" t="str">
        <x:v>When the user performs the relevant action or the relevant system condition occurs</x:v>
      </x:c>
      <x:c r="I472" s="40" t="str">
        <x:v>Then account deletion shall remain separate from local-data deletion.</x:v>
      </x:c>
      <x:c r="J472" s="40" t="str">
        <x:v>Yes</x:v>
      </x:c>
      <x:c r="K472" s="40" t="str">
        <x:v>Domain test</x:v>
      </x:c>
      <x:c r="L472" s="40" t="str">
        <x:v>Not Started</x:v>
      </x:c>
      <x:c r="M472" s="40"/>
    </x:row>
    <x:row r="473">
      <x:c r="A473" s="40" t="str">
        <x:v>VS-19</x:v>
      </x:c>
      <x:c r="B473" s="40" t="n">
        <x:v>19</x:v>
      </x:c>
      <x:c r="C473" s="40" t="str">
        <x:v>Wave 4 — Device Services and Reliability</x:v>
      </x:c>
      <x:c r="D473" s="40" t="str">
        <x:v>X. Settings, Account and Sync Center, and More Screen</x:v>
      </x:c>
      <x:c r="E473" s="40" t="str">
        <x:v>AC-X-011</x:v>
      </x:c>
      <x:c r="F473" s="40" t="str">
        <x:v>FR-X-011</x:v>
      </x:c>
      <x:c r="G473" s="40" t="str">
        <x:v>Given the applicable Settings, Account and Sync Center, and More Screen preconditions and a valid Local Profile</x:v>
      </x:c>
      <x:c r="H473" s="40" t="str">
        <x:v>When the user performs the relevant action or the relevant system condition occurs</x:v>
      </x:c>
      <x:c r="I473" s="40" t="str">
        <x:v>Then removing synchronized data from the device shall require explicit confirmation and a warning about local-only records.</x:v>
      </x:c>
      <x:c r="J473" s="40" t="str">
        <x:v>No</x:v>
      </x:c>
      <x:c r="K473" s="40" t="str">
        <x:v>Integration test</x:v>
      </x:c>
      <x:c r="L473" s="40" t="str">
        <x:v>Not Started</x:v>
      </x:c>
      <x:c r="M473" s="40"/>
    </x:row>
    <x:row r="474">
      <x:c r="A474" s="40" t="str">
        <x:v>VS-19</x:v>
      </x:c>
      <x:c r="B474" s="40" t="n">
        <x:v>19</x:v>
      </x:c>
      <x:c r="C474" s="40" t="str">
        <x:v>Wave 4 — Device Services and Reliability</x:v>
      </x:c>
      <x:c r="D474" s="40" t="str">
        <x:v>X. Settings, Account and Sync Center, and More Screen</x:v>
      </x:c>
      <x:c r="E474" s="40" t="str">
        <x:v>AC-X-012</x:v>
      </x:c>
      <x:c r="F474" s="40" t="str">
        <x:v>FR-X-012</x:v>
      </x:c>
      <x:c r="G474" s="40" t="str">
        <x:v>Given the applicable Settings, Account and Sync Center, and More Screen preconditions and a valid Local Profile</x:v>
      </x:c>
      <x:c r="H474" s="40" t="str">
        <x:v>When the user performs the relevant action or the relevant system condition occurs</x:v>
      </x:c>
      <x:c r="I474" s="40" t="str">
        <x:v>Then the Sync Center shall show factual states including Up to Date, Waiting for Connection, Changes Waiting, Sign-In Required, Sync Paused, and Items Needing Review.</x:v>
      </x:c>
      <x:c r="J474" s="40" t="str">
        <x:v>Yes</x:v>
      </x:c>
      <x:c r="K474" s="40" t="str">
        <x:v>Domain test / Integration test</x:v>
      </x:c>
      <x:c r="L474" s="40" t="str">
        <x:v>Not Started</x:v>
      </x:c>
      <x:c r="M474" s="40"/>
    </x:row>
    <x:row r="475">
      <x:c r="A475" s="40" t="str">
        <x:v>VS-19</x:v>
      </x:c>
      <x:c r="B475" s="40" t="n">
        <x:v>19</x:v>
      </x:c>
      <x:c r="C475" s="40" t="str">
        <x:v>Wave 4 — Device Services and Reliability</x:v>
      </x:c>
      <x:c r="D475" s="40" t="str">
        <x:v>X. Settings, Account and Sync Center, and More Screen</x:v>
      </x:c>
      <x:c r="E475" s="40" t="str">
        <x:v>AC-X-013</x:v>
      </x:c>
      <x:c r="F475" s="40" t="str">
        <x:v>FR-X-013</x:v>
      </x:c>
      <x:c r="G475" s="40" t="str">
        <x:v>Given the applicable Settings, Account and Sync Center, and More Screen preconditions and a valid Local Profile</x:v>
      </x:c>
      <x:c r="H475" s="40" t="str">
        <x:v>When the user performs the relevant action or the relevant system condition occurs</x:v>
      </x:c>
      <x:c r="I475" s="40" t="str">
        <x:v>Then be able to review local-only categories and imported-contact upload choices.</x:v>
      </x:c>
      <x:c r="J475" s="40" t="str">
        <x:v>No</x:v>
      </x:c>
      <x:c r="K475" s="40" t="str">
        <x:v>Widget test / Integration test</x:v>
      </x:c>
      <x:c r="L475" s="40" t="str">
        <x:v>Not Started</x:v>
      </x:c>
      <x:c r="M475" s="40"/>
    </x:row>
    <x:row r="476">
      <x:c r="A476" s="40" t="str">
        <x:v>VS-19</x:v>
      </x:c>
      <x:c r="B476" s="40" t="n">
        <x:v>19</x:v>
      </x:c>
      <x:c r="C476" s="40" t="str">
        <x:v>Wave 4 — Device Services and Reliability</x:v>
      </x:c>
      <x:c r="D476" s="40" t="str">
        <x:v>X. Settings, Account and Sync Center, and More Screen</x:v>
      </x:c>
      <x:c r="E476" s="40" t="str">
        <x:v>AC-X-014</x:v>
      </x:c>
      <x:c r="F476" s="40" t="str">
        <x:v>FR-X-014</x:v>
      </x:c>
      <x:c r="G476" s="40" t="str">
        <x:v>Given the applicable Settings, Account and Sync Center, and More Screen preconditions and a valid Local Profile</x:v>
      </x:c>
      <x:c r="H476" s="40" t="str">
        <x:v>When the user performs the relevant action or the relevant system condition occurs</x:v>
      </x:c>
      <x:c r="I476" s="40" t="str">
        <x:v>Then be able to review attachment status, connected devices, conflicts, and the last successful synchronization.</x:v>
      </x:c>
      <x:c r="J476" s="40" t="str">
        <x:v>No</x:v>
      </x:c>
      <x:c r="K476" s="40" t="str">
        <x:v>Domain test / Widget test / Integration test</x:v>
      </x:c>
      <x:c r="L476" s="40" t="str">
        <x:v>Not Started</x:v>
      </x:c>
      <x:c r="M476" s="40"/>
    </x:row>
    <x:row r="477">
      <x:c r="A477" s="40" t="str">
        <x:v>VS-19</x:v>
      </x:c>
      <x:c r="B477" s="40" t="n">
        <x:v>19</x:v>
      </x:c>
      <x:c r="C477" s="40" t="str">
        <x:v>Wave 4 — Device Services and Reliability</x:v>
      </x:c>
      <x:c r="D477" s="40" t="str">
        <x:v>X. Settings, Account and Sync Center, and More Screen</x:v>
      </x:c>
      <x:c r="E477" s="40" t="str">
        <x:v>AC-X-015</x:v>
      </x:c>
      <x:c r="F477" s="40" t="str">
        <x:v>FR-X-015</x:v>
      </x:c>
      <x:c r="G477" s="40" t="str">
        <x:v>Given the applicable Settings, Account and Sync Center, and More Screen preconditions and a valid Local Profile</x:v>
      </x:c>
      <x:c r="H477" s="40" t="str">
        <x:v>When the user performs the relevant action or the relevant system condition occurs</x:v>
      </x:c>
      <x:c r="I477" s="40" t="str">
        <x:v>Then the Backup and Recovery area shall distinguish cloud synchronization from portable .ntbackup recovery.</x:v>
      </x:c>
      <x:c r="J477" s="40" t="str">
        <x:v>Yes</x:v>
      </x:c>
      <x:c r="K477" s="40" t="str">
        <x:v>Database test / Integration test</x:v>
      </x:c>
      <x:c r="L477" s="40" t="str">
        <x:v>Not Started</x:v>
      </x:c>
      <x:c r="M477" s="40"/>
    </x:row>
    <x:row r="478">
      <x:c r="A478" s="40" t="str">
        <x:v>VS-19</x:v>
      </x:c>
      <x:c r="B478" s="40" t="n">
        <x:v>19</x:v>
      </x:c>
      <x:c r="C478" s="40" t="str">
        <x:v>Wave 4 — Device Services and Reliability</x:v>
      </x:c>
      <x:c r="D478" s="40" t="str">
        <x:v>X. Settings, Account and Sync Center, and More Screen</x:v>
      </x:c>
      <x:c r="E478" s="40" t="str">
        <x:v>AC-X-016</x:v>
      </x:c>
      <x:c r="F478" s="40" t="str">
        <x:v>FR-X-016</x:v>
      </x:c>
      <x:c r="G478" s="40" t="str">
        <x:v>Given the applicable Settings, Account and Sync Center, and More Screen preconditions and a valid Local Profile</x:v>
      </x:c>
      <x:c r="H478" s="40" t="str">
        <x:v>When the user performs the relevant action or the relevant system condition occurs</x:v>
      </x:c>
      <x:c r="I478" s="40" t="str">
        <x:v>Then the More Screen shall avoid duplicate or conflicting settings entry points.</x:v>
      </x:c>
      <x:c r="J478" s="40" t="str">
        <x:v>No</x:v>
      </x:c>
      <x:c r="K478" s="40" t="str">
        <x:v>Domain test / Widget test</x:v>
      </x:c>
      <x:c r="L478" s="40" t="str">
        <x:v>Not Started</x:v>
      </x:c>
      <x:c r="M478" s="40"/>
    </x:row>
    <x:row r="479">
      <x:c r="A479" s="40" t="str">
        <x:v>VS-19</x:v>
      </x:c>
      <x:c r="B479" s="40" t="n">
        <x:v>19</x:v>
      </x:c>
      <x:c r="C479" s="40" t="str">
        <x:v>Wave 4 — Device Services and Reliability</x:v>
      </x:c>
      <x:c r="D479" s="40" t="str">
        <x:v>X. Settings, Account and Sync Center, and More Screen</x:v>
      </x:c>
      <x:c r="E479" s="40" t="str">
        <x:v>AC-X-017</x:v>
      </x:c>
      <x:c r="F479" s="40" t="str">
        <x:v>FR-X-017</x:v>
      </x:c>
      <x:c r="G479" s="40" t="str">
        <x:v>Given the applicable Settings, Account and Sync Center, and More Screen preconditions and a valid Local Profile</x:v>
      </x:c>
      <x:c r="H479" s="40" t="str">
        <x:v>When the user performs the relevant action or the relevant system condition occurs</x:v>
      </x:c>
      <x:c r="I479" s="40" t="str">
        <x:v>Then maps shall not be added as a permanent bottom-navigation tab.</x:v>
      </x:c>
      <x:c r="J479" s="40" t="str">
        <x:v>Yes</x:v>
      </x:c>
      <x:c r="K479" s="40" t="str">
        <x:v>Domain test</x:v>
      </x:c>
      <x:c r="L479" s="40" t="str">
        <x:v>Not Started</x:v>
      </x:c>
      <x:c r="M479" s="40"/>
    </x:row>
    <x:row r="480">
      <x:c r="A480" s="40" t="str">
        <x:v>VS-19</x:v>
      </x:c>
      <x:c r="B480" s="40" t="n">
        <x:v>19</x:v>
      </x:c>
      <x:c r="C480" s="40" t="str">
        <x:v>Wave 4 — Device Services and Reliability</x:v>
      </x:c>
      <x:c r="D480" s="40" t="str">
        <x:v>X. Settings, Account and Sync Center, and More Screen</x:v>
      </x:c>
      <x:c r="E480" s="40" t="str">
        <x:v>AC-X-018</x:v>
      </x:c>
      <x:c r="F480" s="40" t="str">
        <x:v>FR-X-018</x:v>
      </x:c>
      <x:c r="G480" s="40" t="str">
        <x:v>Given the applicable Settings, Account and Sync Center, and More Screen preconditions and a valid Local Profile</x:v>
      </x:c>
      <x:c r="H480" s="40" t="str">
        <x:v>When the user performs the relevant action or the relevant system condition occurs</x:v>
      </x:c>
      <x:c r="I480" s="40" t="str">
        <x:v>Then device-specific settings shall remain distinct from globally synchronized preferences.</x:v>
      </x:c>
      <x:c r="J480" s="40" t="str">
        <x:v>No</x:v>
      </x:c>
      <x:c r="K480" s="40" t="str">
        <x:v>Integration test</x:v>
      </x:c>
      <x:c r="L480" s="40" t="str">
        <x:v>Not Started</x:v>
      </x:c>
      <x:c r="M480" s="40"/>
    </x:row>
    <x:row r="481">
      <x:c r="A481" s="40" t="str">
        <x:v>VS-19</x:v>
      </x:c>
      <x:c r="B481" s="40" t="n">
        <x:v>19</x:v>
      </x:c>
      <x:c r="C481" s="40" t="str">
        <x:v>Wave 4 — Device Services and Reliability</x:v>
      </x:c>
      <x:c r="D481" s="40" t="str">
        <x:v>X. Settings, Account and Sync Center, and More Screen</x:v>
      </x:c>
      <x:c r="E481" s="40" t="str">
        <x:v>AC-X-019</x:v>
      </x:c>
      <x:c r="F481" s="40" t="str">
        <x:v>FR-X-019</x:v>
      </x:c>
      <x:c r="G481" s="40" t="str">
        <x:v>Given the applicable Settings, Account and Sync Center, and More Screen preconditions and a valid Local Profile</x:v>
      </x:c>
      <x:c r="H481" s="40" t="str">
        <x:v>When the user performs the relevant action or the relevant system condition occurs</x:v>
      </x:c>
      <x:c r="I481" s="40" t="str">
        <x:v>Then destructive actions shall provide backup and recovery guidance before confirmation.</x:v>
      </x:c>
      <x:c r="J481" s="40" t="str">
        <x:v>Yes</x:v>
      </x:c>
      <x:c r="K481" s="40" t="str">
        <x:v>Database test / Integration test</x:v>
      </x:c>
      <x:c r="L481" s="40" t="str">
        <x:v>Not Started</x:v>
      </x:c>
      <x:c r="M481" s="40"/>
    </x:row>
    <x:row r="482">
      <x:c r="A482" s="40" t="str">
        <x:v>VS-19</x:v>
      </x:c>
      <x:c r="B482" s="40" t="n">
        <x:v>19</x:v>
      </x:c>
      <x:c r="C482" s="40" t="str">
        <x:v>Wave 4 — Device Services and Reliability</x:v>
      </x:c>
      <x:c r="D482" s="40" t="str">
        <x:v>X. Settings, Account and Sync Center, and More Screen</x:v>
      </x:c>
      <x:c r="E482" s="40" t="str">
        <x:v>AC-X-020</x:v>
      </x:c>
      <x:c r="F482" s="40" t="str">
        <x:v>FR-X-020</x:v>
      </x:c>
      <x:c r="G482" s="40" t="str">
        <x:v>Given the applicable Settings, Account and Sync Center, and More Screen preconditions and a valid Local Profile</x:v>
      </x:c>
      <x:c r="H482" s="40" t="str">
        <x:v>When the user performs the relevant action or the relevant system condition occurs</x:v>
      </x:c>
      <x:c r="I482" s="40" t="str">
        <x:v>Then the More Screen shall remain usable offline and shall show which actions require connectivity.</x:v>
      </x:c>
      <x:c r="J482" s="40" t="str">
        <x:v>Yes</x:v>
      </x:c>
      <x:c r="K482" s="40" t="str">
        <x:v>Widget test</x:v>
      </x:c>
      <x:c r="L482" s="40" t="str">
        <x:v>Not Started</x:v>
      </x:c>
      <x:c r="M482" s="40"/>
    </x:row>
    <x:row r="483">
      <x:c r="A483" s="40" t="str">
        <x:v>VS-19</x:v>
      </x:c>
      <x:c r="B483" s="40" t="n">
        <x:v>19</x:v>
      </x:c>
      <x:c r="C483" s="40" t="str">
        <x:v>Wave 4 — Device Services and Reliability</x:v>
      </x:c>
      <x:c r="D483" s="40" t="str">
        <x:v>X. Settings, Account and Sync Center, and More Screen</x:v>
      </x:c>
      <x:c r="E483" s="40" t="str">
        <x:v>AC-X-021</x:v>
      </x:c>
      <x:c r="F483" s="40" t="str">
        <x:v>FR-X-021</x:v>
      </x:c>
      <x:c r="G483" s="40" t="str">
        <x:v>Given the applicable Settings, Account and Sync Center, and More Screen preconditions and a valid Local Profile</x:v>
      </x:c>
      <x:c r="H483" s="40" t="str">
        <x:v>When the user performs the relevant action or the relevant system condition occurs</x:v>
      </x:c>
      <x:c r="I483" s="40" t="str">
        <x:v>Then content-update settings shall show source, last successful update, and current availability state.</x:v>
      </x:c>
      <x:c r="J483" s="40" t="str">
        <x:v>No</x:v>
      </x:c>
      <x:c r="K483" s="40" t="str">
        <x:v>Domain test</x:v>
      </x:c>
      <x:c r="L483" s="40" t="str">
        <x:v>Not Started</x:v>
      </x:c>
      <x:c r="M483" s="40"/>
    </x:row>
    <x:row r="484">
      <x:c r="A484" s="40" t="str">
        <x:v>VS-19</x:v>
      </x:c>
      <x:c r="B484" s="40" t="n">
        <x:v>19</x:v>
      </x:c>
      <x:c r="C484" s="40" t="str">
        <x:v>Wave 4 — Device Services and Reliability</x:v>
      </x:c>
      <x:c r="D484" s="40" t="str">
        <x:v>X. Settings, Account and Sync Center, and More Screen</x:v>
      </x:c>
      <x:c r="E484" s="40" t="str">
        <x:v>AC-X-022</x:v>
      </x:c>
      <x:c r="F484" s="40" t="str">
        <x:v>FR-X-022</x:v>
      </x:c>
      <x:c r="G484" s="40" t="str">
        <x:v>Given the applicable Settings, Account and Sync Center, and More Screen preconditions and a valid Local Profile</x:v>
      </x:c>
      <x:c r="H484" s="40" t="str">
        <x:v>When the user performs the relevant action or the relevant system condition occurs</x:v>
      </x:c>
      <x:c r="I484" s="40" t="str">
        <x:v>Then appearance and language changes shall not modify domain records or Actual.</x:v>
      </x:c>
      <x:c r="J484" s="40" t="str">
        <x:v>Yes</x:v>
      </x:c>
      <x:c r="K484" s="40" t="str">
        <x:v>Domain test</x:v>
      </x:c>
      <x:c r="L484" s="40" t="str">
        <x:v>Not Started</x:v>
      </x:c>
      <x:c r="M484" s="40"/>
    </x:row>
    <x:row r="485">
      <x:c r="A485" s="40" t="str">
        <x:v>VS-19</x:v>
      </x:c>
      <x:c r="B485" s="40" t="n">
        <x:v>19</x:v>
      </x:c>
      <x:c r="C485" s="40" t="str">
        <x:v>Wave 4 — Device Services and Reliability</x:v>
      </x:c>
      <x:c r="D485" s="40" t="str">
        <x:v>X. Settings, Account and Sync Center, and More Screen</x:v>
      </x:c>
      <x:c r="E485" s="40" t="str">
        <x:v>AC-X-023</x:v>
      </x:c>
      <x:c r="F485" s="40" t="str">
        <x:v>FR-X-023</x:v>
      </x:c>
      <x:c r="G485" s="40" t="str">
        <x:v>Given the applicable Settings, Account and Sync Center, and More Screen preconditions and a valid Local Profile</x:v>
      </x:c>
      <x:c r="H485" s="40" t="str">
        <x:v>When the user performs the relevant action or the relevant system condition occurs</x:v>
      </x:c>
      <x:c r="I485" s="40" t="str">
        <x:v>Then help, About, and Legal shall identify product version, privacy information, and relevant legal notices.</x:v>
      </x:c>
      <x:c r="J485" s="40" t="str">
        <x:v>Yes</x:v>
      </x:c>
      <x:c r="K485" s="40" t="str">
        <x:v>Manual review</x:v>
      </x:c>
      <x:c r="L485" s="40" t="str">
        <x:v>Not Started</x:v>
      </x:c>
      <x:c r="M485" s="40"/>
    </x:row>
    <x:row r="486">
      <x:c r="A486" s="40" t="str">
        <x:v>VS-19</x:v>
      </x:c>
      <x:c r="B486" s="40" t="n">
        <x:v>19</x:v>
      </x:c>
      <x:c r="C486" s="40" t="str">
        <x:v>Wave 4 — Device Services and Reliability</x:v>
      </x:c>
      <x:c r="D486" s="40" t="str">
        <x:v>X. Settings, Account and Sync Center, and More Screen</x:v>
      </x:c>
      <x:c r="E486" s="40" t="str">
        <x:v>AC-X-024</x:v>
      </x:c>
      <x:c r="F486" s="40" t="str">
        <x:v>FR-X-024</x:v>
      </x:c>
      <x:c r="G486" s="40" t="str">
        <x:v>Given the applicable Settings, Account and Sync Center, and More Screen preconditions and a valid Local Profile</x:v>
      </x:c>
      <x:c r="H486" s="40" t="str">
        <x:v>When the user performs the relevant action or the relevant system condition occurs</x:v>
      </x:c>
      <x:c r="I486" s="40" t="str">
        <x:v>Then the More Screen shall provide a single coherent route to Privacy Center and permission management.</x:v>
      </x:c>
      <x:c r="J486" s="40" t="str">
        <x:v>Yes</x:v>
      </x:c>
      <x:c r="K486" s="40" t="str">
        <x:v>Widget test</x:v>
      </x:c>
      <x:c r="L486" s="40" t="str">
        <x:v>Not Started</x:v>
      </x:c>
      <x:c r="M486" s="40"/>
    </x:row>
  </x:sheetData>
  <x:mergeCells>
    <x:mergeCell ref="A1:M1"/>
  </x:mergeCells>
  <x:conditionalFormatting sqref="J4:J486">
    <x:cfRule type="expression" dxfId="27" priority="1">
      <x:formula>J4="Yes"</x:formula>
    </x:cfRule>
  </x:conditionalFormatting>
  <x:conditionalFormatting sqref="L4:L486">
    <x:cfRule type="expression" dxfId="28" priority="2">
      <x:formula>L4="Passed"</x:formula>
    </x:cfRule>
    <x:cfRule type="expression" dxfId="29" priority="3">
      <x:formula>L4="Failed"</x:formula>
    </x:cfRule>
  </x:conditionalFormatting>
  <x:dataValidations count="1">
    <x:dataValidation type="list" sqref="L4:L486">
      <x:formula1>"Not Started,Passed,Failed,Blocked,Not Applicable"</x:formula1>
    </x:dataValidation>
  </x:dataValidations>
  <x:pageMargins left="0.7" right="0.7" top="0.75" bottom="0.75" header="0.3" footer="0.3"/>
  <x:tableParts count="1">
    <x:tablePart xmlns:r="http://schemas.openxmlformats.org/officeDocument/2006/relationships" r:id="Rb7fd504b658346e1"/>
  </x:tableParts>
</x:worksheet>
</file>

<file path=xl/worksheets/sheet24.xml><?xml version="1.0" encoding="utf-8"?>
<x:worksheet xmlns:x="http://schemas.openxmlformats.org/spreadsheetml/2006/main">
  <x:sheetFormatPr defaultRowHeight="15"/>
  <x:cols>
    <x:col min="1" max="1" width="10" hidden="0" customWidth="1"/>
    <x:col min="2" max="2" width="9" hidden="0" customWidth="1"/>
    <x:col min="3" max="3" width="22" hidden="0" customWidth="1"/>
    <x:col min="4" max="4" width="34" hidden="0" customWidth="1"/>
    <x:col min="5" max="5" width="15" hidden="0" customWidth="1"/>
    <x:col min="6" max="6" width="65" hidden="0" customWidth="1"/>
    <x:col min="7" max="7" width="18" hidden="0" customWidth="1"/>
    <x:col min="8" max="8" width="30" hidden="0" customWidth="1"/>
  </x:cols>
  <x:sheetData>
    <x:row r="1">
      <x:c r="A1" s="128" t="str">
        <x:v>Next Transfer - Business Rule to Vertical Slice Matrix</x:v>
      </x:c>
      <x:c r="B1" s="128"/>
      <x:c r="C1" s="128"/>
      <x:c r="D1" s="128"/>
      <x:c r="E1" s="128"/>
      <x:c r="F1" s="128"/>
      <x:c r="G1" s="128"/>
      <x:c r="H1" s="128"/>
    </x:row>
    <x:row r="3">
      <x:c r="A3" s="133" t="str">
        <x:v>Slice ID</x:v>
      </x:c>
      <x:c r="B3" s="133" t="str">
        <x:v>Sequence</x:v>
      </x:c>
      <x:c r="C3" s="133" t="str">
        <x:v>Wave</x:v>
      </x:c>
      <x:c r="D3" s="133" t="str">
        <x:v>Feature Group</x:v>
      </x:c>
      <x:c r="E3" s="133" t="str">
        <x:v>Business Rule ID</x:v>
      </x:c>
      <x:c r="F3" s="133" t="str">
        <x:v>Rule</x:v>
      </x:c>
      <x:c r="G3" s="133" t="str">
        <x:v>Validation Status</x:v>
      </x:c>
      <x:c r="H3" s="133" t="str">
        <x:v>Notes</x:v>
      </x:c>
    </x:row>
    <x:row r="4">
      <x:c r="A4" s="40" t="str">
        <x:v>VS-01</x:v>
      </x:c>
      <x:c r="B4" s="40" t="n">
        <x:v>1</x:v>
      </x:c>
      <x:c r="C4" s="40" t="str">
        <x:v>Wave 1 — Foundation</x:v>
      </x:c>
      <x:c r="D4" s="40" t="str">
        <x:v>A. App Startup and Guest Onboarding</x:v>
      </x:c>
      <x:c r="E4" s="40" t="str">
        <x:v>BR-A-001</x:v>
      </x:c>
      <x:c r="F4" s="40" t="str">
        <x:v>A Local Profile is required for normal use, but an online account is optional.</x:v>
      </x:c>
      <x:c r="G4" s="40" t="str">
        <x:v>Not Started</x:v>
      </x:c>
      <x:c r="H4" s="40"/>
    </x:row>
    <x:row r="5">
      <x:c r="A5" s="40" t="str">
        <x:v>VS-01</x:v>
      </x:c>
      <x:c r="B5" s="40" t="n">
        <x:v>1</x:v>
      </x:c>
      <x:c r="C5" s="40" t="str">
        <x:v>Wave 1 — Foundation</x:v>
      </x:c>
      <x:c r="D5" s="40" t="str">
        <x:v>A. App Startup and Guest Onboarding</x:v>
      </x:c>
      <x:c r="E5" s="40" t="str">
        <x:v>BR-A-002</x:v>
      </x:c>
      <x:c r="F5" s="40" t="str">
        <x:v>Guest onboarding and returning local access must work offline.</x:v>
      </x:c>
      <x:c r="G5" s="40" t="str">
        <x:v>Not Started</x:v>
      </x:c>
      <x:c r="H5" s="40"/>
    </x:row>
    <x:row r="6">
      <x:c r="A6" s="40" t="str">
        <x:v>VS-01</x:v>
      </x:c>
      <x:c r="B6" s="40" t="n">
        <x:v>1</x:v>
      </x:c>
      <x:c r="C6" s="40" t="str">
        <x:v>Wave 1 — Foundation</x:v>
      </x:c>
      <x:c r="D6" s="40" t="str">
        <x:v>A. App Startup and Guest Onboarding</x:v>
      </x:c>
      <x:c r="E6" s="40" t="str">
        <x:v>BR-A-003</x:v>
      </x:c>
      <x:c r="F6" s="40" t="str">
        <x:v>Drift opens before optional Supabase or content services are treated as ready.</x:v>
      </x:c>
      <x:c r="G6" s="40" t="str">
        <x:v>Not Started</x:v>
      </x:c>
      <x:c r="H6" s="40"/>
    </x:row>
    <x:row r="7">
      <x:c r="A7" s="40" t="str">
        <x:v>VS-01</x:v>
      </x:c>
      <x:c r="B7" s="40" t="n">
        <x:v>1</x:v>
      </x:c>
      <x:c r="C7" s="40" t="str">
        <x:v>Wave 1 — Foundation</x:v>
      </x:c>
      <x:c r="D7" s="40" t="str">
        <x:v>A. App Startup and Guest Onboarding</x:v>
      </x:c>
      <x:c r="E7" s="40" t="str">
        <x:v>BR-A-004</x:v>
      </x:c>
      <x:c r="F7" s="40" t="str">
        <x:v>Remote failure must not block valid local data.</x:v>
      </x:c>
      <x:c r="G7" s="40" t="str">
        <x:v>Not Started</x:v>
      </x:c>
      <x:c r="H7" s="40"/>
    </x:row>
    <x:row r="8">
      <x:c r="A8" s="40" t="str">
        <x:v>VS-01</x:v>
      </x:c>
      <x:c r="B8" s="40" t="n">
        <x:v>1</x:v>
      </x:c>
      <x:c r="C8" s="40" t="str">
        <x:v>Wave 1 — Foundation</x:v>
      </x:c>
      <x:c r="D8" s="40" t="str">
        <x:v>A. App Startup and Guest Onboarding</x:v>
      </x:c>
      <x:c r="E8" s="40" t="str">
        <x:v>BR-A-005</x:v>
      </x:c>
      <x:c r="F8" s="40" t="str">
        <x:v>Fresh onboarding must not seed Actual progress.</x:v>
      </x:c>
      <x:c r="G8" s="40" t="str">
        <x:v>Not Started</x:v>
      </x:c>
      <x:c r="H8" s="40"/>
    </x:row>
    <x:row r="9">
      <x:c r="A9" s="40" t="str">
        <x:v>VS-01</x:v>
      </x:c>
      <x:c r="B9" s="40" t="n">
        <x:v>1</x:v>
      </x:c>
      <x:c r="C9" s="40" t="str">
        <x:v>Wave 1 — Foundation</x:v>
      </x:c>
      <x:c r="D9" s="40" t="str">
        <x:v>A. App Startup and Guest Onboarding</x:v>
      </x:c>
      <x:c r="E9" s="40" t="str">
        <x:v>BR-A-006</x:v>
      </x:c>
      <x:c r="F9" s="40" t="str">
        <x:v>No unrelated permission is requested during onboarding.</x:v>
      </x:c>
      <x:c r="G9" s="40" t="str">
        <x:v>Not Started</x:v>
      </x:c>
      <x:c r="H9" s="40"/>
    </x:row>
    <x:row r="10">
      <x:c r="A10" s="40" t="str">
        <x:v>VS-01</x:v>
      </x:c>
      <x:c r="B10" s="40" t="n">
        <x:v>1</x:v>
      </x:c>
      <x:c r="C10" s="40" t="str">
        <x:v>Wave 1 — Foundation</x:v>
      </x:c>
      <x:c r="D10" s="40" t="str">
        <x:v>A. App Startup and Guest Onboarding</x:v>
      </x:c>
      <x:c r="E10" s="40" t="str">
        <x:v>BR-A-007</x:v>
      </x:c>
      <x:c r="F10" s="40" t="str">
        <x:v>Privacy Lock is evaluated before protected content is exposed.</x:v>
      </x:c>
      <x:c r="G10" s="40" t="str">
        <x:v>Not Started</x:v>
      </x:c>
      <x:c r="H10" s="40"/>
    </x:row>
    <x:row r="11">
      <x:c r="A11" s="40" t="str">
        <x:v>VS-01</x:v>
      </x:c>
      <x:c r="B11" s="40" t="n">
        <x:v>1</x:v>
      </x:c>
      <x:c r="C11" s="40" t="str">
        <x:v>Wave 1 — Foundation</x:v>
      </x:c>
      <x:c r="D11" s="40" t="str">
        <x:v>A. App Startup and Guest Onboarding</x:v>
      </x:c>
      <x:c r="E11" s="40" t="str">
        <x:v>BR-A-008</x:v>
      </x:c>
      <x:c r="F11" s="40" t="str">
        <x:v>Destructive recovery requires informed confirmation and data-loss disclosure.</x:v>
      </x:c>
      <x:c r="G11" s="40" t="str">
        <x:v>Not Started</x:v>
      </x:c>
      <x:c r="H11" s="40"/>
    </x:row>
    <x:row r="12">
      <x:c r="A12" s="40" t="str">
        <x:v>VS-01</x:v>
      </x:c>
      <x:c r="B12" s="40" t="n">
        <x:v>1</x:v>
      </x:c>
      <x:c r="C12" s="40" t="str">
        <x:v>Wave 1 — Foundation</x:v>
      </x:c>
      <x:c r="D12" s="40" t="str">
        <x:v>A. App Startup and Guest Onboarding</x:v>
      </x:c>
      <x:c r="E12" s="40" t="str">
        <x:v>BR-A-009</x:v>
      </x:c>
      <x:c r="F12" s="40" t="str">
        <x:v>Session expiry does not remove local access.</x:v>
      </x:c>
      <x:c r="G12" s="40" t="str">
        <x:v>Not Started</x:v>
      </x:c>
      <x:c r="H12" s="40"/>
    </x:row>
    <x:row r="13">
      <x:c r="A13" s="40" t="str">
        <x:v>VS-01</x:v>
      </x:c>
      <x:c r="B13" s="40" t="n">
        <x:v>1</x:v>
      </x:c>
      <x:c r="C13" s="40" t="str">
        <x:v>Wave 1 — Foundation</x:v>
      </x:c>
      <x:c r="D13" s="40" t="str">
        <x:v>A. App Startup and Guest Onboarding</x:v>
      </x:c>
      <x:c r="E13" s="40" t="str">
        <x:v>BR-A-010</x:v>
      </x:c>
      <x:c r="F13" s="40" t="str">
        <x:v>Deep links cannot bypass onboarding, lock, or recovery safeguards.</x:v>
      </x:c>
      <x:c r="G13" s="40" t="str">
        <x:v>Not Started</x:v>
      </x:c>
      <x:c r="H13" s="40"/>
    </x:row>
    <x:row r="14">
      <x:c r="A14" s="40" t="str">
        <x:v>VS-07</x:v>
      </x:c>
      <x:c r="B14" s="40" t="n">
        <x:v>7</x:v>
      </x:c>
      <x:c r="C14" s="40" t="str">
        <x:v>Wave 2 — Core Planning Loop</x:v>
      </x:c>
      <x:c r="D14" s="40" t="str">
        <x:v>B. Home and Life Indicators</x:v>
      </x:c>
      <x:c r="E14" s="40" t="str">
        <x:v>BR-B-001</x:v>
      </x:c>
      <x:c r="F14" s="40" t="str">
        <x:v>Actual, Target, and Scheduled Potential are distinct values.</x:v>
      </x:c>
      <x:c r="G14" s="40" t="str">
        <x:v>Not Started</x:v>
      </x:c>
      <x:c r="H14" s="40"/>
    </x:row>
    <x:row r="15">
      <x:c r="A15" s="40" t="str">
        <x:v>VS-07</x:v>
      </x:c>
      <x:c r="B15" s="40" t="n">
        <x:v>7</x:v>
      </x:c>
      <x:c r="C15" s="40" t="str">
        <x:v>Wave 2 — Core Planning Loop</x:v>
      </x:c>
      <x:c r="D15" s="40" t="str">
        <x:v>B. Home and Life Indicators</x:v>
      </x:c>
      <x:c r="E15" s="40" t="str">
        <x:v>BR-B-002</x:v>
      </x:c>
      <x:c r="F15" s="40" t="str">
        <x:v>Actual derives only from qualifying Activity Ledger entries.</x:v>
      </x:c>
      <x:c r="G15" s="40" t="str">
        <x:v>Not Started</x:v>
      </x:c>
      <x:c r="H15" s="40"/>
    </x:row>
    <x:row r="16">
      <x:c r="A16" s="40" t="str">
        <x:v>VS-07</x:v>
      </x:c>
      <x:c r="B16" s="40" t="n">
        <x:v>7</x:v>
      </x:c>
      <x:c r="C16" s="40" t="str">
        <x:v>Wave 2 — Core Planning Loop</x:v>
      </x:c>
      <x:c r="D16" s="40" t="str">
        <x:v>B. Home and Life Indicators</x:v>
      </x:c>
      <x:c r="E16" s="40" t="str">
        <x:v>BR-B-003</x:v>
      </x:c>
      <x:c r="F16" s="40" t="str">
        <x:v>Scheduled or elapsed records do not create Actual.</x:v>
      </x:c>
      <x:c r="G16" s="40" t="str">
        <x:v>Not Started</x:v>
      </x:c>
      <x:c r="H16" s="40"/>
    </x:row>
    <x:row r="17">
      <x:c r="A17" s="40" t="str">
        <x:v>VS-07</x:v>
      </x:c>
      <x:c r="B17" s="40" t="n">
        <x:v>7</x:v>
      </x:c>
      <x:c r="C17" s="40" t="str">
        <x:v>Wave 2 — Core Planning Loop</x:v>
      </x:c>
      <x:c r="D17" s="40" t="str">
        <x:v>B. Home and Life Indicators</x:v>
      </x:c>
      <x:c r="E17" s="40" t="str">
        <x:v>BR-B-004</x:v>
      </x:c>
      <x:c r="F17" s="40" t="str">
        <x:v>A zero target differs from no target.</x:v>
      </x:c>
      <x:c r="G17" s="40" t="str">
        <x:v>Not Started</x:v>
      </x:c>
      <x:c r="H17" s="40"/>
    </x:row>
    <x:row r="18">
      <x:c r="A18" s="40" t="str">
        <x:v>VS-07</x:v>
      </x:c>
      <x:c r="B18" s="40" t="n">
        <x:v>7</x:v>
      </x:c>
      <x:c r="C18" s="40" t="str">
        <x:v>Wave 2 — Core Planning Loop</x:v>
      </x:c>
      <x:c r="D18" s="40" t="str">
        <x:v>B. Home and Life Indicators</x:v>
      </x:c>
      <x:c r="E18" s="40" t="str">
        <x:v>BR-B-005</x:v>
      </x:c>
      <x:c r="F18" s="40" t="str">
        <x:v>Every Actual value must be explainable through contribution history.</x:v>
      </x:c>
      <x:c r="G18" s="40" t="str">
        <x:v>Not Started</x:v>
      </x:c>
      <x:c r="H18" s="40"/>
    </x:row>
    <x:row r="19">
      <x:c r="A19" s="40" t="str">
        <x:v>VS-07</x:v>
      </x:c>
      <x:c r="B19" s="40" t="n">
        <x:v>7</x:v>
      </x:c>
      <x:c r="C19" s="40" t="str">
        <x:v>Wave 2 — Core Planning Loop</x:v>
      </x:c>
      <x:c r="D19" s="40" t="str">
        <x:v>B. Home and Life Indicators</x:v>
      </x:c>
      <x:c r="E19" s="40" t="str">
        <x:v>BR-B-006</x:v>
      </x:c>
      <x:c r="F19" s="40" t="str">
        <x:v>Corrections preserve history through reversals and replacements.</x:v>
      </x:c>
      <x:c r="G19" s="40" t="str">
        <x:v>Not Started</x:v>
      </x:c>
      <x:c r="H19" s="40"/>
    </x:row>
    <x:row r="20">
      <x:c r="A20" s="40" t="str">
        <x:v>VS-07</x:v>
      </x:c>
      <x:c r="B20" s="40" t="n">
        <x:v>7</x:v>
      </x:c>
      <x:c r="C20" s="40" t="str">
        <x:v>Wave 2 — Core Planning Loop</x:v>
      </x:c>
      <x:c r="D20" s="40" t="str">
        <x:v>B. Home and Life Indicators</x:v>
      </x:c>
      <x:c r="E20" s="40" t="str">
        <x:v>BR-B-007</x:v>
      </x:c>
      <x:c r="F20" s="40" t="str">
        <x:v>Title-only indicator classification is prohibited.</x:v>
      </x:c>
      <x:c r="G20" s="40" t="str">
        <x:v>Not Started</x:v>
      </x:c>
      <x:c r="H20" s="40"/>
    </x:row>
    <x:row r="21">
      <x:c r="A21" s="40" t="str">
        <x:v>VS-07</x:v>
      </x:c>
      <x:c r="B21" s="40" t="n">
        <x:v>7</x:v>
      </x:c>
      <x:c r="C21" s="40" t="str">
        <x:v>Wave 2 — Core Planning Loop</x:v>
      </x:c>
      <x:c r="D21" s="40" t="str">
        <x:v>B. Home and Life Indicators</x:v>
      </x:c>
      <x:c r="E21" s="40" t="str">
        <x:v>BR-B-008</x:v>
      </x:c>
      <x:c r="F21" s="40" t="str">
        <x:v>Cancelled and rescheduled items must not double-count Scheduled Potential.</x:v>
      </x:c>
      <x:c r="G21" s="40" t="str">
        <x:v>Not Started</x:v>
      </x:c>
      <x:c r="H21" s="40"/>
    </x:row>
    <x:row r="22">
      <x:c r="A22" s="40" t="str">
        <x:v>VS-07</x:v>
      </x:c>
      <x:c r="B22" s="40" t="n">
        <x:v>7</x:v>
      </x:c>
      <x:c r="C22" s="40" t="str">
        <x:v>Wave 2 — Core Planning Loop</x:v>
      </x:c>
      <x:c r="D22" s="40" t="str">
        <x:v>B. Home and Life Indicators</x:v>
      </x:c>
      <x:c r="E22" s="40" t="str">
        <x:v>BR-B-009</x:v>
      </x:c>
      <x:c r="F22" s="40" t="str">
        <x:v>Spiritual-adjacent indicators use neutral factual language.</x:v>
      </x:c>
      <x:c r="G22" s="40" t="str">
        <x:v>Not Started</x:v>
      </x:c>
      <x:c r="H22" s="40"/>
    </x:row>
    <x:row r="23">
      <x:c r="A23" s="40" t="str">
        <x:v>VS-07</x:v>
      </x:c>
      <x:c r="B23" s="40" t="n">
        <x:v>7</x:v>
      </x:c>
      <x:c r="C23" s="40" t="str">
        <x:v>Wave 2 — Core Planning Loop</x:v>
      </x:c>
      <x:c r="D23" s="40" t="str">
        <x:v>B. Home and Life Indicators</x:v>
      </x:c>
      <x:c r="E23" s="40" t="str">
        <x:v>BR-B-010</x:v>
      </x:c>
      <x:c r="F23" s="40" t="str">
        <x:v>No composite worthiness or life-quality score is allowed.</x:v>
      </x:c>
      <x:c r="G23" s="40" t="str">
        <x:v>Not Started</x:v>
      </x:c>
      <x:c r="H23" s="40"/>
    </x:row>
    <x:row r="24">
      <x:c r="A24" s="40" t="str">
        <x:v>VS-03</x:v>
      </x:c>
      <x:c r="B24" s="40" t="n">
        <x:v>3</x:v>
      </x:c>
      <x:c r="C24" s="40" t="str">
        <x:v>Wave 2 — Core Planning Loop</x:v>
      </x:c>
      <x:c r="D24" s="40" t="str">
        <x:v>C. Planner Day View</x:v>
      </x:c>
      <x:c r="E24" s="40" t="str">
        <x:v>BR-C-001</x:v>
      </x:c>
      <x:c r="F24" s="40" t="str">
        <x:v>Tasks and Calendar Events remain visibly and behaviorally distinct.</x:v>
      </x:c>
      <x:c r="G24" s="40" t="str">
        <x:v>Not Started</x:v>
      </x:c>
      <x:c r="H24" s="40"/>
    </x:row>
    <x:row r="25">
      <x:c r="A25" s="40" t="str">
        <x:v>VS-03</x:v>
      </x:c>
      <x:c r="B25" s="40" t="n">
        <x:v>3</x:v>
      </x:c>
      <x:c r="C25" s="40" t="str">
        <x:v>Wave 2 — Core Planning Loop</x:v>
      </x:c>
      <x:c r="D25" s="40" t="str">
        <x:v>C. Planner Day View</x:v>
      </x:c>
      <x:c r="E25" s="40" t="str">
        <x:v>BR-C-002</x:v>
      </x:c>
      <x:c r="F25" s="40" t="str">
        <x:v>Overdue is a Task attention state, not a Task status.</x:v>
      </x:c>
      <x:c r="G25" s="40" t="str">
        <x:v>Not Started</x:v>
      </x:c>
      <x:c r="H25" s="40"/>
    </x:row>
    <x:row r="26">
      <x:c r="A26" s="40" t="str">
        <x:v>VS-03</x:v>
      </x:c>
      <x:c r="B26" s="40" t="n">
        <x:v>3</x:v>
      </x:c>
      <x:c r="C26" s="40" t="str">
        <x:v>Wave 2 — Core Planning Loop</x:v>
      </x:c>
      <x:c r="D26" s="40" t="str">
        <x:v>C. Planner Day View</x:v>
      </x:c>
      <x:c r="E26" s="40" t="str">
        <x:v>BR-C-003</x:v>
      </x:c>
      <x:c r="F26" s="40" t="str">
        <x:v>Awaiting Report is an event attention state, not an event status.</x:v>
      </x:c>
      <x:c r="G26" s="40" t="str">
        <x:v>Not Started</x:v>
      </x:c>
      <x:c r="H26" s="40"/>
    </x:row>
    <x:row r="27">
      <x:c r="A27" s="40" t="str">
        <x:v>VS-03</x:v>
      </x:c>
      <x:c r="B27" s="40" t="n">
        <x:v>3</x:v>
      </x:c>
      <x:c r="C27" s="40" t="str">
        <x:v>Wave 2 — Core Planning Loop</x:v>
      </x:c>
      <x:c r="D27" s="40" t="str">
        <x:v>C. Planner Day View</x:v>
      </x:c>
      <x:c r="E27" s="40" t="str">
        <x:v>BR-C-004</x:v>
      </x:c>
      <x:c r="F27" s="40" t="str">
        <x:v>Elapsed time does not create event outcomes.</x:v>
      </x:c>
      <x:c r="G27" s="40" t="str">
        <x:v>Not Started</x:v>
      </x:c>
      <x:c r="H27" s="40"/>
    </x:row>
    <x:row r="28">
      <x:c r="A28" s="40" t="str">
        <x:v>VS-03</x:v>
      </x:c>
      <x:c r="B28" s="40" t="n">
        <x:v>3</x:v>
      </x:c>
      <x:c r="C28" s="40" t="str">
        <x:v>Wave 2 — Core Planning Loop</x:v>
      </x:c>
      <x:c r="D28" s="40" t="str">
        <x:v>C. Planner Day View</x:v>
      </x:c>
      <x:c r="E28" s="40" t="str">
        <x:v>BR-C-005</x:v>
      </x:c>
      <x:c r="F28" s="40" t="str">
        <x:v>Completing one linked record does not complete the other.</x:v>
      </x:c>
      <x:c r="G28" s="40" t="str">
        <x:v>Not Started</x:v>
      </x:c>
      <x:c r="H28" s="40"/>
    </x:row>
    <x:row r="29">
      <x:c r="A29" s="40" t="str">
        <x:v>VS-03</x:v>
      </x:c>
      <x:c r="B29" s="40" t="n">
        <x:v>3</x:v>
      </x:c>
      <x:c r="C29" s="40" t="str">
        <x:v>Wave 2 — Core Planning Loop</x:v>
      </x:c>
      <x:c r="D29" s="40" t="str">
        <x:v>C. Planner Day View</x:v>
      </x:c>
      <x:c r="E29" s="40" t="str">
        <x:v>BR-C-006</x:v>
      </x:c>
      <x:c r="F29" s="40" t="str">
        <x:v>All-day events remain Calendar Events.</x:v>
      </x:c>
      <x:c r="G29" s="40" t="str">
        <x:v>Not Started</x:v>
      </x:c>
      <x:c r="H29" s="40"/>
    </x:row>
    <x:row r="30">
      <x:c r="A30" s="40" t="str">
        <x:v>VS-03</x:v>
      </x:c>
      <x:c r="B30" s="40" t="n">
        <x:v>3</x:v>
      </x:c>
      <x:c r="C30" s="40" t="str">
        <x:v>Wave 2 — Core Planning Loop</x:v>
      </x:c>
      <x:c r="D30" s="40" t="str">
        <x:v>C. Planner Day View</x:v>
      </x:c>
      <x:c r="E30" s="40" t="str">
        <x:v>BR-C-007</x:v>
      </x:c>
      <x:c r="F30" s="40" t="str">
        <x:v>Rescheduling preserves original history and creates an active replacement.</x:v>
      </x:c>
      <x:c r="G30" s="40" t="str">
        <x:v>Not Started</x:v>
      </x:c>
      <x:c r="H30" s="40"/>
    </x:row>
    <x:row r="31">
      <x:c r="A31" s="40" t="str">
        <x:v>VS-03</x:v>
      </x:c>
      <x:c r="B31" s="40" t="n">
        <x:v>3</x:v>
      </x:c>
      <x:c r="C31" s="40" t="str">
        <x:v>Wave 2 — Core Planning Loop</x:v>
      </x:c>
      <x:c r="D31" s="40" t="str">
        <x:v>C. Planner Day View</x:v>
      </x:c>
      <x:c r="E31" s="40" t="str">
        <x:v>BR-C-008</x:v>
      </x:c>
      <x:c r="F31" s="40" t="str">
        <x:v>Offline creation and editing update Drift immediately.</x:v>
      </x:c>
      <x:c r="G31" s="40" t="str">
        <x:v>Not Started</x:v>
      </x:c>
      <x:c r="H31" s="40"/>
    </x:row>
    <x:row r="32">
      <x:c r="A32" s="40" t="str">
        <x:v>VS-03</x:v>
      </x:c>
      <x:c r="B32" s="40" t="n">
        <x:v>3</x:v>
      </x:c>
      <x:c r="C32" s="40" t="str">
        <x:v>Wave 2 — Core Planning Loop</x:v>
      </x:c>
      <x:c r="D32" s="40" t="str">
        <x:v>C. Planner Day View</x:v>
      </x:c>
      <x:c r="E32" s="40" t="str">
        <x:v>BR-C-009</x:v>
      </x:c>
      <x:c r="F32" s="40" t="str">
        <x:v>Maps remain contextual.</x:v>
      </x:c>
      <x:c r="G32" s="40" t="str">
        <x:v>Not Started</x:v>
      </x:c>
      <x:c r="H32" s="40"/>
    </x:row>
    <x:row r="33">
      <x:c r="A33" s="40" t="str">
        <x:v>VS-03</x:v>
      </x:c>
      <x:c r="B33" s="40" t="n">
        <x:v>3</x:v>
      </x:c>
      <x:c r="C33" s="40" t="str">
        <x:v>Wave 2 — Core Planning Loop</x:v>
      </x:c>
      <x:c r="D33" s="40" t="str">
        <x:v>C. Planner Day View</x:v>
      </x:c>
      <x:c r="E33" s="40" t="str">
        <x:v>BR-C-010</x:v>
      </x:c>
      <x:c r="F33" s="40" t="str">
        <x:v>Save failure must not create false records.</x:v>
      </x:c>
      <x:c r="G33" s="40" t="str">
        <x:v>Not Started</x:v>
      </x:c>
      <x:c r="H33" s="40"/>
    </x:row>
    <x:row r="34">
      <x:c r="A34" s="40" t="str">
        <x:v>VS-03</x:v>
      </x:c>
      <x:c r="B34" s="40" t="n">
        <x:v>3</x:v>
      </x:c>
      <x:c r="C34" s="40" t="str">
        <x:v>Wave 2 — Core Planning Loop</x:v>
      </x:c>
      <x:c r="D34" s="40" t="str">
        <x:v>D. Tasks</x:v>
      </x:c>
      <x:c r="E34" s="40" t="str">
        <x:v>BR-D-001</x:v>
      </x:c>
      <x:c r="F34" s="40" t="str">
        <x:v>Task statuses are Incomplete, Completed, Skipped, and Cancelled.</x:v>
      </x:c>
      <x:c r="G34" s="40" t="str">
        <x:v>Not Started</x:v>
      </x:c>
      <x:c r="H34" s="40"/>
    </x:row>
    <x:row r="35">
      <x:c r="A35" s="40" t="str">
        <x:v>VS-03</x:v>
      </x:c>
      <x:c r="B35" s="40" t="n">
        <x:v>3</x:v>
      </x:c>
      <x:c r="C35" s="40" t="str">
        <x:v>Wave 2 — Core Planning Loop</x:v>
      </x:c>
      <x:c r="D35" s="40" t="str">
        <x:v>D. Tasks</x:v>
      </x:c>
      <x:c r="E35" s="40" t="str">
        <x:v>BR-D-002</x:v>
      </x:c>
      <x:c r="F35" s="40" t="str">
        <x:v>New Tasks begin Incomplete.</x:v>
      </x:c>
      <x:c r="G35" s="40" t="str">
        <x:v>Not Started</x:v>
      </x:c>
      <x:c r="H35" s="40"/>
    </x:row>
    <x:row r="36">
      <x:c r="A36" s="40" t="str">
        <x:v>VS-03</x:v>
      </x:c>
      <x:c r="B36" s="40" t="n">
        <x:v>3</x:v>
      </x:c>
      <x:c r="C36" s="40" t="str">
        <x:v>Wave 2 — Core Planning Loop</x:v>
      </x:c>
      <x:c r="D36" s="40" t="str">
        <x:v>D. Tasks</x:v>
      </x:c>
      <x:c r="E36" s="40" t="str">
        <x:v>BR-D-003</x:v>
      </x:c>
      <x:c r="F36" s="40" t="str">
        <x:v>Overdue is derived from due date and Incomplete status.</x:v>
      </x:c>
      <x:c r="G36" s="40" t="str">
        <x:v>Not Started</x:v>
      </x:c>
      <x:c r="H36" s="40"/>
    </x:row>
    <x:row r="37">
      <x:c r="A37" s="40" t="str">
        <x:v>VS-03</x:v>
      </x:c>
      <x:c r="B37" s="40" t="n">
        <x:v>3</x:v>
      </x:c>
      <x:c r="C37" s="40" t="str">
        <x:v>Wave 2 — Core Planning Loop</x:v>
      </x:c>
      <x:c r="D37" s="40" t="str">
        <x:v>D. Tasks</x:v>
      </x:c>
      <x:c r="E37" s="40" t="str">
        <x:v>BR-D-004</x:v>
      </x:c>
      <x:c r="F37" s="40" t="str">
        <x:v>Task completion does not complete linked events.</x:v>
      </x:c>
      <x:c r="G37" s="40" t="str">
        <x:v>Not Started</x:v>
      </x:c>
      <x:c r="H37" s="40"/>
    </x:row>
    <x:row r="38">
      <x:c r="A38" s="40" t="str">
        <x:v>VS-03</x:v>
      </x:c>
      <x:c r="B38" s="40" t="n">
        <x:v>3</x:v>
      </x:c>
      <x:c r="C38" s="40" t="str">
        <x:v>Wave 2 — Core Planning Loop</x:v>
      </x:c>
      <x:c r="D38" s="40" t="str">
        <x:v>D. Tasks</x:v>
      </x:c>
      <x:c r="E38" s="40" t="str">
        <x:v>BR-D-005</x:v>
      </x:c>
      <x:c r="F38" s="40" t="str">
        <x:v>Required reporting cannot be bypassed.</x:v>
      </x:c>
      <x:c r="G38" s="40" t="str">
        <x:v>Not Started</x:v>
      </x:c>
      <x:c r="H38" s="40"/>
    </x:row>
    <x:row r="39">
      <x:c r="A39" s="40" t="str">
        <x:v>VS-03</x:v>
      </x:c>
      <x:c r="B39" s="40" t="n">
        <x:v>3</x:v>
      </x:c>
      <x:c r="C39" s="40" t="str">
        <x:v>Wave 2 — Core Planning Loop</x:v>
      </x:c>
      <x:c r="D39" s="40" t="str">
        <x:v>D. Tasks</x:v>
      </x:c>
      <x:c r="E39" s="40" t="str">
        <x:v>BR-D-006</x:v>
      </x:c>
      <x:c r="F39" s="40" t="str">
        <x:v>Task completion alone does not create Actual.</x:v>
      </x:c>
      <x:c r="G39" s="40" t="str">
        <x:v>Not Started</x:v>
      </x:c>
      <x:c r="H39" s="40"/>
    </x:row>
    <x:row r="40">
      <x:c r="A40" s="40" t="str">
        <x:v>VS-03</x:v>
      </x:c>
      <x:c r="B40" s="40" t="n">
        <x:v>3</x:v>
      </x:c>
      <x:c r="C40" s="40" t="str">
        <x:v>Wave 2 — Core Planning Loop</x:v>
      </x:c>
      <x:c r="D40" s="40" t="str">
        <x:v>D. Tasks</x:v>
      </x:c>
      <x:c r="E40" s="40" t="str">
        <x:v>BR-D-007</x:v>
      </x:c>
      <x:c r="F40" s="40" t="str">
        <x:v>Contribution rules are explicit and never title-based.</x:v>
      </x:c>
      <x:c r="G40" s="40" t="str">
        <x:v>Not Started</x:v>
      </x:c>
      <x:c r="H40" s="40"/>
    </x:row>
    <x:row r="41">
      <x:c r="A41" s="40" t="str">
        <x:v>VS-03</x:v>
      </x:c>
      <x:c r="B41" s="40" t="n">
        <x:v>3</x:v>
      </x:c>
      <x:c r="C41" s="40" t="str">
        <x:v>Wave 2 — Core Planning Loop</x:v>
      </x:c>
      <x:c r="D41" s="40" t="str">
        <x:v>D. Tasks</x:v>
      </x:c>
      <x:c r="E41" s="40" t="str">
        <x:v>BR-D-008</x:v>
      </x:c>
      <x:c r="F41" s="40" t="str">
        <x:v>Tasks may exist without due dates.</x:v>
      </x:c>
      <x:c r="G41" s="40" t="str">
        <x:v>Not Started</x:v>
      </x:c>
      <x:c r="H41" s="40"/>
    </x:row>
    <x:row r="42">
      <x:c r="A42" s="40" t="str">
        <x:v>VS-03</x:v>
      </x:c>
      <x:c r="B42" s="40" t="n">
        <x:v>3</x:v>
      </x:c>
      <x:c r="C42" s="40" t="str">
        <x:v>Wave 2 — Core Planning Loop</x:v>
      </x:c>
      <x:c r="D42" s="40" t="str">
        <x:v>D. Tasks</x:v>
      </x:c>
      <x:c r="E42" s="40" t="str">
        <x:v>BR-D-009</x:v>
      </x:c>
      <x:c r="F42" s="40" t="str">
        <x:v>Retries must not duplicate reports or ledger effects.</x:v>
      </x:c>
      <x:c r="G42" s="40" t="str">
        <x:v>Not Started</x:v>
      </x:c>
      <x:c r="H42" s="40"/>
    </x:row>
    <x:row r="43">
      <x:c r="A43" s="40" t="str">
        <x:v>VS-03</x:v>
      </x:c>
      <x:c r="B43" s="40" t="n">
        <x:v>3</x:v>
      </x:c>
      <x:c r="C43" s="40" t="str">
        <x:v>Wave 2 — Core Planning Loop</x:v>
      </x:c>
      <x:c r="D43" s="40" t="str">
        <x:v>D. Tasks</x:v>
      </x:c>
      <x:c r="E43" s="40" t="str">
        <x:v>BR-D-010</x:v>
      </x:c>
      <x:c r="F43" s="40" t="str">
        <x:v>Corrections preserve historical effects.</x:v>
      </x:c>
      <x:c r="G43" s="40" t="str">
        <x:v>Not Started</x:v>
      </x:c>
      <x:c r="H43" s="40"/>
    </x:row>
    <x:row r="44">
      <x:c r="A44" s="40" t="str">
        <x:v>VS-04</x:v>
      </x:c>
      <x:c r="B44" s="40" t="n">
        <x:v>4</x:v>
      </x:c>
      <x:c r="C44" s="40" t="str">
        <x:v>Wave 2 — Core Planning Loop</x:v>
      </x:c>
      <x:c r="D44" s="40" t="str">
        <x:v>E. Calendar Events and Recurrence</x:v>
      </x:c>
      <x:c r="E44" s="40" t="str">
        <x:v>BR-E-001</x:v>
      </x:c>
      <x:c r="F44" s="40" t="str">
        <x:v>Calendar Event statuses are Scheduled, Completed/Happened, Partially Completed, Did Not Happen, Cancelled, and Rescheduled.</x:v>
      </x:c>
      <x:c r="G44" s="40" t="str">
        <x:v>Not Started</x:v>
      </x:c>
      <x:c r="H44" s="40"/>
    </x:row>
    <x:row r="45">
      <x:c r="A45" s="40" t="str">
        <x:v>VS-04</x:v>
      </x:c>
      <x:c r="B45" s="40" t="n">
        <x:v>4</x:v>
      </x:c>
      <x:c r="C45" s="40" t="str">
        <x:v>Wave 2 — Core Planning Loop</x:v>
      </x:c>
      <x:c r="D45" s="40" t="str">
        <x:v>E. Calendar Events and Recurrence</x:v>
      </x:c>
      <x:c r="E45" s="40" t="str">
        <x:v>BR-E-002</x:v>
      </x:c>
      <x:c r="F45" s="40" t="str">
        <x:v>Happened outcomes come from valid reporting.</x:v>
      </x:c>
      <x:c r="G45" s="40" t="str">
        <x:v>Not Started</x:v>
      </x:c>
      <x:c r="H45" s="40"/>
    </x:row>
    <x:row r="46">
      <x:c r="A46" s="40" t="str">
        <x:v>VS-04</x:v>
      </x:c>
      <x:c r="B46" s="40" t="n">
        <x:v>4</x:v>
      </x:c>
      <x:c r="C46" s="40" t="str">
        <x:v>Wave 2 — Core Planning Loop</x:v>
      </x:c>
      <x:c r="D46" s="40" t="str">
        <x:v>E. Calendar Events and Recurrence</x:v>
      </x:c>
      <x:c r="E46" s="40" t="str">
        <x:v>BR-E-003</x:v>
      </x:c>
      <x:c r="F46" s="40" t="str">
        <x:v>Elapsed time does not create an outcome.</x:v>
      </x:c>
      <x:c r="G46" s="40" t="str">
        <x:v>Not Started</x:v>
      </x:c>
      <x:c r="H46" s="40"/>
    </x:row>
    <x:row r="47">
      <x:c r="A47" s="40" t="str">
        <x:v>VS-04</x:v>
      </x:c>
      <x:c r="B47" s="40" t="n">
        <x:v>4</x:v>
      </x:c>
      <x:c r="C47" s="40" t="str">
        <x:v>Wave 2 — Core Planning Loop</x:v>
      </x:c>
      <x:c r="D47" s="40" t="str">
        <x:v>E. Calendar Events and Recurrence</x:v>
      </x:c>
      <x:c r="E47" s="40" t="str">
        <x:v>BR-E-004</x:v>
      </x:c>
      <x:c r="F47" s="40" t="str">
        <x:v>Awaiting Report is an attention state.</x:v>
      </x:c>
      <x:c r="G47" s="40" t="str">
        <x:v>Not Started</x:v>
      </x:c>
      <x:c r="H47" s="40"/>
    </x:row>
    <x:row r="48">
      <x:c r="A48" s="40" t="str">
        <x:v>VS-04</x:v>
      </x:c>
      <x:c r="B48" s="40" t="n">
        <x:v>4</x:v>
      </x:c>
      <x:c r="C48" s="40" t="str">
        <x:v>Wave 2 — Core Planning Loop</x:v>
      </x:c>
      <x:c r="D48" s="40" t="str">
        <x:v>E. Calendar Events and Recurrence</x:v>
      </x:c>
      <x:c r="E48" s="40" t="str">
        <x:v>BR-E-005</x:v>
      </x:c>
      <x:c r="F48" s="40" t="str">
        <x:v>Each recurring occurrence is independently reportable.</x:v>
      </x:c>
      <x:c r="G48" s="40" t="str">
        <x:v>Not Started</x:v>
      </x:c>
      <x:c r="H48" s="40"/>
    </x:row>
    <x:row r="49">
      <x:c r="A49" s="40" t="str">
        <x:v>VS-04</x:v>
      </x:c>
      <x:c r="B49" s="40" t="n">
        <x:v>4</x:v>
      </x:c>
      <x:c r="C49" s="40" t="str">
        <x:v>Wave 2 — Core Planning Loop</x:v>
      </x:c>
      <x:c r="D49" s="40" t="str">
        <x:v>E. Calendar Events and Recurrence</x:v>
      </x:c>
      <x:c r="E49" s="40" t="str">
        <x:v>BR-E-006</x:v>
      </x:c>
      <x:c r="F49" s="40" t="str">
        <x:v>Rescheduling preserves the original and creates a linked replacement.</x:v>
      </x:c>
      <x:c r="G49" s="40" t="str">
        <x:v>Not Started</x:v>
      </x:c>
      <x:c r="H49" s="40"/>
    </x:row>
    <x:row r="50">
      <x:c r="A50" s="40" t="str">
        <x:v>VS-04</x:v>
      </x:c>
      <x:c r="B50" s="40" t="n">
        <x:v>4</x:v>
      </x:c>
      <x:c r="C50" s="40" t="str">
        <x:v>Wave 2 — Core Planning Loop</x:v>
      </x:c>
      <x:c r="D50" s="40" t="str">
        <x:v>E. Calendar Events and Recurrence</x:v>
      </x:c>
      <x:c r="E50" s="40" t="str">
        <x:v>BR-E-007</x:v>
      </x:c>
      <x:c r="F50" s="40" t="str">
        <x:v>Original and replacement do not both count as active Scheduled Potential.</x:v>
      </x:c>
      <x:c r="G50" s="40" t="str">
        <x:v>Not Started</x:v>
      </x:c>
      <x:c r="H50" s="40"/>
    </x:row>
    <x:row r="51">
      <x:c r="A51" s="40" t="str">
        <x:v>VS-04</x:v>
      </x:c>
      <x:c r="B51" s="40" t="n">
        <x:v>4</x:v>
      </x:c>
      <x:c r="C51" s="40" t="str">
        <x:v>Wave 2 — Core Planning Loop</x:v>
      </x:c>
      <x:c r="D51" s="40" t="str">
        <x:v>E. Calendar Events and Recurrence</x:v>
      </x:c>
      <x:c r="E51" s="40" t="str">
        <x:v>BR-E-008</x:v>
      </x:c>
      <x:c r="F51" s="40" t="str">
        <x:v>Series edits preserve reported historical occurrences.</x:v>
      </x:c>
      <x:c r="G51" s="40" t="str">
        <x:v>Not Started</x:v>
      </x:c>
      <x:c r="H51" s="40"/>
    </x:row>
    <x:row r="52">
      <x:c r="A52" s="40" t="str">
        <x:v>VS-04</x:v>
      </x:c>
      <x:c r="B52" s="40" t="n">
        <x:v>4</x:v>
      </x:c>
      <x:c r="C52" s="40" t="str">
        <x:v>Wave 2 — Core Planning Loop</x:v>
      </x:c>
      <x:c r="D52" s="40" t="str">
        <x:v>E. Calendar Events and Recurrence</x:v>
      </x:c>
      <x:c r="E52" s="40" t="str">
        <x:v>BR-E-009</x:v>
      </x:c>
      <x:c r="F52" s="40" t="str">
        <x:v>Calendar permission is not required for internal events.</x:v>
      </x:c>
      <x:c r="G52" s="40" t="str">
        <x:v>Not Started</x:v>
      </x:c>
      <x:c r="H52" s="40"/>
    </x:row>
    <x:row r="53">
      <x:c r="A53" s="40" t="str">
        <x:v>VS-04</x:v>
      </x:c>
      <x:c r="B53" s="40" t="n">
        <x:v>4</x:v>
      </x:c>
      <x:c r="C53" s="40" t="str">
        <x:v>Wave 2 — Core Planning Loop</x:v>
      </x:c>
      <x:c r="D53" s="40" t="str">
        <x:v>E. Calendar Events and Recurrence</x:v>
      </x:c>
      <x:c r="E53" s="40" t="str">
        <x:v>BR-E-010</x:v>
      </x:c>
      <x:c r="F53" s="40" t="str">
        <x:v>Title-only contribution classification is prohibited.</x:v>
      </x:c>
      <x:c r="G53" s="40" t="str">
        <x:v>Not Started</x:v>
      </x:c>
      <x:c r="H53" s="40"/>
    </x:row>
    <x:row r="54">
      <x:c r="A54" s="40" t="str">
        <x:v>VS-05</x:v>
      </x:c>
      <x:c r="B54" s="40" t="n">
        <x:v>5</x:v>
      </x:c>
      <x:c r="C54" s="40" t="str">
        <x:v>Wave 2 — Core Planning Loop</x:v>
      </x:c>
      <x:c r="D54" s="40" t="str">
        <x:v>F. Task–Event Linking</x:v>
      </x:c>
      <x:c r="E54" s="40" t="str">
        <x:v>BR-F-001</x:v>
      </x:c>
      <x:c r="F54" s="40" t="str">
        <x:v>Task–Event links do not merge record identities or statuses.</x:v>
      </x:c>
      <x:c r="G54" s="40" t="str">
        <x:v>Not Started</x:v>
      </x:c>
      <x:c r="H54" s="40"/>
    </x:row>
    <x:row r="55">
      <x:c r="A55" s="40" t="str">
        <x:v>VS-05</x:v>
      </x:c>
      <x:c r="B55" s="40" t="n">
        <x:v>5</x:v>
      </x:c>
      <x:c r="C55" s="40" t="str">
        <x:v>Wave 2 — Core Planning Loop</x:v>
      </x:c>
      <x:c r="D55" s="40" t="str">
        <x:v>F. Task–Event Linking</x:v>
      </x:c>
      <x:c r="E55" s="40" t="str">
        <x:v>BR-F-002</x:v>
      </x:c>
      <x:c r="F55" s="40" t="str">
        <x:v>Links are explicit and never inferred from matching titles.</x:v>
      </x:c>
      <x:c r="G55" s="40" t="str">
        <x:v>Not Started</x:v>
      </x:c>
      <x:c r="H55" s="40"/>
    </x:row>
    <x:row r="56">
      <x:c r="A56" s="40" t="str">
        <x:v>VS-05</x:v>
      </x:c>
      <x:c r="B56" s="40" t="n">
        <x:v>5</x:v>
      </x:c>
      <x:c r="C56" s="40" t="str">
        <x:v>Wave 2 — Core Planning Loop</x:v>
      </x:c>
      <x:c r="D56" s="40" t="str">
        <x:v>F. Task–Event Linking</x:v>
      </x:c>
      <x:c r="E56" s="40" t="str">
        <x:v>BR-F-003</x:v>
      </x:c>
      <x:c r="F56" s="40" t="str">
        <x:v>Link creation does not create reports, Actual, or ledger entries.</x:v>
      </x:c>
      <x:c r="G56" s="40" t="str">
        <x:v>Not Started</x:v>
      </x:c>
      <x:c r="H56" s="40"/>
    </x:row>
    <x:row r="57">
      <x:c r="A57" s="40" t="str">
        <x:v>VS-05</x:v>
      </x:c>
      <x:c r="B57" s="40" t="n">
        <x:v>5</x:v>
      </x:c>
      <x:c r="C57" s="40" t="str">
        <x:v>Wave 2 — Core Planning Loop</x:v>
      </x:c>
      <x:c r="D57" s="40" t="str">
        <x:v>F. Task–Event Linking</x:v>
      </x:c>
      <x:c r="E57" s="40" t="str">
        <x:v>BR-F-004</x:v>
      </x:c>
      <x:c r="F57" s="40" t="str">
        <x:v>Equivalent duplicate active links are prohibited.</x:v>
      </x:c>
      <x:c r="G57" s="40" t="str">
        <x:v>Not Started</x:v>
      </x:c>
      <x:c r="H57" s="40"/>
    </x:row>
    <x:row r="58">
      <x:c r="A58" s="40" t="str">
        <x:v>VS-05</x:v>
      </x:c>
      <x:c r="B58" s="40" t="n">
        <x:v>5</x:v>
      </x:c>
      <x:c r="C58" s="40" t="str">
        <x:v>Wave 2 — Core Planning Loop</x:v>
      </x:c>
      <x:c r="D58" s="40" t="str">
        <x:v>F. Task–Event Linking</x:v>
      </x:c>
      <x:c r="E58" s="40" t="str">
        <x:v>BR-F-005</x:v>
      </x:c>
      <x:c r="F58" s="40" t="str">
        <x:v>One report must not duplicate contributions through several links.</x:v>
      </x:c>
      <x:c r="G58" s="40" t="str">
        <x:v>Not Started</x:v>
      </x:c>
      <x:c r="H58" s="40"/>
    </x:row>
    <x:row r="59">
      <x:c r="A59" s="40" t="str">
        <x:v>VS-05</x:v>
      </x:c>
      <x:c r="B59" s="40" t="n">
        <x:v>5</x:v>
      </x:c>
      <x:c r="C59" s="40" t="str">
        <x:v>Wave 2 — Core Planning Loop</x:v>
      </x:c>
      <x:c r="D59" s="40" t="str">
        <x:v>F. Task–Event Linking</x:v>
      </x:c>
      <x:c r="E59" s="40" t="str">
        <x:v>BR-F-006</x:v>
      </x:c>
      <x:c r="F59" s="40" t="str">
        <x:v>Removing a link does not erase report or ledger history.</x:v>
      </x:c>
      <x:c r="G59" s="40" t="str">
        <x:v>Not Started</x:v>
      </x:c>
      <x:c r="H59" s="40"/>
    </x:row>
    <x:row r="60">
      <x:c r="A60" s="40" t="str">
        <x:v>VS-05</x:v>
      </x:c>
      <x:c r="B60" s="40" t="n">
        <x:v>5</x:v>
      </x:c>
      <x:c r="C60" s="40" t="str">
        <x:v>Wave 2 — Core Planning Loop</x:v>
      </x:c>
      <x:c r="D60" s="40" t="str">
        <x:v>F. Task–Event Linking</x:v>
      </x:c>
      <x:c r="E60" s="40" t="str">
        <x:v>BR-F-007</x:v>
      </x:c>
      <x:c r="F60" s="40" t="str">
        <x:v>Rescheduling preserves original relationship history.</x:v>
      </x:c>
      <x:c r="G60" s="40" t="str">
        <x:v>Not Started</x:v>
      </x:c>
      <x:c r="H60" s="40"/>
    </x:row>
    <x:row r="61">
      <x:c r="A61" s="40" t="str">
        <x:v>VS-05</x:v>
      </x:c>
      <x:c r="B61" s="40" t="n">
        <x:v>5</x:v>
      </x:c>
      <x:c r="C61" s="40" t="str">
        <x:v>Wave 2 — Core Planning Loop</x:v>
      </x:c>
      <x:c r="D61" s="40" t="str">
        <x:v>F. Task–Event Linking</x:v>
      </x:c>
      <x:c r="E61" s="40" t="str">
        <x:v>BR-F-008</x:v>
      </x:c>
      <x:c r="F61" s="40" t="str">
        <x:v>Series-level and occurrence-level links are distinguishable.</x:v>
      </x:c>
      <x:c r="G61" s="40" t="str">
        <x:v>Not Started</x:v>
      </x:c>
      <x:c r="H61" s="40"/>
    </x:row>
    <x:row r="62">
      <x:c r="A62" s="40" t="str">
        <x:v>VS-05</x:v>
      </x:c>
      <x:c r="B62" s="40" t="n">
        <x:v>5</x:v>
      </x:c>
      <x:c r="C62" s="40" t="str">
        <x:v>Wave 2 — Core Planning Loop</x:v>
      </x:c>
      <x:c r="D62" s="40" t="str">
        <x:v>F. Task–Event Linking</x:v>
      </x:c>
      <x:c r="E62" s="40" t="str">
        <x:v>BR-F-009</x:v>
      </x:c>
      <x:c r="F62" s="40" t="str">
        <x:v>Broken links do not infer status or progress.</x:v>
      </x:c>
      <x:c r="G62" s="40" t="str">
        <x:v>Not Started</x:v>
      </x:c>
      <x:c r="H62" s="40"/>
    </x:row>
    <x:row r="63">
      <x:c r="A63" s="40" t="str">
        <x:v>VS-05</x:v>
      </x:c>
      <x:c r="B63" s="40" t="n">
        <x:v>5</x:v>
      </x:c>
      <x:c r="C63" s="40" t="str">
        <x:v>Wave 2 — Core Planning Loop</x:v>
      </x:c>
      <x:c r="D63" s="40" t="str">
        <x:v>F. Task–Event Linking</x:v>
      </x:c>
      <x:c r="E63" s="40" t="str">
        <x:v>BR-F-010</x:v>
      </x:c>
      <x:c r="F63" s="40" t="str">
        <x:v>Linking operates offline.</x:v>
      </x:c>
      <x:c r="G63" s="40" t="str">
        <x:v>Not Started</x:v>
      </x:c>
      <x:c r="H63" s="40"/>
    </x:row>
    <x:row r="64">
      <x:c r="A64" s="40" t="str">
        <x:v>VS-06</x:v>
      </x:c>
      <x:c r="B64" s="40" t="n">
        <x:v>6</x:v>
      </x:c>
      <x:c r="C64" s="40" t="str">
        <x:v>Wave 2 — Core Planning Loop</x:v>
      </x:c>
      <x:c r="D64" s="40" t="str">
        <x:v>G. Event and Task Outcome Reporting</x:v>
      </x:c>
      <x:c r="E64" s="40" t="str">
        <x:v>BR-G-001</x:v>
      </x:c>
      <x:c r="F64" s="40" t="str">
        <x:v>Event happened outcomes come only from valid Event Reports.</x:v>
      </x:c>
      <x:c r="G64" s="40" t="str">
        <x:v>Not Started</x:v>
      </x:c>
      <x:c r="H64" s="40"/>
    </x:row>
    <x:row r="65">
      <x:c r="A65" s="40" t="str">
        <x:v>VS-06</x:v>
      </x:c>
      <x:c r="B65" s="40" t="n">
        <x:v>6</x:v>
      </x:c>
      <x:c r="C65" s="40" t="str">
        <x:v>Wave 2 — Core Planning Loop</x:v>
      </x:c>
      <x:c r="D65" s="40" t="str">
        <x:v>G. Event and Task Outcome Reporting</x:v>
      </x:c>
      <x:c r="E65" s="40" t="str">
        <x:v>BR-G-002</x:v>
      </x:c>
      <x:c r="F65" s="40" t="str">
        <x:v>Scheduled, Cancelled, and Rescheduled are not happened reports.</x:v>
      </x:c>
      <x:c r="G65" s="40" t="str">
        <x:v>Not Started</x:v>
      </x:c>
      <x:c r="H65" s="40"/>
    </x:row>
    <x:row r="66">
      <x:c r="A66" s="40" t="str">
        <x:v>VS-06</x:v>
      </x:c>
      <x:c r="B66" s="40" t="n">
        <x:v>6</x:v>
      </x:c>
      <x:c r="C66" s="40" t="str">
        <x:v>Wave 2 — Core Planning Loop</x:v>
      </x:c>
      <x:c r="D66" s="40" t="str">
        <x:v>G. Event and Task Outcome Reporting</x:v>
      </x:c>
      <x:c r="E66" s="40" t="str">
        <x:v>BR-G-003</x:v>
      </x:c>
      <x:c r="F66" s="40" t="str">
        <x:v>Draft reports create no status or Actual effect.</x:v>
      </x:c>
      <x:c r="G66" s="40" t="str">
        <x:v>Not Started</x:v>
      </x:c>
      <x:c r="H66" s="40"/>
    </x:row>
    <x:row r="67">
      <x:c r="A67" s="40" t="str">
        <x:v>VS-06</x:v>
      </x:c>
      <x:c r="B67" s="40" t="n">
        <x:v>6</x:v>
      </x:c>
      <x:c r="C67" s="40" t="str">
        <x:v>Wave 2 — Core Planning Loop</x:v>
      </x:c>
      <x:c r="D67" s="40" t="str">
        <x:v>G. Event and Task Outcome Reporting</x:v>
      </x:c>
      <x:c r="E67" s="40" t="str">
        <x:v>BR-G-004</x:v>
      </x:c>
      <x:c r="F67" s="40" t="str">
        <x:v>One source reporting slot has one effective report at a time.</x:v>
      </x:c>
      <x:c r="G67" s="40" t="str">
        <x:v>Not Started</x:v>
      </x:c>
      <x:c r="H67" s="40"/>
    </x:row>
    <x:row r="68">
      <x:c r="A68" s="40" t="str">
        <x:v>VS-06</x:v>
      </x:c>
      <x:c r="B68" s="40" t="n">
        <x:v>6</x:v>
      </x:c>
      <x:c r="C68" s="40" t="str">
        <x:v>Wave 2 — Core Planning Loop</x:v>
      </x:c>
      <x:c r="D68" s="40" t="str">
        <x:v>G. Event and Task Outcome Reporting</x:v>
      </x:c>
      <x:c r="E68" s="40" t="str">
        <x:v>BR-G-005</x:v>
      </x:c>
      <x:c r="F68" s="40" t="str">
        <x:v>Required Task reporting must succeed coherently with completion.</x:v>
      </x:c>
      <x:c r="G68" s="40" t="str">
        <x:v>Not Started</x:v>
      </x:c>
      <x:c r="H68" s="40"/>
    </x:row>
    <x:row r="69">
      <x:c r="A69" s="40" t="str">
        <x:v>VS-06</x:v>
      </x:c>
      <x:c r="B69" s="40" t="n">
        <x:v>6</x:v>
      </x:c>
      <x:c r="C69" s="40" t="str">
        <x:v>Wave 2 — Core Planning Loop</x:v>
      </x:c>
      <x:c r="D69" s="40" t="str">
        <x:v>G. Event and Task Outcome Reporting</x:v>
      </x:c>
      <x:c r="E69" s="40" t="str">
        <x:v>BR-G-006</x:v>
      </x:c>
      <x:c r="F69" s="40" t="str">
        <x:v>Partial completion uses structured factual values.</x:v>
      </x:c>
      <x:c r="G69" s="40" t="str">
        <x:v>Not Started</x:v>
      </x:c>
      <x:c r="H69" s="40"/>
    </x:row>
    <x:row r="70">
      <x:c r="A70" s="40" t="str">
        <x:v>VS-06</x:v>
      </x:c>
      <x:c r="B70" s="40" t="n">
        <x:v>6</x:v>
      </x:c>
      <x:c r="C70" s="40" t="str">
        <x:v>Wave 2 — Core Planning Loop</x:v>
      </x:c>
      <x:c r="D70" s="40" t="str">
        <x:v>G. Event and Task Outcome Reporting</x:v>
      </x:c>
      <x:c r="E70" s="40" t="str">
        <x:v>BR-G-007</x:v>
      </x:c>
      <x:c r="F70" s="40" t="str">
        <x:v>Corrections preserve original reports and use reversal and replacement.</x:v>
      </x:c>
      <x:c r="G70" s="40" t="str">
        <x:v>Not Started</x:v>
      </x:c>
      <x:c r="H70" s="40"/>
    </x:row>
    <x:row r="71">
      <x:c r="A71" s="40" t="str">
        <x:v>VS-06</x:v>
      </x:c>
      <x:c r="B71" s="40" t="n">
        <x:v>6</x:v>
      </x:c>
      <x:c r="C71" s="40" t="str">
        <x:v>Wave 2 — Core Planning Loop</x:v>
      </x:c>
      <x:c r="D71" s="40" t="str">
        <x:v>G. Event and Task Outcome Reporting</x:v>
      </x:c>
      <x:c r="E71" s="40" t="str">
        <x:v>BR-G-008</x:v>
      </x:c>
      <x:c r="F71" s="40" t="str">
        <x:v>Retries are idempotent.</x:v>
      </x:c>
      <x:c r="G71" s="40" t="str">
        <x:v>Not Started</x:v>
      </x:c>
      <x:c r="H71" s="40"/>
    </x:row>
    <x:row r="72">
      <x:c r="A72" s="40" t="str">
        <x:v>VS-06</x:v>
      </x:c>
      <x:c r="B72" s="40" t="n">
        <x:v>6</x:v>
      </x:c>
      <x:c r="C72" s="40" t="str">
        <x:v>Wave 2 — Core Planning Loop</x:v>
      </x:c>
      <x:c r="D72" s="40" t="str">
        <x:v>G. Event and Task Outcome Reporting</x:v>
      </x:c>
      <x:c r="E72" s="40" t="str">
        <x:v>BR-G-009</x:v>
      </x:c>
      <x:c r="F72" s="40" t="str">
        <x:v>Report classification is explicit, not title-based.</x:v>
      </x:c>
      <x:c r="G72" s="40" t="str">
        <x:v>Not Started</x:v>
      </x:c>
      <x:c r="H72" s="40"/>
    </x:row>
    <x:row r="73">
      <x:c r="A73" s="40" t="str">
        <x:v>VS-06</x:v>
      </x:c>
      <x:c r="B73" s="40" t="n">
        <x:v>6</x:v>
      </x:c>
      <x:c r="C73" s="40" t="str">
        <x:v>Wave 2 — Core Planning Loop</x:v>
      </x:c>
      <x:c r="D73" s="40" t="str">
        <x:v>G. Event and Task Outcome Reporting</x:v>
      </x:c>
      <x:c r="E73" s="40" t="str">
        <x:v>BR-G-010</x:v>
      </x:c>
      <x:c r="F73" s="40" t="str">
        <x:v>Reporting works offline.</x:v>
      </x:c>
      <x:c r="G73" s="40" t="str">
        <x:v>Not Started</x:v>
      </x:c>
      <x:c r="H73" s="40"/>
    </x:row>
    <x:row r="74">
      <x:c r="A74" s="40" t="str">
        <x:v>VS-06</x:v>
      </x:c>
      <x:c r="B74" s="40" t="n">
        <x:v>6</x:v>
      </x:c>
      <x:c r="C74" s="40" t="str">
        <x:v>Wave 2 — Core Planning Loop</x:v>
      </x:c>
      <x:c r="D74" s="40" t="str">
        <x:v>H. Activity Ledger and Contribution History</x:v>
      </x:c>
      <x:c r="E74" s="40" t="str">
        <x:v>BR-H-001</x:v>
      </x:c>
      <x:c r="F74" s="40" t="str">
        <x:v>The Activity Ledger is the canonical source of Actual.</x:v>
      </x:c>
      <x:c r="G74" s="40" t="str">
        <x:v>Not Started</x:v>
      </x:c>
      <x:c r="H74" s="40"/>
    </x:row>
    <x:row r="75">
      <x:c r="A75" s="40" t="str">
        <x:v>VS-06</x:v>
      </x:c>
      <x:c r="B75" s="40" t="n">
        <x:v>6</x:v>
      </x:c>
      <x:c r="C75" s="40" t="str">
        <x:v>Wave 2 — Core Planning Loop</x:v>
      </x:c>
      <x:c r="D75" s="40" t="str">
        <x:v>H. Activity Ledger and Contribution History</x:v>
      </x:c>
      <x:c r="E75" s="40" t="str">
        <x:v>BR-H-002</x:v>
      </x:c>
      <x:c r="F75" s="40" t="str">
        <x:v>Users cannot directly edit Actual or raw ledger rows.</x:v>
      </x:c>
      <x:c r="G75" s="40" t="str">
        <x:v>Not Started</x:v>
      </x:c>
      <x:c r="H75" s="40"/>
    </x:row>
    <x:row r="76">
      <x:c r="A76" s="40" t="str">
        <x:v>VS-06</x:v>
      </x:c>
      <x:c r="B76" s="40" t="n">
        <x:v>6</x:v>
      </x:c>
      <x:c r="C76" s="40" t="str">
        <x:v>Wave 2 — Core Planning Loop</x:v>
      </x:c>
      <x:c r="D76" s="40" t="str">
        <x:v>H. Activity Ledger and Contribution History</x:v>
      </x:c>
      <x:c r="E76" s="40" t="str">
        <x:v>BR-H-003</x:v>
      </x:c>
      <x:c r="F76" s="40" t="str">
        <x:v>Every contribution has indicator, value, unit, activity date, source report, and rule identity.</x:v>
      </x:c>
      <x:c r="G76" s="40" t="str">
        <x:v>Not Started</x:v>
      </x:c>
      <x:c r="H76" s="40"/>
    </x:row>
    <x:row r="77">
      <x:c r="A77" s="40" t="str">
        <x:v>VS-06</x:v>
      </x:c>
      <x:c r="B77" s="40" t="n">
        <x:v>6</x:v>
      </x:c>
      <x:c r="C77" s="40" t="str">
        <x:v>Wave 2 — Core Planning Loop</x:v>
      </x:c>
      <x:c r="D77" s="40" t="str">
        <x:v>H. Activity Ledger and Contribution History</x:v>
      </x:c>
      <x:c r="E77" s="40" t="str">
        <x:v>BR-H-004</x:v>
      </x:c>
      <x:c r="F77" s="40" t="str">
        <x:v>Scheduled Potential never posts to the ledger merely because it is scheduled.</x:v>
      </x:c>
      <x:c r="G77" s="40" t="str">
        <x:v>Not Started</x:v>
      </x:c>
      <x:c r="H77" s="40"/>
    </x:row>
    <x:row r="78">
      <x:c r="A78" s="40" t="str">
        <x:v>VS-06</x:v>
      </x:c>
      <x:c r="B78" s="40" t="n">
        <x:v>6</x:v>
      </x:c>
      <x:c r="C78" s="40" t="str">
        <x:v>Wave 2 — Core Planning Loop</x:v>
      </x:c>
      <x:c r="D78" s="40" t="str">
        <x:v>H. Activity Ledger and Contribution History</x:v>
      </x:c>
      <x:c r="E78" s="40" t="str">
        <x:v>BR-H-005</x:v>
      </x:c>
      <x:c r="F78" s="40" t="str">
        <x:v>Duplicate source-rule application is prohibited.</x:v>
      </x:c>
      <x:c r="G78" s="40" t="str">
        <x:v>Not Started</x:v>
      </x:c>
      <x:c r="H78" s="40"/>
    </x:row>
    <x:row r="79">
      <x:c r="A79" s="40" t="str">
        <x:v>VS-06</x:v>
      </x:c>
      <x:c r="B79" s="40" t="n">
        <x:v>6</x:v>
      </x:c>
      <x:c r="C79" s="40" t="str">
        <x:v>Wave 2 — Core Planning Loop</x:v>
      </x:c>
      <x:c r="D79" s="40" t="str">
        <x:v>H. Activity Ledger and Contribution History</x:v>
      </x:c>
      <x:c r="E79" s="40" t="str">
        <x:v>BR-H-006</x:v>
      </x:c>
      <x:c r="F79" s="40" t="str">
        <x:v>Corrections use reversals and replacements.</x:v>
      </x:c>
      <x:c r="G79" s="40" t="str">
        <x:v>Not Started</x:v>
      </x:c>
      <x:c r="H79" s="40"/>
    </x:row>
    <x:row r="80">
      <x:c r="A80" s="40" t="str">
        <x:v>VS-06</x:v>
      </x:c>
      <x:c r="B80" s="40" t="n">
        <x:v>6</x:v>
      </x:c>
      <x:c r="C80" s="40" t="str">
        <x:v>Wave 2 — Core Planning Loop</x:v>
      </x:c>
      <x:c r="D80" s="40" t="str">
        <x:v>H. Activity Ledger and Contribution History</x:v>
      </x:c>
      <x:c r="E80" s="40" t="str">
        <x:v>BR-H-007</x:v>
      </x:c>
      <x:c r="F80" s="40" t="str">
        <x:v>Reversed history remains visible.</x:v>
      </x:c>
      <x:c r="G80" s="40" t="str">
        <x:v>Not Started</x:v>
      </x:c>
      <x:c r="H80" s="40"/>
    </x:row>
    <x:row r="81">
      <x:c r="A81" s="40" t="str">
        <x:v>VS-06</x:v>
      </x:c>
      <x:c r="B81" s="40" t="n">
        <x:v>6</x:v>
      </x:c>
      <x:c r="C81" s="40" t="str">
        <x:v>Wave 2 — Core Planning Loop</x:v>
      </x:c>
      <x:c r="D81" s="40" t="str">
        <x:v>H. Activity Ledger and Contribution History</x:v>
      </x:c>
      <x:c r="E81" s="40" t="str">
        <x:v>BR-H-008</x:v>
      </x:c>
      <x:c r="F81" s="40" t="str">
        <x:v>Activity date determines the contribution period.</x:v>
      </x:c>
      <x:c r="G81" s="40" t="str">
        <x:v>Not Started</x:v>
      </x:c>
      <x:c r="H81" s="40"/>
    </x:row>
    <x:row r="82">
      <x:c r="A82" s="40" t="str">
        <x:v>VS-06</x:v>
      </x:c>
      <x:c r="B82" s="40" t="n">
        <x:v>6</x:v>
      </x:c>
      <x:c r="C82" s="40" t="str">
        <x:v>Wave 2 — Core Planning Loop</x:v>
      </x:c>
      <x:c r="D82" s="40" t="str">
        <x:v>H. Activity Ledger and Contribution History</x:v>
      </x:c>
      <x:c r="E82" s="40" t="str">
        <x:v>BR-H-009</x:v>
      </x:c>
      <x:c r="F82" s="40" t="str">
        <x:v>Archived planning sources do not erase ledger history.</x:v>
      </x:c>
      <x:c r="G82" s="40" t="str">
        <x:v>Not Started</x:v>
      </x:c>
      <x:c r="H82" s="40"/>
    </x:row>
    <x:row r="83">
      <x:c r="A83" s="40" t="str">
        <x:v>VS-06</x:v>
      </x:c>
      <x:c r="B83" s="40" t="n">
        <x:v>6</x:v>
      </x:c>
      <x:c r="C83" s="40" t="str">
        <x:v>Wave 2 — Core Planning Loop</x:v>
      </x:c>
      <x:c r="D83" s="40" t="str">
        <x:v>H. Activity Ledger and Contribution History</x:v>
      </x:c>
      <x:c r="E83" s="40" t="str">
        <x:v>BR-H-010</x:v>
      </x:c>
      <x:c r="F83" s="40" t="str">
        <x:v>Projections rebuild from canonical ledger history.</x:v>
      </x:c>
      <x:c r="G83" s="40" t="str">
        <x:v>Not Started</x:v>
      </x:c>
      <x:c r="H83" s="40"/>
    </x:row>
    <x:row r="84">
      <x:c r="A84" s="40" t="str">
        <x:v>VS-08</x:v>
      </x:c>
      <x:c r="B84" s="40" t="n">
        <x:v>8</x:v>
      </x:c>
      <x:c r="C84" s="40" t="str">
        <x:v>Wave 2 — Core Planning Loop</x:v>
      </x:c>
      <x:c r="D84" s="40" t="str">
        <x:v>I. Weekly Planning</x:v>
      </x:c>
      <x:c r="E84" s="40" t="str">
        <x:v>BR-I-001</x:v>
      </x:c>
      <x:c r="F84" s="40" t="str">
        <x:v>One effective Weekly Plan exists per Local Profile and weekly period.</x:v>
      </x:c>
      <x:c r="G84" s="40" t="str">
        <x:v>Not Started</x:v>
      </x:c>
      <x:c r="H84" s="40"/>
    </x:row>
    <x:row r="85">
      <x:c r="A85" s="40" t="str">
        <x:v>VS-08</x:v>
      </x:c>
      <x:c r="B85" s="40" t="n">
        <x:v>8</x:v>
      </x:c>
      <x:c r="C85" s="40" t="str">
        <x:v>Wave 2 — Core Planning Loop</x:v>
      </x:c>
      <x:c r="D85" s="40" t="str">
        <x:v>I. Weekly Planning</x:v>
      </x:c>
      <x:c r="E85" s="40" t="str">
        <x:v>BR-I-002</x:v>
      </x:c>
      <x:c r="F85" s="40" t="str">
        <x:v>Weekly Targets are user-controlled and separate from Actual.</x:v>
      </x:c>
      <x:c r="G85" s="40" t="str">
        <x:v>Not Started</x:v>
      </x:c>
      <x:c r="H85" s="40"/>
    </x:row>
    <x:row r="86">
      <x:c r="A86" s="40" t="str">
        <x:v>VS-08</x:v>
      </x:c>
      <x:c r="B86" s="40" t="n">
        <x:v>8</x:v>
      </x:c>
      <x:c r="C86" s="40" t="str">
        <x:v>Wave 2 — Core Planning Loop</x:v>
      </x:c>
      <x:c r="D86" s="40" t="str">
        <x:v>I. Weekly Planning</x:v>
      </x:c>
      <x:c r="E86" s="40" t="str">
        <x:v>BR-I-003</x:v>
      </x:c>
      <x:c r="F86" s="40" t="str">
        <x:v>Zero differs from Not set.</x:v>
      </x:c>
      <x:c r="G86" s="40" t="str">
        <x:v>Not Started</x:v>
      </x:c>
      <x:c r="H86" s="40"/>
    </x:row>
    <x:row r="87">
      <x:c r="A87" s="40" t="str">
        <x:v>VS-08</x:v>
      </x:c>
      <x:c r="B87" s="40" t="n">
        <x:v>8</x:v>
      </x:c>
      <x:c r="C87" s="40" t="str">
        <x:v>Wave 2 — Core Planning Loop</x:v>
      </x:c>
      <x:c r="D87" s="40" t="str">
        <x:v>I. Weekly Planning</x:v>
      </x:c>
      <x:c r="E87" s="40" t="str">
        <x:v>BR-I-004</x:v>
      </x:c>
      <x:c r="F87" s="40" t="str">
        <x:v>Target revisions remain traceable.</x:v>
      </x:c>
      <x:c r="G87" s="40" t="str">
        <x:v>Not Started</x:v>
      </x:c>
      <x:c r="H87" s="40"/>
    </x:row>
    <x:row r="88">
      <x:c r="A88" s="40" t="str">
        <x:v>VS-08</x:v>
      </x:c>
      <x:c r="B88" s="40" t="n">
        <x:v>8</x:v>
      </x:c>
      <x:c r="C88" s="40" t="str">
        <x:v>Wave 2 — Core Planning Loop</x:v>
      </x:c>
      <x:c r="D88" s="40" t="str">
        <x:v>I. Weekly Planning</x:v>
      </x:c>
      <x:c r="E88" s="40" t="str">
        <x:v>BR-I-005</x:v>
      </x:c>
      <x:c r="F88" s="40" t="str">
        <x:v>Actual and Scheduled Potential remain separate.</x:v>
      </x:c>
      <x:c r="G88" s="40" t="str">
        <x:v>Not Started</x:v>
      </x:c>
      <x:c r="H88" s="40"/>
    </x:row>
    <x:row r="89">
      <x:c r="A89" s="40" t="str">
        <x:v>VS-08</x:v>
      </x:c>
      <x:c r="B89" s="40" t="n">
        <x:v>8</x:v>
      </x:c>
      <x:c r="C89" s="40" t="str">
        <x:v>Wave 2 — Core Planning Loop</x:v>
      </x:c>
      <x:c r="D89" s="40" t="str">
        <x:v>I. Weekly Planning</x:v>
      </x:c>
      <x:c r="E89" s="40" t="str">
        <x:v>BR-I-006</x:v>
      </x:c>
      <x:c r="F89" s="40" t="str">
        <x:v>Review Due is an attention state.</x:v>
      </x:c>
      <x:c r="G89" s="40" t="str">
        <x:v>Not Started</x:v>
      </x:c>
      <x:c r="H89" s="40"/>
    </x:row>
    <x:row r="90">
      <x:c r="A90" s="40" t="str">
        <x:v>VS-08</x:v>
      </x:c>
      <x:c r="B90" s="40" t="n">
        <x:v>8</x:v>
      </x:c>
      <x:c r="C90" s="40" t="str">
        <x:v>Wave 2 — Core Planning Loop</x:v>
      </x:c>
      <x:c r="D90" s="40" t="str">
        <x:v>I. Weekly Planning</x:v>
      </x:c>
      <x:c r="E90" s="40" t="str">
        <x:v>BR-I-007</x:v>
      </x:c>
      <x:c r="F90" s="40" t="str">
        <x:v>Late valid reports may update historical Actual with post-review disclosure.</x:v>
      </x:c>
      <x:c r="G90" s="40" t="str">
        <x:v>Not Started</x:v>
      </x:c>
      <x:c r="H90" s="40"/>
    </x:row>
    <x:row r="91">
      <x:c r="A91" s="40" t="str">
        <x:v>VS-08</x:v>
      </x:c>
      <x:c r="B91" s="40" t="n">
        <x:v>8</x:v>
      </x:c>
      <x:c r="C91" s="40" t="str">
        <x:v>Wave 2 — Core Planning Loop</x:v>
      </x:c>
      <x:c r="D91" s="40" t="str">
        <x:v>I. Weekly Planning</x:v>
      </x:c>
      <x:c r="E91" s="40" t="str">
        <x:v>BR-I-008</x:v>
      </x:c>
      <x:c r="F91" s="40" t="str">
        <x:v>Task carryover is explicit.</x:v>
      </x:c>
      <x:c r="G91" s="40" t="str">
        <x:v>Not Started</x:v>
      </x:c>
      <x:c r="H91" s="40"/>
    </x:row>
    <x:row r="92">
      <x:c r="A92" s="40" t="str">
        <x:v>VS-08</x:v>
      </x:c>
      <x:c r="B92" s="40" t="n">
        <x:v>8</x:v>
      </x:c>
      <x:c r="C92" s="40" t="str">
        <x:v>Wave 2 — Core Planning Loop</x:v>
      </x:c>
      <x:c r="D92" s="40" t="str">
        <x:v>I. Weekly Planning</x:v>
      </x:c>
      <x:c r="E92" s="40" t="str">
        <x:v>BR-I-009</x:v>
      </x:c>
      <x:c r="F92" s="40" t="str">
        <x:v>Calendar Events do not carry over automatically.</x:v>
      </x:c>
      <x:c r="G92" s="40" t="str">
        <x:v>Not Started</x:v>
      </x:c>
      <x:c r="H92" s="40"/>
    </x:row>
    <x:row r="93">
      <x:c r="A93" s="40" t="str">
        <x:v>VS-08</x:v>
      </x:c>
      <x:c r="B93" s="40" t="n">
        <x:v>8</x:v>
      </x:c>
      <x:c r="C93" s="40" t="str">
        <x:v>Wave 2 — Core Planning Loop</x:v>
      </x:c>
      <x:c r="D93" s="40" t="str">
        <x:v>I. Weekly Planning</x:v>
      </x:c>
      <x:c r="E93" s="40" t="str">
        <x:v>BR-I-010</x:v>
      </x:c>
      <x:c r="F93" s="40" t="str">
        <x:v>Prior Weekly Plans remain historical and accessible.</x:v>
      </x:c>
      <x:c r="G93" s="40" t="str">
        <x:v>Not Started</x:v>
      </x:c>
      <x:c r="H93" s="40"/>
    </x:row>
    <x:row r="94">
      <x:c r="A94" s="40" t="str">
        <x:v>VS-09</x:v>
      </x:c>
      <x:c r="B94" s="40" t="n">
        <x:v>9</x:v>
      </x:c>
      <x:c r="C94" s="40" t="str">
        <x:v>Wave 3 — Pathways and Life Administration</x:v>
      </x:c>
      <x:c r="D94" s="40" t="str">
        <x:v>J. Pathways, Goals, and Milestones</x:v>
      </x:c>
      <x:c r="E94" s="40" t="str">
        <x:v>BR-J-001</x:v>
      </x:c>
      <x:c r="F94" s="40" t="str">
        <x:v>Pathway, Goal, and Milestone remain separate records.</x:v>
      </x:c>
      <x:c r="G94" s="40" t="str">
        <x:v>Not Started</x:v>
      </x:c>
      <x:c r="H94" s="40"/>
    </x:row>
    <x:row r="95">
      <x:c r="A95" s="40" t="str">
        <x:v>VS-09</x:v>
      </x:c>
      <x:c r="B95" s="40" t="n">
        <x:v>9</x:v>
      </x:c>
      <x:c r="C95" s="40" t="str">
        <x:v>Wave 3 — Pathways and Life Administration</x:v>
      </x:c>
      <x:c r="D95" s="40" t="str">
        <x:v>J. Pathways, Goals, and Milestones</x:v>
      </x:c>
      <x:c r="E95" s="40" t="str">
        <x:v>BR-J-002</x:v>
      </x:c>
      <x:c r="F95" s="40" t="str">
        <x:v>Completion methods are explicit and factual.</x:v>
      </x:c>
      <x:c r="G95" s="40" t="str">
        <x:v>Not Started</x:v>
      </x:c>
      <x:c r="H95" s="40"/>
    </x:row>
    <x:row r="96">
      <x:c r="A96" s="40" t="str">
        <x:v>VS-09</x:v>
      </x:c>
      <x:c r="B96" s="40" t="n">
        <x:v>9</x:v>
      </x:c>
      <x:c r="C96" s="40" t="str">
        <x:v>Wave 3 — Pathways and Life Administration</x:v>
      </x:c>
      <x:c r="D96" s="40" t="str">
        <x:v>J. Pathways, Goals, and Milestones</x:v>
      </x:c>
      <x:c r="E96" s="40" t="str">
        <x:v>BR-J-003</x:v>
      </x:c>
      <x:c r="F96" s="40" t="str">
        <x:v>Titles and free-text notes do not establish progress.</x:v>
      </x:c>
      <x:c r="G96" s="40" t="str">
        <x:v>Not Started</x:v>
      </x:c>
      <x:c r="H96" s="40"/>
    </x:row>
    <x:row r="97">
      <x:c r="A97" s="40" t="str">
        <x:v>VS-09</x:v>
      </x:c>
      <x:c r="B97" s="40" t="n">
        <x:v>9</x:v>
      </x:c>
      <x:c r="C97" s="40" t="str">
        <x:v>Wave 3 — Pathways and Life Administration</x:v>
      </x:c>
      <x:c r="D97" s="40" t="str">
        <x:v>J. Pathways, Goals, and Milestones</x:v>
      </x:c>
      <x:c r="E97" s="40" t="str">
        <x:v>BR-J-004</x:v>
      </x:c>
      <x:c r="F97" s="40" t="str">
        <x:v>Unexplained percentages are prohibited.</x:v>
      </x:c>
      <x:c r="G97" s="40" t="str">
        <x:v>Not Started</x:v>
      </x:c>
      <x:c r="H97" s="40"/>
    </x:row>
    <x:row r="98">
      <x:c r="A98" s="40" t="str">
        <x:v>VS-09</x:v>
      </x:c>
      <x:c r="B98" s="40" t="n">
        <x:v>9</x:v>
      </x:c>
      <x:c r="C98" s="40" t="str">
        <x:v>Wave 3 — Pathways and Life Administration</x:v>
      </x:c>
      <x:c r="D98" s="40" t="str">
        <x:v>J. Pathways, Goals, and Milestones</x:v>
      </x:c>
      <x:c r="E98" s="40" t="str">
        <x:v>BR-J-005</x:v>
      </x:c>
      <x:c r="F98" s="40" t="str">
        <x:v>Pausing does not cancel linked records.</x:v>
      </x:c>
      <x:c r="G98" s="40" t="str">
        <x:v>Not Started</x:v>
      </x:c>
      <x:c r="H98" s="40"/>
    </x:row>
    <x:row r="99">
      <x:c r="A99" s="40" t="str">
        <x:v>VS-09</x:v>
      </x:c>
      <x:c r="B99" s="40" t="n">
        <x:v>9</x:v>
      </x:c>
      <x:c r="C99" s="40" t="str">
        <x:v>Wave 3 — Pathways and Life Administration</x:v>
      </x:c>
      <x:c r="D99" s="40" t="str">
        <x:v>J. Pathways, Goals, and Milestones</x:v>
      </x:c>
      <x:c r="E99" s="40" t="str">
        <x:v>BR-J-006</x:v>
      </x:c>
      <x:c r="F99" s="40" t="str">
        <x:v>Archiving does not erase history.</x:v>
      </x:c>
      <x:c r="G99" s="40" t="str">
        <x:v>Not Started</x:v>
      </x:c>
      <x:c r="H99" s="40"/>
    </x:row>
    <x:row r="100">
      <x:c r="A100" s="40" t="str">
        <x:v>VS-09</x:v>
      </x:c>
      <x:c r="B100" s="40" t="n">
        <x:v>9</x:v>
      </x:c>
      <x:c r="C100" s="40" t="str">
        <x:v>Wave 3 — Pathways and Life Administration</x:v>
      </x:c>
      <x:c r="D100" s="40" t="str">
        <x:v>J. Pathways, Goals, and Milestones</x:v>
      </x:c>
      <x:c r="E100" s="40" t="str">
        <x:v>BR-J-007</x:v>
      </x:c>
      <x:c r="F100" s="40" t="str">
        <x:v>Reopening preserves prior completion history.</x:v>
      </x:c>
      <x:c r="G100" s="40" t="str">
        <x:v>Not Started</x:v>
      </x:c>
      <x:c r="H100" s="40"/>
    </x:row>
    <x:row r="101">
      <x:c r="A101" s="40" t="str">
        <x:v>VS-09</x:v>
      </x:c>
      <x:c r="B101" s="40" t="n">
        <x:v>9</x:v>
      </x:c>
      <x:c r="C101" s="40" t="str">
        <x:v>Wave 3 — Pathways and Life Administration</x:v>
      </x:c>
      <x:c r="D101" s="40" t="str">
        <x:v>J. Pathways, Goals, and Milestones</x:v>
      </x:c>
      <x:c r="E101" s="40" t="str">
        <x:v>BR-J-008</x:v>
      </x:c>
      <x:c r="F101" s="40" t="str">
        <x:v>Bundled content updates preserve user state.</x:v>
      </x:c>
      <x:c r="G101" s="40" t="str">
        <x:v>Not Started</x:v>
      </x:c>
      <x:c r="H101" s="40"/>
    </x:row>
    <x:row r="102">
      <x:c r="A102" s="40" t="str">
        <x:v>VS-09</x:v>
      </x:c>
      <x:c r="B102" s="40" t="n">
        <x:v>9</x:v>
      </x:c>
      <x:c r="C102" s="40" t="str">
        <x:v>Wave 3 — Pathways and Life Administration</x:v>
      </x:c>
      <x:c r="D102" s="40" t="str">
        <x:v>J. Pathways, Goals, and Milestones</x:v>
      </x:c>
      <x:c r="E102" s="40" t="str">
        <x:v>BR-J-009</x:v>
      </x:c>
      <x:c r="F102" s="40" t="str">
        <x:v>Private reflections do not affect progress.</x:v>
      </x:c>
      <x:c r="G102" s="40" t="str">
        <x:v>Not Started</x:v>
      </x:c>
      <x:c r="H102" s="40"/>
    </x:row>
    <x:row r="103">
      <x:c r="A103" s="40" t="str">
        <x:v>VS-09</x:v>
      </x:c>
      <x:c r="B103" s="40" t="n">
        <x:v>9</x:v>
      </x:c>
      <x:c r="C103" s="40" t="str">
        <x:v>Wave 3 — Pathways and Life Administration</x:v>
      </x:c>
      <x:c r="D103" s="40" t="str">
        <x:v>J. Pathways, Goals, and Milestones</x:v>
      </x:c>
      <x:c r="E103" s="40" t="str">
        <x:v>BR-J-010</x:v>
      </x:c>
      <x:c r="F103" s="40" t="str">
        <x:v>Covenant Path cannot score or share spiritual quality.</x:v>
      </x:c>
      <x:c r="G103" s="40" t="str">
        <x:v>Not Started</x:v>
      </x:c>
      <x:c r="H103" s="40"/>
    </x:row>
    <x:row r="104">
      <x:c r="A104" s="40" t="str">
        <x:v>VS-10</x:v>
      </x:c>
      <x:c r="B104" s="40" t="n">
        <x:v>10</x:v>
      </x:c>
      <x:c r="C104" s="40" t="str">
        <x:v>Wave 3 — Pathways and Life Administration</x:v>
      </x:c>
      <x:c r="D104" s="40" t="str">
        <x:v>K. Covenant Path</x:v>
      </x:c>
      <x:c r="E104" s="40" t="str">
        <x:v>BR-K-001</x:v>
      </x:c>
      <x:c r="F104" s="40" t="str">
        <x:v>Covenant Path is private, optional, and nonauthoritative.</x:v>
      </x:c>
      <x:c r="G104" s="40" t="str">
        <x:v>Not Started</x:v>
      </x:c>
      <x:c r="H104" s="40"/>
    </x:row>
    <x:row r="105">
      <x:c r="A105" s="40" t="str">
        <x:v>VS-10</x:v>
      </x:c>
      <x:c r="B105" s="40" t="n">
        <x:v>10</x:v>
      </x:c>
      <x:c r="C105" s="40" t="str">
        <x:v>Wave 3 — Pathways and Life Administration</x:v>
      </x:c>
      <x:c r="D105" s="40" t="str">
        <x:v>K. Covenant Path</x:v>
      </x:c>
      <x:c r="E105" s="40" t="str">
        <x:v>BR-K-002</x:v>
      </x:c>
      <x:c r="F105" s="40" t="str">
        <x:v>It does not replace Church leaders, priesthood keys, official resources, or personal revelation.</x:v>
      </x:c>
      <x:c r="G105" s="40" t="str">
        <x:v>Not Started</x:v>
      </x:c>
      <x:c r="H105" s="40"/>
    </x:row>
    <x:row r="106">
      <x:c r="A106" s="40" t="str">
        <x:v>VS-10</x:v>
      </x:c>
      <x:c r="B106" s="40" t="n">
        <x:v>10</x:v>
      </x:c>
      <x:c r="C106" s="40" t="str">
        <x:v>Wave 3 — Pathways and Life Administration</x:v>
      </x:c>
      <x:c r="D106" s="40" t="str">
        <x:v>K. Covenant Path</x:v>
      </x:c>
      <x:c r="E106" s="40" t="str">
        <x:v>BR-K-003</x:v>
      </x:c>
      <x:c r="F106" s="40" t="str">
        <x:v>It must not score worthiness, righteousness, testimony, or spiritual quality.</x:v>
      </x:c>
      <x:c r="G106" s="40" t="str">
        <x:v>Not Started</x:v>
      </x:c>
      <x:c r="H106" s="40"/>
    </x:row>
    <x:row r="107">
      <x:c r="A107" s="40" t="str">
        <x:v>VS-10</x:v>
      </x:c>
      <x:c r="B107" s="40" t="n">
        <x:v>10</x:v>
      </x:c>
      <x:c r="C107" s="40" t="str">
        <x:v>Wave 3 — Pathways and Life Administration</x:v>
      </x:c>
      <x:c r="D107" s="40" t="str">
        <x:v>K. Covenant Path</x:v>
      </x:c>
      <x:c r="E107" s="40" t="str">
        <x:v>BR-K-004</x:v>
      </x:c>
      <x:c r="F107" s="40" t="str">
        <x:v>Suggested activities are optional and nonjudgmental.</x:v>
      </x:c>
      <x:c r="G107" s="40" t="str">
        <x:v>Not Started</x:v>
      </x:c>
      <x:c r="H107" s="40"/>
    </x:row>
    <x:row r="108">
      <x:c r="A108" s="40" t="str">
        <x:v>VS-10</x:v>
      </x:c>
      <x:c r="B108" s="40" t="n">
        <x:v>10</x:v>
      </x:c>
      <x:c r="C108" s="40" t="str">
        <x:v>Wave 3 — Pathways and Life Administration</x:v>
      </x:c>
      <x:c r="D108" s="40" t="str">
        <x:v>K. Covenant Path</x:v>
      </x:c>
      <x:c r="E108" s="40" t="str">
        <x:v>BR-K-005</x:v>
      </x:c>
      <x:c r="F108" s="40" t="str">
        <x:v>Scripture Study and Temple Visit are factual activities only.</x:v>
      </x:c>
      <x:c r="G108" s="40" t="str">
        <x:v>Not Started</x:v>
      </x:c>
      <x:c r="H108" s="40"/>
    </x:row>
    <x:row r="109">
      <x:c r="A109" s="40" t="str">
        <x:v>VS-10</x:v>
      </x:c>
      <x:c r="B109" s="40" t="n">
        <x:v>10</x:v>
      </x:c>
      <x:c r="C109" s="40" t="str">
        <x:v>Wave 3 — Pathways and Life Administration</x:v>
      </x:c>
      <x:c r="D109" s="40" t="str">
        <x:v>K. Covenant Path</x:v>
      </x:c>
      <x:c r="E109" s="40" t="str">
        <x:v>BR-K-006</x:v>
      </x:c>
      <x:c r="F109" s="40" t="str">
        <x:v>Scheduled spiritual activity is not Actual.</x:v>
      </x:c>
      <x:c r="G109" s="40" t="str">
        <x:v>Not Started</x:v>
      </x:c>
      <x:c r="H109" s="40"/>
    </x:row>
    <x:row r="110">
      <x:c r="A110" s="40" t="str">
        <x:v>VS-10</x:v>
      </x:c>
      <x:c r="B110" s="40" t="n">
        <x:v>10</x:v>
      </x:c>
      <x:c r="C110" s="40" t="str">
        <x:v>Wave 3 — Pathways and Life Administration</x:v>
      </x:c>
      <x:c r="D110" s="40" t="str">
        <x:v>K. Covenant Path</x:v>
      </x:c>
      <x:c r="E110" s="40" t="str">
        <x:v>BR-K-007</x:v>
      </x:c>
      <x:c r="F110" s="40" t="str">
        <x:v>Private reflections do not affect progress.</x:v>
      </x:c>
      <x:c r="G110" s="40" t="str">
        <x:v>Not Started</x:v>
      </x:c>
      <x:c r="H110" s="40"/>
    </x:row>
    <x:row r="111">
      <x:c r="A111" s="40" t="str">
        <x:v>VS-10</x:v>
      </x:c>
      <x:c r="B111" s="40" t="n">
        <x:v>10</x:v>
      </x:c>
      <x:c r="C111" s="40" t="str">
        <x:v>Wave 3 — Pathways and Life Administration</x:v>
      </x:c>
      <x:c r="D111" s="40" t="str">
        <x:v>K. Covenant Path</x:v>
      </x:c>
      <x:c r="E111" s="40" t="str">
        <x:v>BR-K-008</x:v>
      </x:c>
      <x:c r="F111" s="40" t="str">
        <x:v>No leader, family, or mentor sharing is allowed.</x:v>
      </x:c>
      <x:c r="G111" s="40" t="str">
        <x:v>Not Started</x:v>
      </x:c>
      <x:c r="H111" s="40"/>
    </x:row>
    <x:row r="112">
      <x:c r="A112" s="40" t="str">
        <x:v>VS-10</x:v>
      </x:c>
      <x:c r="B112" s="40" t="n">
        <x:v>10</x:v>
      </x:c>
      <x:c r="C112" s="40" t="str">
        <x:v>Wave 3 — Pathways and Life Administration</x:v>
      </x:c>
      <x:c r="D112" s="40" t="str">
        <x:v>K. Covenant Path</x:v>
      </x:c>
      <x:c r="E112" s="40" t="str">
        <x:v>BR-K-009</x:v>
      </x:c>
      <x:c r="F112" s="40" t="str">
        <x:v>Content updates preserve user state.</x:v>
      </x:c>
      <x:c r="G112" s="40" t="str">
        <x:v>Not Started</x:v>
      </x:c>
      <x:c r="H112" s="40"/>
    </x:row>
    <x:row r="113">
      <x:c r="A113" s="40" t="str">
        <x:v>VS-10</x:v>
      </x:c>
      <x:c r="B113" s="40" t="n">
        <x:v>10</x:v>
      </x:c>
      <x:c r="C113" s="40" t="str">
        <x:v>Wave 3 — Pathways and Life Administration</x:v>
      </x:c>
      <x:c r="D113" s="40" t="str">
        <x:v>K. Covenant Path</x:v>
      </x:c>
      <x:c r="E113" s="40" t="str">
        <x:v>BR-K-010</x:v>
      </x:c>
      <x:c r="F113" s="40" t="str">
        <x:v>No membership or temple-recommend verification is required.</x:v>
      </x:c>
      <x:c r="G113" s="40" t="str">
        <x:v>Not Started</x:v>
      </x:c>
      <x:c r="H113" s="40"/>
    </x:row>
    <x:row r="114">
      <x:c r="A114" s="40" t="str">
        <x:v>VS-11</x:v>
      </x:c>
      <x:c r="B114" s="40" t="n">
        <x:v>11</x:v>
      </x:c>
      <x:c r="C114" s="40" t="str">
        <x:v>Wave 3 — Pathways and Life Administration</x:v>
      </x:c>
      <x:c r="D114" s="40" t="str">
        <x:v>L. Contacts and Follow-Ups</x:v>
      </x:c>
      <x:c r="E114" s="40" t="str">
        <x:v>BR-L-001</x:v>
      </x:c>
      <x:c r="F114" s="40" t="str">
        <x:v>Contacts are private to the Local Profile.</x:v>
      </x:c>
      <x:c r="G114" s="40" t="str">
        <x:v>Not Started</x:v>
      </x:c>
      <x:c r="H114" s="40"/>
    </x:row>
    <x:row r="115">
      <x:c r="A115" s="40" t="str">
        <x:v>VS-11</x:v>
      </x:c>
      <x:c r="B115" s="40" t="n">
        <x:v>11</x:v>
      </x:c>
      <x:c r="C115" s="40" t="str">
        <x:v>Wave 3 — Pathways and Life Administration</x:v>
      </x:c>
      <x:c r="D115" s="40" t="str">
        <x:v>L. Contacts and Follow-Ups</x:v>
      </x:c>
      <x:c r="E115" s="40" t="str">
        <x:v>BR-L-002</x:v>
      </x:c>
      <x:c r="F115" s="40" t="str">
        <x:v>Manual contact creation requires no permission.</x:v>
      </x:c>
      <x:c r="G115" s="40" t="str">
        <x:v>Not Started</x:v>
      </x:c>
      <x:c r="H115" s="40"/>
    </x:row>
    <x:row r="116">
      <x:c r="A116" s="40" t="str">
        <x:v>VS-11</x:v>
      </x:c>
      <x:c r="B116" s="40" t="n">
        <x:v>11</x:v>
      </x:c>
      <x:c r="C116" s="40" t="str">
        <x:v>Wave 3 — Pathways and Life Administration</x:v>
      </x:c>
      <x:c r="D116" s="40" t="str">
        <x:v>L. Contacts and Follow-Ups</x:v>
      </x:c>
      <x:c r="E116" s="40" t="str">
        <x:v>BR-L-003</x:v>
      </x:c>
      <x:c r="F116" s="40" t="str">
        <x:v>Device-contact import is optional and selected by the user.</x:v>
      </x:c>
      <x:c r="G116" s="40" t="str">
        <x:v>Not Started</x:v>
      </x:c>
      <x:c r="H116" s="40"/>
    </x:row>
    <x:row r="117">
      <x:c r="A117" s="40" t="str">
        <x:v>VS-11</x:v>
      </x:c>
      <x:c r="B117" s="40" t="n">
        <x:v>11</x:v>
      </x:c>
      <x:c r="C117" s="40" t="str">
        <x:v>Wave 3 — Pathways and Life Administration</x:v>
      </x:c>
      <x:c r="D117" s="40" t="str">
        <x:v>L. Contacts and Follow-Ups</x:v>
      </x:c>
      <x:c r="E117" s="40" t="str">
        <x:v>BR-L-004</x:v>
      </x:c>
      <x:c r="F117" s="40" t="str">
        <x:v>Planned communication is Scheduled Potential, not Actual.</x:v>
      </x:c>
      <x:c r="G117" s="40" t="str">
        <x:v>Not Started</x:v>
      </x:c>
      <x:c r="H117" s="40"/>
    </x:row>
    <x:row r="118">
      <x:c r="A118" s="40" t="str">
        <x:v>VS-11</x:v>
      </x:c>
      <x:c r="B118" s="40" t="n">
        <x:v>11</x:v>
      </x:c>
      <x:c r="C118" s="40" t="str">
        <x:v>Wave 3 — Pathways and Life Administration</x:v>
      </x:c>
      <x:c r="D118" s="40" t="str">
        <x:v>L. Contacts and Follow-Ups</x:v>
      </x:c>
      <x:c r="E118" s="40" t="str">
        <x:v>BR-L-005</x:v>
      </x:c>
      <x:c r="F118" s="40" t="str">
        <x:v>Meaningful Connections Actual requires a structured confirmed Interaction Report.</x:v>
      </x:c>
      <x:c r="G118" s="40" t="str">
        <x:v>Not Started</x:v>
      </x:c>
      <x:c r="H118" s="40"/>
    </x:row>
    <x:row r="119">
      <x:c r="A119" s="40" t="str">
        <x:v>VS-11</x:v>
      </x:c>
      <x:c r="B119" s="40" t="n">
        <x:v>11</x:v>
      </x:c>
      <x:c r="C119" s="40" t="str">
        <x:v>Wave 3 — Pathways and Life Administration</x:v>
      </x:c>
      <x:c r="D119" s="40" t="str">
        <x:v>L. Contacts and Follow-Ups</x:v>
      </x:c>
      <x:c r="E119" s="40" t="str">
        <x:v>BR-L-006</x:v>
      </x:c>
      <x:c r="F119" s="40" t="str">
        <x:v>Call logs, message existence, titles, and elapsed time do not create Actual.</x:v>
      </x:c>
      <x:c r="G119" s="40" t="str">
        <x:v>Not Started</x:v>
      </x:c>
      <x:c r="H119" s="40"/>
    </x:row>
    <x:row r="120">
      <x:c r="A120" s="40" t="str">
        <x:v>VS-11</x:v>
      </x:c>
      <x:c r="B120" s="40" t="n">
        <x:v>11</x:v>
      </x:c>
      <x:c r="C120" s="40" t="str">
        <x:v>Wave 3 — Pathways and Life Administration</x:v>
      </x:c>
      <x:c r="D120" s="40" t="str">
        <x:v>L. Contacts and Follow-Ups</x:v>
      </x:c>
      <x:c r="E120" s="40" t="str">
        <x:v>BR-L-007</x:v>
      </x:c>
      <x:c r="F120" s="40" t="str">
        <x:v>One interaction must not double-count through linked Task and event records.</x:v>
      </x:c>
      <x:c r="G120" s="40" t="str">
        <x:v>Not Started</x:v>
      </x:c>
      <x:c r="H120" s="40"/>
    </x:row>
    <x:row r="121">
      <x:c r="A121" s="40" t="str">
        <x:v>VS-11</x:v>
      </x:c>
      <x:c r="B121" s="40" t="n">
        <x:v>11</x:v>
      </x:c>
      <x:c r="C121" s="40" t="str">
        <x:v>Wave 3 — Pathways and Life Administration</x:v>
      </x:c>
      <x:c r="D121" s="40" t="str">
        <x:v>L. Contacts and Follow-Ups</x:v>
      </x:c>
      <x:c r="E121" s="40" t="str">
        <x:v>BR-L-008</x:v>
      </x:c>
      <x:c r="F121" s="40" t="str">
        <x:v>Possible duplicates are not merged automatically.</x:v>
      </x:c>
      <x:c r="G121" s="40" t="str">
        <x:v>Not Started</x:v>
      </x:c>
      <x:c r="H121" s="40"/>
    </x:row>
    <x:row r="122">
      <x:c r="A122" s="40" t="str">
        <x:v>VS-11</x:v>
      </x:c>
      <x:c r="B122" s="40" t="n">
        <x:v>11</x:v>
      </x:c>
      <x:c r="C122" s="40" t="str">
        <x:v>Wave 3 — Pathways and Life Administration</x:v>
      </x:c>
      <x:c r="D122" s="40" t="str">
        <x:v>L. Contacts and Follow-Ups</x:v>
      </x:c>
      <x:c r="E122" s="40" t="str">
        <x:v>BR-L-009</x:v>
      </x:c>
      <x:c r="F122" s="40" t="str">
        <x:v>Archived contacts retain historical links.</x:v>
      </x:c>
      <x:c r="G122" s="40" t="str">
        <x:v>Not Started</x:v>
      </x:c>
      <x:c r="H122" s="40"/>
    </x:row>
    <x:row r="123">
      <x:c r="A123" s="40" t="str">
        <x:v>VS-11</x:v>
      </x:c>
      <x:c r="B123" s="40" t="n">
        <x:v>11</x:v>
      </x:c>
      <x:c r="C123" s="40" t="str">
        <x:v>Wave 3 — Pathways and Life Administration</x:v>
      </x:c>
      <x:c r="D123" s="40" t="str">
        <x:v>L. Contacts and Follow-Ups</x:v>
      </x:c>
      <x:c r="E123" s="40" t="str">
        <x:v>BR-L-010</x:v>
      </x:c>
      <x:c r="F123" s="40" t="str">
        <x:v>No shared directory exists in V1.</x:v>
      </x:c>
      <x:c r="G123" s="40" t="str">
        <x:v>Not Started</x:v>
      </x:c>
      <x:c r="H123" s="40"/>
    </x:row>
    <x:row r="124">
      <x:c r="A124" s="40" t="str">
        <x:v>VS-12</x:v>
      </x:c>
      <x:c r="B124" s="40" t="n">
        <x:v>12</x:v>
      </x:c>
      <x:c r="C124" s="40" t="str">
        <x:v>Wave 3 — Pathways and Life Administration</x:v>
      </x:c>
      <x:c r="D124" s="40" t="str">
        <x:v>M. Employment Applications</x:v>
      </x:c>
      <x:c r="E124" s="40" t="str">
        <x:v>BR-M-001</x:v>
      </x:c>
      <x:c r="F124" s="40" t="str">
        <x:v>Employment Application is separate from Tasks and Calendar Events.</x:v>
      </x:c>
      <x:c r="G124" s="40" t="str">
        <x:v>Not Started</x:v>
      </x:c>
      <x:c r="H124" s="40"/>
    </x:row>
    <x:row r="125">
      <x:c r="A125" s="40" t="str">
        <x:v>VS-12</x:v>
      </x:c>
      <x:c r="B125" s="40" t="n">
        <x:v>12</x:v>
      </x:c>
      <x:c r="C125" s="40" t="str">
        <x:v>Wave 3 — Pathways and Life Administration</x:v>
      </x:c>
      <x:c r="D125" s="40" t="str">
        <x:v>M. Employment Applications</x:v>
      </x:c>
      <x:c r="E125" s="40" t="str">
        <x:v>BR-M-002</x:v>
      </x:c>
      <x:c r="F125" s="40" t="str">
        <x:v>Saved, Considering, and Preparing do not count as submitted applications.</x:v>
      </x:c>
      <x:c r="G125" s="40" t="str">
        <x:v>Not Started</x:v>
      </x:c>
      <x:c r="H125" s="40"/>
    </x:row>
    <x:row r="126">
      <x:c r="A126" s="40" t="str">
        <x:v>VS-12</x:v>
      </x:c>
      <x:c r="B126" s="40" t="n">
        <x:v>12</x:v>
      </x:c>
      <x:c r="C126" s="40" t="str">
        <x:v>Wave 3 — Pathways and Life Administration</x:v>
      </x:c>
      <x:c r="D126" s="40" t="str">
        <x:v>M. Employment Applications</x:v>
      </x:c>
      <x:c r="E126" s="40" t="str">
        <x:v>BR-M-003</x:v>
      </x:c>
      <x:c r="F126" s="40" t="str">
        <x:v>Job Applications Actual requires explicit submission confirmation.</x:v>
      </x:c>
      <x:c r="G126" s="40" t="str">
        <x:v>Not Started</x:v>
      </x:c>
      <x:c r="H126" s="40"/>
    </x:row>
    <x:row r="127">
      <x:c r="A127" s="40" t="str">
        <x:v>VS-12</x:v>
      </x:c>
      <x:c r="B127" s="40" t="n">
        <x:v>12</x:v>
      </x:c>
      <x:c r="C127" s="40" t="str">
        <x:v>Wave 3 — Pathways and Life Administration</x:v>
      </x:c>
      <x:c r="D127" s="40" t="str">
        <x:v>M. Employment Applications</x:v>
      </x:c>
      <x:c r="E127" s="40" t="str">
        <x:v>BR-M-004</x:v>
      </x:c>
      <x:c r="F127" s="40" t="str">
        <x:v>One distinct submission produces no more than one contribution.</x:v>
      </x:c>
      <x:c r="G127" s="40" t="str">
        <x:v>Not Started</x:v>
      </x:c>
      <x:c r="H127" s="40"/>
    </x:row>
    <x:row r="128">
      <x:c r="A128" s="40" t="str">
        <x:v>VS-12</x:v>
      </x:c>
      <x:c r="B128" s="40" t="n">
        <x:v>12</x:v>
      </x:c>
      <x:c r="C128" s="40" t="str">
        <x:v>Wave 3 — Pathways and Life Administration</x:v>
      </x:c>
      <x:c r="D128" s="40" t="str">
        <x:v>M. Employment Applications</x:v>
      </x:c>
      <x:c r="E128" s="40" t="str">
        <x:v>BR-M-005</x:v>
      </x:c>
      <x:c r="F128" s="40" t="str">
        <x:v>Rejection or withdrawal does not erase a valid submission.</x:v>
      </x:c>
      <x:c r="G128" s="40" t="str">
        <x:v>Not Started</x:v>
      </x:c>
      <x:c r="H128" s="40"/>
    </x:row>
    <x:row r="129">
      <x:c r="A129" s="40" t="str">
        <x:v>VS-12</x:v>
      </x:c>
      <x:c r="B129" s="40" t="n">
        <x:v>12</x:v>
      </x:c>
      <x:c r="C129" s="40" t="str">
        <x:v>Wave 3 — Pathways and Life Administration</x:v>
      </x:c>
      <x:c r="D129" s="40" t="str">
        <x:v>M. Employment Applications</x:v>
      </x:c>
      <x:c r="E129" s="40" t="str">
        <x:v>BR-M-006</x:v>
      </x:c>
      <x:c r="F129" s="40" t="str">
        <x:v>Stage transitions preserve history.</x:v>
      </x:c>
      <x:c r="G129" s="40" t="str">
        <x:v>Not Started</x:v>
      </x:c>
      <x:c r="H129" s="40"/>
    </x:row>
    <x:row r="130">
      <x:c r="A130" s="40" t="str">
        <x:v>VS-12</x:v>
      </x:c>
      <x:c r="B130" s="40" t="n">
        <x:v>12</x:v>
      </x:c>
      <x:c r="C130" s="40" t="str">
        <x:v>Wave 3 — Pathways and Life Administration</x:v>
      </x:c>
      <x:c r="D130" s="40" t="str">
        <x:v>M. Employment Applications</x:v>
      </x:c>
      <x:c r="E130" s="40" t="str">
        <x:v>BR-M-007</x:v>
      </x:c>
      <x:c r="F130" s="40" t="str">
        <x:v>Interview elapsed time does not prove attendance.</x:v>
      </x:c>
      <x:c r="G130" s="40" t="str">
        <x:v>Not Started</x:v>
      </x:c>
      <x:c r="H130" s="40"/>
    </x:row>
    <x:row r="131">
      <x:c r="A131" s="40" t="str">
        <x:v>VS-12</x:v>
      </x:c>
      <x:c r="B131" s="40" t="n">
        <x:v>12</x:v>
      </x:c>
      <x:c r="C131" s="40" t="str">
        <x:v>Wave 3 — Pathways and Life Administration</x:v>
      </x:c>
      <x:c r="D131" s="40" t="str">
        <x:v>M. Employment Applications</x:v>
      </x:c>
      <x:c r="E131" s="40" t="str">
        <x:v>BR-M-008</x:v>
      </x:c>
      <x:c r="F131" s="40" t="str">
        <x:v>Reapplication is a separate explicit cycle.</x:v>
      </x:c>
      <x:c r="G131" s="40" t="str">
        <x:v>Not Started</x:v>
      </x:c>
      <x:c r="H131" s="40"/>
    </x:row>
    <x:row r="132">
      <x:c r="A132" s="40" t="str">
        <x:v>VS-12</x:v>
      </x:c>
      <x:c r="B132" s="40" t="n">
        <x:v>12</x:v>
      </x:c>
      <x:c r="C132" s="40" t="str">
        <x:v>Wave 3 — Pathways and Life Administration</x:v>
      </x:c>
      <x:c r="D132" s="40" t="str">
        <x:v>M. Employment Applications</x:v>
      </x:c>
      <x:c r="E132" s="40" t="str">
        <x:v>BR-M-009</x:v>
      </x:c>
      <x:c r="F132" s="40" t="str">
        <x:v>External source data may become stale.</x:v>
      </x:c>
      <x:c r="G132" s="40" t="str">
        <x:v>Not Started</x:v>
      </x:c>
      <x:c r="H132" s="40"/>
    </x:row>
    <x:row r="133">
      <x:c r="A133" s="40" t="str">
        <x:v>VS-12</x:v>
      </x:c>
      <x:c r="B133" s="40" t="n">
        <x:v>12</x:v>
      </x:c>
      <x:c r="C133" s="40" t="str">
        <x:v>Wave 3 — Pathways and Life Administration</x:v>
      </x:c>
      <x:c r="D133" s="40" t="str">
        <x:v>M. Employment Applications</x:v>
      </x:c>
      <x:c r="E133" s="40" t="str">
        <x:v>BR-M-010</x:v>
      </x:c>
      <x:c r="F133" s="40" t="str">
        <x:v>Employment workflows operate offline.</x:v>
      </x:c>
      <x:c r="G133" s="40" t="str">
        <x:v>Not Started</x:v>
      </x:c>
      <x:c r="H133" s="40"/>
    </x:row>
    <x:row r="134">
      <x:c r="A134" s="40" t="str">
        <x:v>VS-13</x:v>
      </x:c>
      <x:c r="B134" s="40" t="n">
        <x:v>13</x:v>
      </x:c>
      <x:c r="C134" s="40" t="str">
        <x:v>Wave 3 — Pathways and Life Administration</x:v>
      </x:c>
      <x:c r="D134" s="40" t="str">
        <x:v>N. Education Planning</x:v>
      </x:c>
      <x:c r="E134" s="40" t="str">
        <x:v>BR-N-001</x:v>
      </x:c>
      <x:c r="F134" s="40" t="str">
        <x:v>Provider-specific rules are content-driven rather than hard-coded domain logic.</x:v>
      </x:c>
      <x:c r="G134" s="40" t="str">
        <x:v>Not Started</x:v>
      </x:c>
      <x:c r="H134" s="40"/>
    </x:row>
    <x:row r="135">
      <x:c r="A135" s="40" t="str">
        <x:v>VS-13</x:v>
      </x:c>
      <x:c r="B135" s="40" t="n">
        <x:v>13</x:v>
      </x:c>
      <x:c r="C135" s="40" t="str">
        <x:v>Wave 3 — Pathways and Life Administration</x:v>
      </x:c>
      <x:c r="D135" s="40" t="str">
        <x:v>N. Education Planning</x:v>
      </x:c>
      <x:c r="E135" s="40" t="str">
        <x:v>BR-N-002</x:v>
      </x:c>
      <x:c r="F135" s="40" t="str">
        <x:v>Saving or planning an education option does not mean applying.</x:v>
      </x:c>
      <x:c r="G135" s="40" t="str">
        <x:v>Not Started</x:v>
      </x:c>
      <x:c r="H135" s="40"/>
    </x:row>
    <x:row r="136">
      <x:c r="A136" s="40" t="str">
        <x:v>VS-13</x:v>
      </x:c>
      <x:c r="B136" s="40" t="n">
        <x:v>13</x:v>
      </x:c>
      <x:c r="C136" s="40" t="str">
        <x:v>Wave 3 — Pathways and Life Administration</x:v>
      </x:c>
      <x:c r="D136" s="40" t="str">
        <x:v>N. Education Planning</x:v>
      </x:c>
      <x:c r="E136" s="40" t="str">
        <x:v>BR-N-003</x:v>
      </x:c>
      <x:c r="F136" s="40" t="str">
        <x:v>Application, admission, and enrollment are distinct outcomes.</x:v>
      </x:c>
      <x:c r="G136" s="40" t="str">
        <x:v>Not Started</x:v>
      </x:c>
      <x:c r="H136" s="40"/>
    </x:row>
    <x:row r="137">
      <x:c r="A137" s="40" t="str">
        <x:v>VS-13</x:v>
      </x:c>
      <x:c r="B137" s="40" t="n">
        <x:v>13</x:v>
      </x:c>
      <x:c r="C137" s="40" t="str">
        <x:v>Wave 3 — Pathways and Life Administration</x:v>
      </x:c>
      <x:c r="D137" s="40" t="str">
        <x:v>N. Education Planning</x:v>
      </x:c>
      <x:c r="E137" s="40" t="str">
        <x:v>BR-N-004</x:v>
      </x:c>
      <x:c r="F137" s="40" t="str">
        <x:v>Time-sensitive requirements carry source and verification metadata.</x:v>
      </x:c>
      <x:c r="G137" s="40" t="str">
        <x:v>Not Started</x:v>
      </x:c>
      <x:c r="H137" s="40"/>
    </x:row>
    <x:row r="138">
      <x:c r="A138" s="40" t="str">
        <x:v>VS-13</x:v>
      </x:c>
      <x:c r="B138" s="40" t="n">
        <x:v>13</x:v>
      </x:c>
      <x:c r="C138" s="40" t="str">
        <x:v>Wave 3 — Pathways and Life Administration</x:v>
      </x:c>
      <x:c r="D138" s="40" t="str">
        <x:v>N. Education Planning</x:v>
      </x:c>
      <x:c r="E138" s="40" t="str">
        <x:v>BR-N-005</x:v>
      </x:c>
      <x:c r="F138" s="40" t="str">
        <x:v>Stale or uncertain information is labeled.</x:v>
      </x:c>
      <x:c r="G138" s="40" t="str">
        <x:v>Not Started</x:v>
      </x:c>
      <x:c r="H138" s="40"/>
    </x:row>
    <x:row r="139">
      <x:c r="A139" s="40" t="str">
        <x:v>VS-13</x:v>
      </x:c>
      <x:c r="B139" s="40" t="n">
        <x:v>13</x:v>
      </x:c>
      <x:c r="C139" s="40" t="str">
        <x:v>Wave 3 — Pathways and Life Administration</x:v>
      </x:c>
      <x:c r="D139" s="40" t="str">
        <x:v>N. Education Planning</x:v>
      </x:c>
      <x:c r="E139" s="40" t="str">
        <x:v>BR-N-006</x:v>
      </x:c>
      <x:c r="F139" s="40" t="str">
        <x:v>Content updates do not overwrite user records.</x:v>
      </x:c>
      <x:c r="G139" s="40" t="str">
        <x:v>Not Started</x:v>
      </x:c>
      <x:c r="H139" s="40"/>
    </x:row>
    <x:row r="140">
      <x:c r="A140" s="40" t="str">
        <x:v>VS-13</x:v>
      </x:c>
      <x:c r="B140" s="40" t="n">
        <x:v>13</x:v>
      </x:c>
      <x:c r="C140" s="40" t="str">
        <x:v>Wave 3 — Pathways and Life Administration</x:v>
      </x:c>
      <x:c r="D140" s="40" t="str">
        <x:v>N. Education Planning</x:v>
      </x:c>
      <x:c r="E140" s="40" t="str">
        <x:v>BR-N-007</x:v>
      </x:c>
      <x:c r="F140" s="40" t="str">
        <x:v>Calendar elapsed time does not complete requirements.</x:v>
      </x:c>
      <x:c r="G140" s="40" t="str">
        <x:v>Not Started</x:v>
      </x:c>
      <x:c r="H140" s="40"/>
    </x:row>
    <x:row r="141">
      <x:c r="A141" s="40" t="str">
        <x:v>VS-13</x:v>
      </x:c>
      <x:c r="B141" s="40" t="n">
        <x:v>13</x:v>
      </x:c>
      <x:c r="C141" s="40" t="str">
        <x:v>Wave 3 — Pathways and Life Administration</x:v>
      </x:c>
      <x:c r="D141" s="40" t="str">
        <x:v>N. Education Planning</x:v>
      </x:c>
      <x:c r="E141" s="40" t="str">
        <x:v>BR-N-008</x:v>
      </x:c>
      <x:c r="F141" s="40" t="str">
        <x:v>Custom providers are supported.</x:v>
      </x:c>
      <x:c r="G141" s="40" t="str">
        <x:v>Not Started</x:v>
      </x:c>
      <x:c r="H141" s="40"/>
    </x:row>
    <x:row r="142">
      <x:c r="A142" s="40" t="str">
        <x:v>VS-13</x:v>
      </x:c>
      <x:c r="B142" s="40" t="n">
        <x:v>13</x:v>
      </x:c>
      <x:c r="C142" s="40" t="str">
        <x:v>Wave 3 — Pathways and Life Administration</x:v>
      </x:c>
      <x:c r="D142" s="40" t="str">
        <x:v>N. Education Planning</x:v>
      </x:c>
      <x:c r="E142" s="40" t="str">
        <x:v>BR-N-009</x:v>
      </x:c>
      <x:c r="F142" s="40" t="str">
        <x:v>Government documents remain separate domain records.</x:v>
      </x:c>
      <x:c r="G142" s="40" t="str">
        <x:v>Not Started</x:v>
      </x:c>
      <x:c r="H142" s="40"/>
    </x:row>
    <x:row r="143">
      <x:c r="A143" s="40" t="str">
        <x:v>VS-13</x:v>
      </x:c>
      <x:c r="B143" s="40" t="n">
        <x:v>13</x:v>
      </x:c>
      <x:c r="C143" s="40" t="str">
        <x:v>Wave 3 — Pathways and Life Administration</x:v>
      </x:c>
      <x:c r="D143" s="40" t="str">
        <x:v>N. Education Planning</x:v>
      </x:c>
      <x:c r="E143" s="40" t="str">
        <x:v>BR-N-010</x:v>
      </x:c>
      <x:c r="F143" s="40" t="str">
        <x:v>Education planning operates offline.</x:v>
      </x:c>
      <x:c r="G143" s="40" t="str">
        <x:v>Not Started</x:v>
      </x:c>
      <x:c r="H143" s="40"/>
    </x:row>
    <x:row r="144">
      <x:c r="A144" s="40" t="str">
        <x:v>VS-14</x:v>
      </x:c>
      <x:c r="B144" s="40" t="n">
        <x:v>14</x:v>
      </x:c>
      <x:c r="C144" s="40" t="str">
        <x:v>Wave 3 — Pathways and Life Administration</x:v>
      </x:c>
      <x:c r="D144" s="40" t="str">
        <x:v>O. Government Document Requirements</x:v>
      </x:c>
      <x:c r="E144" s="40" t="str">
        <x:v>BR-O-001</x:v>
      </x:c>
      <x:c r="F144" s="40" t="str">
        <x:v>Official requirement guidance is updateable content.</x:v>
      </x:c>
      <x:c r="G144" s="40" t="str">
        <x:v>Not Started</x:v>
      </x:c>
      <x:c r="H144" s="40"/>
    </x:row>
    <x:row r="145">
      <x:c r="A145" s="40" t="str">
        <x:v>VS-14</x:v>
      </x:c>
      <x:c r="B145" s="40" t="n">
        <x:v>14</x:v>
      </x:c>
      <x:c r="C145" s="40" t="str">
        <x:v>Wave 3 — Pathways and Life Administration</x:v>
      </x:c>
      <x:c r="D145" s="40" t="str">
        <x:v>O. Government Document Requirements</x:v>
      </x:c>
      <x:c r="E145" s="40" t="str">
        <x:v>BR-O-002</x:v>
      </x:c>
      <x:c r="F145" s="40" t="str">
        <x:v>Scheduling an appointment does not mean submitted or obtained.</x:v>
      </x:c>
      <x:c r="G145" s="40" t="str">
        <x:v>Not Started</x:v>
      </x:c>
      <x:c r="H145" s="40"/>
    </x:row>
    <x:row r="146">
      <x:c r="A146" s="40" t="str">
        <x:v>VS-14</x:v>
      </x:c>
      <x:c r="B146" s="40" t="n">
        <x:v>14</x:v>
      </x:c>
      <x:c r="C146" s="40" t="str">
        <x:v>Wave 3 — Pathways and Life Administration</x:v>
      </x:c>
      <x:c r="D146" s="40" t="str">
        <x:v>O. Government Document Requirements</x:v>
      </x:c>
      <x:c r="E146" s="40" t="str">
        <x:v>BR-O-003</x:v>
      </x:c>
      <x:c r="F146" s="40" t="str">
        <x:v>Submitted and Obtained are distinct factual states.</x:v>
      </x:c>
      <x:c r="G146" s="40" t="str">
        <x:v>Not Started</x:v>
      </x:c>
      <x:c r="H146" s="40"/>
    </x:row>
    <x:row r="147">
      <x:c r="A147" s="40" t="str">
        <x:v>VS-14</x:v>
      </x:c>
      <x:c r="B147" s="40" t="n">
        <x:v>14</x:v>
      </x:c>
      <x:c r="C147" s="40" t="str">
        <x:v>Wave 3 — Pathways and Life Administration</x:v>
      </x:c>
      <x:c r="D147" s="40" t="str">
        <x:v>O. Government Document Requirements</x:v>
      </x:c>
      <x:c r="E147" s="40" t="str">
        <x:v>BR-O-004</x:v>
      </x:c>
      <x:c r="F147" s="40" t="str">
        <x:v>Elapsed time does not change requirement status.</x:v>
      </x:c>
      <x:c r="G147" s="40" t="str">
        <x:v>Not Started</x:v>
      </x:c>
      <x:c r="H147" s="40"/>
    </x:row>
    <x:row r="148">
      <x:c r="A148" s="40" t="str">
        <x:v>VS-14</x:v>
      </x:c>
      <x:c r="B148" s="40" t="n">
        <x:v>14</x:v>
      </x:c>
      <x:c r="C148" s="40" t="str">
        <x:v>Wave 3 — Pathways and Life Administration</x:v>
      </x:c>
      <x:c r="D148" s="40" t="str">
        <x:v>O. Government Document Requirements</x:v>
      </x:c>
      <x:c r="E148" s="40" t="str">
        <x:v>BR-O-005</x:v>
      </x:c>
      <x:c r="F148" s="40" t="str">
        <x:v>Source, authority, jurisdiction, and verification date are shown where available.</x:v>
      </x:c>
      <x:c r="G148" s="40" t="str">
        <x:v>Not Started</x:v>
      </x:c>
      <x:c r="H148" s="40"/>
    </x:row>
    <x:row r="149">
      <x:c r="A149" s="40" t="str">
        <x:v>VS-14</x:v>
      </x:c>
      <x:c r="B149" s="40" t="n">
        <x:v>14</x:v>
      </x:c>
      <x:c r="C149" s="40" t="str">
        <x:v>Wave 3 — Pathways and Life Administration</x:v>
      </x:c>
      <x:c r="D149" s="40" t="str">
        <x:v>O. Government Document Requirements</x:v>
      </x:c>
      <x:c r="E149" s="40" t="str">
        <x:v>BR-O-006</x:v>
      </x:c>
      <x:c r="F149" s="40" t="str">
        <x:v>Content updates preserve user history.</x:v>
      </x:c>
      <x:c r="G149" s="40" t="str">
        <x:v>Not Started</x:v>
      </x:c>
      <x:c r="H149" s="40"/>
    </x:row>
    <x:row r="150">
      <x:c r="A150" s="40" t="str">
        <x:v>VS-14</x:v>
      </x:c>
      <x:c r="B150" s="40" t="n">
        <x:v>14</x:v>
      </x:c>
      <x:c r="C150" s="40" t="str">
        <x:v>Wave 3 — Pathways and Life Administration</x:v>
      </x:c>
      <x:c r="D150" s="40" t="str">
        <x:v>O. Government Document Requirements</x:v>
      </x:c>
      <x:c r="E150" s="40" t="str">
        <x:v>BR-O-007</x:v>
      </x:c>
      <x:c r="F150" s="40" t="str">
        <x:v>Full document numbers and images are not required in V1.</x:v>
      </x:c>
      <x:c r="G150" s="40" t="str">
        <x:v>Not Started</x:v>
      </x:c>
      <x:c r="H150" s="40"/>
    </x:row>
    <x:row r="151">
      <x:c r="A151" s="40" t="str">
        <x:v>VS-14</x:v>
      </x:c>
      <x:c r="B151" s="40" t="n">
        <x:v>14</x:v>
      </x:c>
      <x:c r="C151" s="40" t="str">
        <x:v>Wave 3 — Pathways and Life Administration</x:v>
      </x:c>
      <x:c r="D151" s="40" t="str">
        <x:v>O. Government Document Requirements</x:v>
      </x:c>
      <x:c r="E151" s="40" t="str">
        <x:v>BR-O-008</x:v>
      </x:c>
      <x:c r="F151" s="40" t="str">
        <x:v>Expiration requires an explicit date.</x:v>
      </x:c>
      <x:c r="G151" s="40" t="str">
        <x:v>Not Started</x:v>
      </x:c>
      <x:c r="H151" s="40"/>
    </x:row>
    <x:row r="152">
      <x:c r="A152" s="40" t="str">
        <x:v>VS-14</x:v>
      </x:c>
      <x:c r="B152" s="40" t="n">
        <x:v>14</x:v>
      </x:c>
      <x:c r="C152" s="40" t="str">
        <x:v>Wave 3 — Pathways and Life Administration</x:v>
      </x:c>
      <x:c r="D152" s="40" t="str">
        <x:v>O. Government Document Requirements</x:v>
      </x:c>
      <x:c r="E152" s="40" t="str">
        <x:v>BR-O-009</x:v>
      </x:c>
      <x:c r="F152" s="40" t="str">
        <x:v>Renewal Due is an attention state.</x:v>
      </x:c>
      <x:c r="G152" s="40" t="str">
        <x:v>Not Started</x:v>
      </x:c>
      <x:c r="H152" s="40"/>
    </x:row>
    <x:row r="153">
      <x:c r="A153" s="40" t="str">
        <x:v>VS-14</x:v>
      </x:c>
      <x:c r="B153" s="40" t="n">
        <x:v>14</x:v>
      </x:c>
      <x:c r="C153" s="40" t="str">
        <x:v>Wave 3 — Pathways and Life Administration</x:v>
      </x:c>
      <x:c r="D153" s="40" t="str">
        <x:v>O. Government Document Requirements</x:v>
      </x:c>
      <x:c r="E153" s="40" t="str">
        <x:v>BR-O-010</x:v>
      </x:c>
      <x:c r="F153" s="40" t="str">
        <x:v>Government-document planning operates offline.</x:v>
      </x:c>
      <x:c r="G153" s="40" t="str">
        <x:v>Not Started</x:v>
      </x:c>
      <x:c r="H153" s="40"/>
    </x:row>
    <x:row r="154">
      <x:c r="A154" s="40" t="str">
        <x:v>VS-15</x:v>
      </x:c>
      <x:c r="B154" s="40" t="n">
        <x:v>15</x:v>
      </x:c>
      <x:c r="C154" s="40" t="str">
        <x:v>Wave 3 — Pathways and Life Administration</x:v>
      </x:c>
      <x:c r="D154" s="40" t="str">
        <x:v>P. Maps and Locations</x:v>
      </x:c>
      <x:c r="E154" s="40" t="str">
        <x:v>BR-P-001</x:v>
      </x:c>
      <x:c r="F154" s="40" t="str">
        <x:v>Maps remain contextual and are not a bottom-navigation destination.</x:v>
      </x:c>
      <x:c r="G154" s="40" t="str">
        <x:v>Not Started</x:v>
      </x:c>
      <x:c r="H154" s="40"/>
    </x:row>
    <x:row r="155">
      <x:c r="A155" s="40" t="str">
        <x:v>VS-15</x:v>
      </x:c>
      <x:c r="B155" s="40" t="n">
        <x:v>15</x:v>
      </x:c>
      <x:c r="C155" s="40" t="str">
        <x:v>Wave 3 — Pathways and Life Administration</x:v>
      </x:c>
      <x:c r="D155" s="40" t="str">
        <x:v>P. Maps and Locations</x:v>
      </x:c>
      <x:c r="E155" s="40" t="str">
        <x:v>BR-P-002</x:v>
      </x:c>
      <x:c r="F155" s="40" t="str">
        <x:v>Typed locations require no location permission.</x:v>
      </x:c>
      <x:c r="G155" s="40" t="str">
        <x:v>Not Started</x:v>
      </x:c>
      <x:c r="H155" s="40"/>
    </x:row>
    <x:row r="156">
      <x:c r="A156" s="40" t="str">
        <x:v>VS-15</x:v>
      </x:c>
      <x:c r="B156" s="40" t="n">
        <x:v>15</x:v>
      </x:c>
      <x:c r="C156" s="40" t="str">
        <x:v>Wave 3 — Pathways and Life Administration</x:v>
      </x:c>
      <x:c r="D156" s="40" t="str">
        <x:v>P. Maps and Locations</x:v>
      </x:c>
      <x:c r="E156" s="40" t="str">
        <x:v>BR-P-003</x:v>
      </x:c>
      <x:c r="F156" s="40" t="str">
        <x:v>Current-location permission is contextual.</x:v>
      </x:c>
      <x:c r="G156" s="40" t="str">
        <x:v>Not Started</x:v>
      </x:c>
      <x:c r="H156" s="40"/>
    </x:row>
    <x:row r="157">
      <x:c r="A157" s="40" t="str">
        <x:v>VS-15</x:v>
      </x:c>
      <x:c r="B157" s="40" t="n">
        <x:v>15</x:v>
      </x:c>
      <x:c r="C157" s="40" t="str">
        <x:v>Wave 3 — Pathways and Life Administration</x:v>
      </x:c>
      <x:c r="D157" s="40" t="str">
        <x:v>P. Maps and Locations</x:v>
      </x:c>
      <x:c r="E157" s="40" t="str">
        <x:v>BR-P-004</x:v>
      </x:c>
      <x:c r="F157" s="40" t="str">
        <x:v>Permission denial does not block core workflows.</x:v>
      </x:c>
      <x:c r="G157" s="40" t="str">
        <x:v>Not Started</x:v>
      </x:c>
      <x:c r="H157" s="40"/>
    </x:row>
    <x:row r="158">
      <x:c r="A158" s="40" t="str">
        <x:v>VS-15</x:v>
      </x:c>
      <x:c r="B158" s="40" t="n">
        <x:v>15</x:v>
      </x:c>
      <x:c r="C158" s="40" t="str">
        <x:v>Wave 3 — Pathways and Life Administration</x:v>
      </x:c>
      <x:c r="D158" s="40" t="str">
        <x:v>P. Maps and Locations</x:v>
      </x:c>
      <x:c r="E158" s="40" t="str">
        <x:v>BR-P-005</x:v>
      </x:c>
      <x:c r="F158" s="40" t="str">
        <x:v>Background location is excluded from V1.</x:v>
      </x:c>
      <x:c r="G158" s="40" t="str">
        <x:v>Not Started</x:v>
      </x:c>
      <x:c r="H158" s="40"/>
    </x:row>
    <x:row r="159">
      <x:c r="A159" s="40" t="str">
        <x:v>VS-15</x:v>
      </x:c>
      <x:c r="B159" s="40" t="n">
        <x:v>15</x:v>
      </x:c>
      <x:c r="C159" s="40" t="str">
        <x:v>Wave 3 — Pathways and Life Administration</x:v>
      </x:c>
      <x:c r="D159" s="40" t="str">
        <x:v>P. Maps and Locations</x:v>
      </x:c>
      <x:c r="E159" s="40" t="str">
        <x:v>BR-P-006</x:v>
      </x:c>
      <x:c r="F159" s="40" t="str">
        <x:v>Location use does not establish outcomes or Actual.</x:v>
      </x:c>
      <x:c r="G159" s="40" t="str">
        <x:v>Not Started</x:v>
      </x:c>
      <x:c r="H159" s="40"/>
    </x:row>
    <x:row r="160">
      <x:c r="A160" s="40" t="str">
        <x:v>VS-15</x:v>
      </x:c>
      <x:c r="B160" s="40" t="n">
        <x:v>15</x:v>
      </x:c>
      <x:c r="C160" s="40" t="str">
        <x:v>Wave 3 — Pathways and Life Administration</x:v>
      </x:c>
      <x:c r="D160" s="40" t="str">
        <x:v>P. Maps and Locations</x:v>
      </x:c>
      <x:c r="E160" s="40" t="str">
        <x:v>BR-P-007</x:v>
      </x:c>
      <x:c r="F160" s="40" t="str">
        <x:v>Saved Places are private.</x:v>
      </x:c>
      <x:c r="G160" s="40" t="str">
        <x:v>Not Started</x:v>
      </x:c>
      <x:c r="H160" s="40"/>
    </x:row>
    <x:row r="161">
      <x:c r="A161" s="40" t="str">
        <x:v>VS-15</x:v>
      </x:c>
      <x:c r="B161" s="40" t="n">
        <x:v>15</x:v>
      </x:c>
      <x:c r="C161" s="40" t="str">
        <x:v>Wave 3 — Pathways and Life Administration</x:v>
      </x:c>
      <x:c r="D161" s="40" t="str">
        <x:v>P. Maps and Locations</x:v>
      </x:c>
      <x:c r="E161" s="40" t="str">
        <x:v>BR-P-008</x:v>
      </x:c>
      <x:c r="F161" s="40" t="str">
        <x:v>Historical locations are not silently rewritten.</x:v>
      </x:c>
      <x:c r="G161" s="40" t="str">
        <x:v>Not Started</x:v>
      </x:c>
      <x:c r="H161" s="40"/>
    </x:row>
    <x:row r="162">
      <x:c r="A162" s="40" t="str">
        <x:v>VS-15</x:v>
      </x:c>
      <x:c r="B162" s="40" t="n">
        <x:v>15</x:v>
      </x:c>
      <x:c r="C162" s="40" t="str">
        <x:v>Wave 3 — Pathways and Life Administration</x:v>
      </x:c>
      <x:c r="D162" s="40" t="str">
        <x:v>P. Maps and Locations</x:v>
      </x:c>
      <x:c r="E162" s="40" t="str">
        <x:v>BR-P-009</x:v>
      </x:c>
      <x:c r="F162" s="40" t="str">
        <x:v>No continuous movement history is retained.</x:v>
      </x:c>
      <x:c r="G162" s="40" t="str">
        <x:v>Not Started</x:v>
      </x:c>
      <x:c r="H162" s="40"/>
    </x:row>
    <x:row r="163">
      <x:c r="A163" s="40" t="str">
        <x:v>VS-15</x:v>
      </x:c>
      <x:c r="B163" s="40" t="n">
        <x:v>15</x:v>
      </x:c>
      <x:c r="C163" s="40" t="str">
        <x:v>Wave 3 — Pathways and Life Administration</x:v>
      </x:c>
      <x:c r="D163" s="40" t="str">
        <x:v>P. Maps and Locations</x:v>
      </x:c>
      <x:c r="E163" s="40" t="str">
        <x:v>BR-P-010</x:v>
      </x:c>
      <x:c r="F163" s="40" t="str">
        <x:v>Diagnostics minimize precise location data.</x:v>
      </x:c>
      <x:c r="G163" s="40" t="str">
        <x:v>Not Started</x:v>
      </x:c>
      <x:c r="H163" s="40"/>
    </x:row>
    <x:row r="164">
      <x:c r="A164" s="40" t="str">
        <x:v>VS-16</x:v>
      </x:c>
      <x:c r="B164" s="40" t="n">
        <x:v>16</x:v>
      </x:c>
      <x:c r="C164" s="40" t="str">
        <x:v>Wave 4 — Device Services and Reliability</x:v>
      </x:c>
      <x:c r="D164" s="40" t="str">
        <x:v>Q. Notifications and Reminders</x:v>
      </x:c>
      <x:c r="E164" s="40" t="str">
        <x:v>BR-Q-001</x:v>
      </x:c>
      <x:c r="F164" s="40" t="str">
        <x:v>Notification permission is optional and contextual.</x:v>
      </x:c>
      <x:c r="G164" s="40" t="str">
        <x:v>Not Started</x:v>
      </x:c>
      <x:c r="H164" s="40"/>
    </x:row>
    <x:row r="165">
      <x:c r="A165" s="40" t="str">
        <x:v>VS-16</x:v>
      </x:c>
      <x:c r="B165" s="40" t="n">
        <x:v>16</x:v>
      </x:c>
      <x:c r="C165" s="40" t="str">
        <x:v>Wave 4 — Device Services and Reliability</x:v>
      </x:c>
      <x:c r="D165" s="40" t="str">
        <x:v>Q. Notifications and Reminders</x:v>
      </x:c>
      <x:c r="E165" s="40" t="str">
        <x:v>BR-Q-002</x:v>
      </x:c>
      <x:c r="F165" s="40" t="str">
        <x:v>Reminder actions do not change outcomes or Actual.</x:v>
      </x:c>
      <x:c r="G165" s="40" t="str">
        <x:v>Not Started</x:v>
      </x:c>
      <x:c r="H165" s="40"/>
    </x:row>
    <x:row r="166">
      <x:c r="A166" s="40" t="str">
        <x:v>VS-16</x:v>
      </x:c>
      <x:c r="B166" s="40" t="n">
        <x:v>16</x:v>
      </x:c>
      <x:c r="C166" s="40" t="str">
        <x:v>Wave 4 — Device Services and Reliability</x:v>
      </x:c>
      <x:c r="D166" s="40" t="str">
        <x:v>Q. Notifications and Reminders</x:v>
      </x:c>
      <x:c r="E166" s="40" t="str">
        <x:v>BR-Q-003</x:v>
      </x:c>
      <x:c r="F166" s="40" t="str">
        <x:v>Reminders use stable source identity, not titles.</x:v>
      </x:c>
      <x:c r="G166" s="40" t="str">
        <x:v>Not Started</x:v>
      </x:c>
      <x:c r="H166" s="40"/>
    </x:row>
    <x:row r="167">
      <x:c r="A167" s="40" t="str">
        <x:v>VS-16</x:v>
      </x:c>
      <x:c r="B167" s="40" t="n">
        <x:v>16</x:v>
      </x:c>
      <x:c r="C167" s="40" t="str">
        <x:v>Wave 4 — Device Services and Reliability</x:v>
      </x:c>
      <x:c r="D167" s="40" t="str">
        <x:v>Q. Notifications and Reminders</x:v>
      </x:c>
      <x:c r="E167" s="40" t="str">
        <x:v>BR-Q-004</x:v>
      </x:c>
      <x:c r="F167" s="40" t="str">
        <x:v>Recurring occurrences have distinct reminder identities.</x:v>
      </x:c>
      <x:c r="G167" s="40" t="str">
        <x:v>Not Started</x:v>
      </x:c>
      <x:c r="H167" s="40"/>
    </x:row>
    <x:row r="168">
      <x:c r="A168" s="40" t="str">
        <x:v>VS-16</x:v>
      </x:c>
      <x:c r="B168" s="40" t="n">
        <x:v>16</x:v>
      </x:c>
      <x:c r="C168" s="40" t="str">
        <x:v>Wave 4 — Device Services and Reliability</x:v>
      </x:c>
      <x:c r="D168" s="40" t="str">
        <x:v>Q. Notifications and Reminders</x:v>
      </x:c>
      <x:c r="E168" s="40" t="str">
        <x:v>BR-Q-005</x:v>
      </x:c>
      <x:c r="F168" s="40" t="str">
        <x:v>Cancelled and rescheduled items reconcile obsolete reminders.</x:v>
      </x:c>
      <x:c r="G168" s="40" t="str">
        <x:v>Not Started</x:v>
      </x:c>
      <x:c r="H168" s="40"/>
    </x:row>
    <x:row r="169">
      <x:c r="A169" s="40" t="str">
        <x:v>VS-16</x:v>
      </x:c>
      <x:c r="B169" s="40" t="n">
        <x:v>16</x:v>
      </x:c>
      <x:c r="C169" s="40" t="str">
        <x:v>Wave 4 — Device Services and Reliability</x:v>
      </x:c>
      <x:c r="D169" s="40" t="str">
        <x:v>Q. Notifications and Reminders</x:v>
      </x:c>
      <x:c r="E169" s="40" t="str">
        <x:v>BR-Q-006</x:v>
      </x:c>
      <x:c r="F169" s="40" t="str">
        <x:v>Awaiting Report reminders do not assign outcomes.</x:v>
      </x:c>
      <x:c r="G169" s="40" t="str">
        <x:v>Not Started</x:v>
      </x:c>
      <x:c r="H169" s="40"/>
    </x:row>
    <x:row r="170">
      <x:c r="A170" s="40" t="str">
        <x:v>VS-16</x:v>
      </x:c>
      <x:c r="B170" s="40" t="n">
        <x:v>16</x:v>
      </x:c>
      <x:c r="C170" s="40" t="str">
        <x:v>Wave 4 — Device Services and Reliability</x:v>
      </x:c>
      <x:c r="D170" s="40" t="str">
        <x:v>Q. Notifications and Reminders</x:v>
      </x:c>
      <x:c r="E170" s="40" t="str">
        <x:v>BR-Q-007</x:v>
      </x:c>
      <x:c r="F170" s="40" t="str">
        <x:v>Weekly Review reminders do not complete reviews.</x:v>
      </x:c>
      <x:c r="G170" s="40" t="str">
        <x:v>Not Started</x:v>
      </x:c>
      <x:c r="H170" s="40"/>
    </x:row>
    <x:row r="171">
      <x:c r="A171" s="40" t="str">
        <x:v>VS-16</x:v>
      </x:c>
      <x:c r="B171" s="40" t="n">
        <x:v>16</x:v>
      </x:c>
      <x:c r="C171" s="40" t="str">
        <x:v>Wave 4 — Device Services and Reliability</x:v>
      </x:c>
      <x:c r="D171" s="40" t="str">
        <x:v>Q. Notifications and Reminders</x:v>
      </x:c>
      <x:c r="E171" s="40" t="str">
        <x:v>BR-Q-008</x:v>
      </x:c>
      <x:c r="F171" s="40" t="str">
        <x:v>Quiet hours are user-controlled.</x:v>
      </x:c>
      <x:c r="G171" s="40" t="str">
        <x:v>Not Started</x:v>
      </x:c>
      <x:c r="H171" s="40"/>
    </x:row>
    <x:row r="172">
      <x:c r="A172" s="40" t="str">
        <x:v>VS-16</x:v>
      </x:c>
      <x:c r="B172" s="40" t="n">
        <x:v>16</x:v>
      </x:c>
      <x:c r="C172" s="40" t="str">
        <x:v>Wave 4 — Device Services and Reliability</x:v>
      </x:c>
      <x:c r="D172" s="40" t="str">
        <x:v>Q. Notifications and Reminders</x:v>
      </x:c>
      <x:c r="E172" s="40" t="str">
        <x:v>BR-Q-009</x:v>
      </x:c>
      <x:c r="F172" s="40" t="str">
        <x:v>Notification previews minimize private content.</x:v>
      </x:c>
      <x:c r="G172" s="40" t="str">
        <x:v>Not Started</x:v>
      </x:c>
      <x:c r="H172" s="40"/>
    </x:row>
    <x:row r="173">
      <x:c r="A173" s="40" t="str">
        <x:v>VS-16</x:v>
      </x:c>
      <x:c r="B173" s="40" t="n">
        <x:v>16</x:v>
      </x:c>
      <x:c r="C173" s="40" t="str">
        <x:v>Wave 4 — Device Services and Reliability</x:v>
      </x:c>
      <x:c r="D173" s="40" t="str">
        <x:v>Q. Notifications and Reminders</x:v>
      </x:c>
      <x:c r="E173" s="40" t="str">
        <x:v>BR-Q-010</x:v>
      </x:c>
      <x:c r="F173" s="40" t="str">
        <x:v>Restart recovery does not duplicate reminders.</x:v>
      </x:c>
      <x:c r="G173" s="40" t="str">
        <x:v>Not Started</x:v>
      </x:c>
      <x:c r="H173" s="40"/>
    </x:row>
    <x:row r="174">
      <x:c r="A174" s="40" t="str">
        <x:v>VS-17</x:v>
      </x:c>
      <x:c r="B174" s="40" t="n">
        <x:v>17</x:v>
      </x:c>
      <x:c r="C174" s="40" t="str">
        <x:v>Wave 4 — Device Services and Reliability</x:v>
      </x:c>
      <x:c r="D174" s="40" t="str">
        <x:v>R. BetterCalendar Import</x:v>
      </x:c>
      <x:c r="E174" s="40" t="str">
        <x:v>BR-R-001</x:v>
      </x:c>
      <x:c r="F174" s="40" t="str">
        <x:v>BetterCalendar import is separate from native restore.</x:v>
      </x:c>
      <x:c r="G174" s="40" t="str">
        <x:v>Not Started</x:v>
      </x:c>
      <x:c r="H174" s="40"/>
    </x:row>
    <x:row r="175">
      <x:c r="A175" s="40" t="str">
        <x:v>VS-17</x:v>
      </x:c>
      <x:c r="B175" s="40" t="n">
        <x:v>17</x:v>
      </x:c>
      <x:c r="C175" s="40" t="str">
        <x:v>Wave 4 — Device Services and Reliability</x:v>
      </x:c>
      <x:c r="D175" s="40" t="str">
        <x:v>R. BetterCalendar Import</x:v>
      </x:c>
      <x:c r="E175" s="40" t="str">
        <x:v>BR-R-002</x:v>
      </x:c>
      <x:c r="F175" s="40" t="str">
        <x:v>Import works without an account.</x:v>
      </x:c>
      <x:c r="G175" s="40" t="str">
        <x:v>Not Started</x:v>
      </x:c>
      <x:c r="H175" s="40"/>
    </x:row>
    <x:row r="176">
      <x:c r="A176" s="40" t="str">
        <x:v>VS-17</x:v>
      </x:c>
      <x:c r="B176" s="40" t="n">
        <x:v>17</x:v>
      </x:c>
      <x:c r="C176" s="40" t="str">
        <x:v>Wave 4 — Device Services and Reliability</x:v>
      </x:c>
      <x:c r="D176" s="40" t="str">
        <x:v>R. BetterCalendar Import</x:v>
      </x:c>
      <x:c r="E176" s="40" t="str">
        <x:v>BR-R-003</x:v>
      </x:c>
      <x:c r="F176" s="40" t="str">
        <x:v>Preview and validation occur before commit.</x:v>
      </x:c>
      <x:c r="G176" s="40" t="str">
        <x:v>Not Started</x:v>
      </x:c>
      <x:c r="H176" s="40"/>
    </x:row>
    <x:row r="177">
      <x:c r="A177" s="40" t="str">
        <x:v>VS-17</x:v>
      </x:c>
      <x:c r="B177" s="40" t="n">
        <x:v>17</x:v>
      </x:c>
      <x:c r="C177" s="40" t="str">
        <x:v>Wave 4 — Device Services and Reliability</x:v>
      </x:c>
      <x:c r="D177" s="40" t="str">
        <x:v>R. BetterCalendar Import</x:v>
      </x:c>
      <x:c r="E177" s="40" t="str">
        <x:v>BR-R-004</x:v>
      </x:c>
      <x:c r="F177" s="40" t="str">
        <x:v>Tasks and Calendar Events remain separate.</x:v>
      </x:c>
      <x:c r="G177" s="40" t="str">
        <x:v>Not Started</x:v>
      </x:c>
      <x:c r="H177" s="40"/>
    </x:row>
    <x:row r="178">
      <x:c r="A178" s="40" t="str">
        <x:v>VS-17</x:v>
      </x:c>
      <x:c r="B178" s="40" t="n">
        <x:v>17</x:v>
      </x:c>
      <x:c r="C178" s="40" t="str">
        <x:v>Wave 4 — Device Services and Reliability</x:v>
      </x:c>
      <x:c r="D178" s="40" t="str">
        <x:v>R. BetterCalendar Import</x:v>
      </x:c>
      <x:c r="E178" s="40" t="str">
        <x:v>BR-R-005</x:v>
      </x:c>
      <x:c r="F178" s="40" t="str">
        <x:v>Duplicate Task representations import once.</x:v>
      </x:c>
      <x:c r="G178" s="40" t="str">
        <x:v>Not Started</x:v>
      </x:c>
      <x:c r="H178" s="40"/>
    </x:row>
    <x:row r="179">
      <x:c r="A179" s="40" t="str">
        <x:v>VS-17</x:v>
      </x:c>
      <x:c r="B179" s="40" t="n">
        <x:v>17</x:v>
      </x:c>
      <x:c r="C179" s="40" t="str">
        <x:v>Wave 4 — Device Services and Reliability</x:v>
      </x:c>
      <x:c r="D179" s="40" t="str">
        <x:v>R. BetterCalendar Import</x:v>
      </x:c>
      <x:c r="E179" s="40" t="str">
        <x:v>BR-R-006</x:v>
      </x:c>
      <x:c r="F179" s="40" t="str">
        <x:v>Deduplication uses stable identity, not title.</x:v>
      </x:c>
      <x:c r="G179" s="40" t="str">
        <x:v>Not Started</x:v>
      </x:c>
      <x:c r="H179" s="40"/>
    </x:row>
    <x:row r="180">
      <x:c r="A180" s="40" t="str">
        <x:v>VS-17</x:v>
      </x:c>
      <x:c r="B180" s="40" t="n">
        <x:v>17</x:v>
      </x:c>
      <x:c r="C180" s="40" t="str">
        <x:v>Wave 4 — Device Services and Reliability</x:v>
      </x:c>
      <x:c r="D180" s="40" t="str">
        <x:v>R. BetterCalendar Import</x:v>
      </x:c>
      <x:c r="E180" s="40" t="str">
        <x:v>BR-R-007</x:v>
      </x:c>
      <x:c r="F180" s="40" t="str">
        <x:v>Imported schedules and completion flags do not create Actual.</x:v>
      </x:c>
      <x:c r="G180" s="40" t="str">
        <x:v>Not Started</x:v>
      </x:c>
      <x:c r="H180" s="40"/>
    </x:row>
    <x:row r="181">
      <x:c r="A181" s="40" t="str">
        <x:v>VS-17</x:v>
      </x:c>
      <x:c r="B181" s="40" t="n">
        <x:v>17</x:v>
      </x:c>
      <x:c r="C181" s="40" t="str">
        <x:v>Wave 4 — Device Services and Reliability</x:v>
      </x:c>
      <x:c r="D181" s="40" t="str">
        <x:v>R. BetterCalendar Import</x:v>
      </x:c>
      <x:c r="E181" s="40" t="str">
        <x:v>BR-R-008</x:v>
      </x:c>
      <x:c r="F181" s="40" t="str">
        <x:v>Unsupported fields are reported.</x:v>
      </x:c>
      <x:c r="G181" s="40" t="str">
        <x:v>Not Started</x:v>
      </x:c>
      <x:c r="H181" s="40"/>
    </x:row>
    <x:row r="182">
      <x:c r="A182" s="40" t="str">
        <x:v>VS-17</x:v>
      </x:c>
      <x:c r="B182" s="40" t="n">
        <x:v>17</x:v>
      </x:c>
      <x:c r="C182" s="40" t="str">
        <x:v>Wave 4 — Device Services and Reliability</x:v>
      </x:c>
      <x:c r="D182" s="40" t="str">
        <x:v>R. BetterCalendar Import</x:v>
      </x:c>
      <x:c r="E182" s="40" t="str">
        <x:v>BR-R-009</x:v>
      </x:c>
      <x:c r="F182" s="40" t="str">
        <x:v>Import retains provenance and is idempotent.</x:v>
      </x:c>
      <x:c r="G182" s="40" t="str">
        <x:v>Not Started</x:v>
      </x:c>
      <x:c r="H182" s="40"/>
    </x:row>
    <x:row r="183">
      <x:c r="A183" s="40" t="str">
        <x:v>VS-17</x:v>
      </x:c>
      <x:c r="B183" s="40" t="n">
        <x:v>17</x:v>
      </x:c>
      <x:c r="C183" s="40" t="str">
        <x:v>Wave 4 — Device Services and Reliability</x:v>
      </x:c>
      <x:c r="D183" s="40" t="str">
        <x:v>R. BetterCalendar Import</x:v>
      </x:c>
      <x:c r="E183" s="40" t="str">
        <x:v>BR-R-010</x:v>
      </x:c>
      <x:c r="F183" s="40" t="str">
        <x:v>A recovery checkpoint precedes commit.</x:v>
      </x:c>
      <x:c r="G183" s="40" t="str">
        <x:v>Not Started</x:v>
      </x:c>
      <x:c r="H183" s="40"/>
    </x:row>
    <x:row r="184">
      <x:c r="A184" s="40" t="str">
        <x:v>VS-18</x:v>
      </x:c>
      <x:c r="B184" s="40" t="n">
        <x:v>18</x:v>
      </x:c>
      <x:c r="C184" s="40" t="str">
        <x:v>Wave 4 — Device Services and Reliability</x:v>
      </x:c>
      <x:c r="D184" s="40" t="str">
        <x:v>S. Backup, Export, and Restore</x:v>
      </x:c>
      <x:c r="E184" s="40" t="str">
        <x:v>BR-S-001</x:v>
      </x:c>
      <x:c r="F184" s="40" t="str">
        <x:v>Backup, export, restore, import, and synchronization are distinct.</x:v>
      </x:c>
      <x:c r="G184" s="40" t="str">
        <x:v>Not Started</x:v>
      </x:c>
      <x:c r="H184" s="40"/>
    </x:row>
    <x:row r="185">
      <x:c r="A185" s="40" t="str">
        <x:v>VS-18</x:v>
      </x:c>
      <x:c r="B185" s="40" t="n">
        <x:v>18</x:v>
      </x:c>
      <x:c r="C185" s="40" t="str">
        <x:v>Wave 4 — Device Services and Reliability</x:v>
      </x:c>
      <x:c r="D185" s="40" t="str">
        <x:v>S. Backup, Export, and Restore</x:v>
      </x:c>
      <x:c r="E185" s="40" t="str">
        <x:v>BR-S-002</x:v>
      </x:c>
      <x:c r="F185" s="40" t="str">
        <x:v>Guest users can create and restore native backups.</x:v>
      </x:c>
      <x:c r="G185" s="40" t="str">
        <x:v>Not Started</x:v>
      </x:c>
      <x:c r="H185" s="40"/>
    </x:row>
    <x:row r="186">
      <x:c r="A186" s="40" t="str">
        <x:v>VS-18</x:v>
      </x:c>
      <x:c r="B186" s="40" t="n">
        <x:v>18</x:v>
      </x:c>
      <x:c r="C186" s="40" t="str">
        <x:v>Wave 4 — Device Services and Reliability</x:v>
      </x:c>
      <x:c r="D186" s="40" t="str">
        <x:v>S. Backup, Export, and Restore</x:v>
      </x:c>
      <x:c r="E186" s="40" t="str">
        <x:v>BR-S-003</x:v>
      </x:c>
      <x:c r="F186" s="40" t="str">
        <x:v>Native backup preserves domain identities and canonical history.</x:v>
      </x:c>
      <x:c r="G186" s="40" t="str">
        <x:v>Not Started</x:v>
      </x:c>
      <x:c r="H186" s="40"/>
    </x:row>
    <x:row r="187">
      <x:c r="A187" s="40" t="str">
        <x:v>VS-18</x:v>
      </x:c>
      <x:c r="B187" s="40" t="n">
        <x:v>18</x:v>
      </x:c>
      <x:c r="C187" s="40" t="str">
        <x:v>Wave 4 — Device Services and Reliability</x:v>
      </x:c>
      <x:c r="D187" s="40" t="str">
        <x:v>S. Backup, Export, and Restore</x:v>
      </x:c>
      <x:c r="E187" s="40" t="str">
        <x:v>BR-S-004</x:v>
      </x:c>
      <x:c r="F187" s="40" t="str">
        <x:v>Restore validates compatibility and integrity before commit.</x:v>
      </x:c>
      <x:c r="G187" s="40" t="str">
        <x:v>Not Started</x:v>
      </x:c>
      <x:c r="H187" s="40"/>
    </x:row>
    <x:row r="188">
      <x:c r="A188" s="40" t="str">
        <x:v>VS-18</x:v>
      </x:c>
      <x:c r="B188" s="40" t="n">
        <x:v>18</x:v>
      </x:c>
      <x:c r="C188" s="40" t="str">
        <x:v>Wave 4 — Device Services and Reliability</x:v>
      </x:c>
      <x:c r="D188" s="40" t="str">
        <x:v>S. Backup, Export, and Restore</x:v>
      </x:c>
      <x:c r="E188" s="40" t="str">
        <x:v>BR-S-005</x:v>
      </x:c>
      <x:c r="F188" s="40" t="str">
        <x:v>Restore does not silently overwrite newer local data.</x:v>
      </x:c>
      <x:c r="G188" s="40" t="str">
        <x:v>Not Started</x:v>
      </x:c>
      <x:c r="H188" s="40"/>
    </x:row>
    <x:row r="189">
      <x:c r="A189" s="40" t="str">
        <x:v>VS-18</x:v>
      </x:c>
      <x:c r="B189" s="40" t="n">
        <x:v>18</x:v>
      </x:c>
      <x:c r="C189" s="40" t="str">
        <x:v>Wave 4 — Device Services and Reliability</x:v>
      </x:c>
      <x:c r="D189" s="40" t="str">
        <x:v>S. Backup, Export, and Restore</x:v>
      </x:c>
      <x:c r="E189" s="40" t="str">
        <x:v>BR-S-006</x:v>
      </x:c>
      <x:c r="F189" s="40" t="str">
        <x:v>A pre-restore recovery copy precedes destructive behavior.</x:v>
      </x:c>
      <x:c r="G189" s="40" t="str">
        <x:v>Not Started</x:v>
      </x:c>
      <x:c r="H189" s="40"/>
    </x:row>
    <x:row r="190">
      <x:c r="A190" s="40" t="str">
        <x:v>VS-18</x:v>
      </x:c>
      <x:c r="B190" s="40" t="n">
        <x:v>18</x:v>
      </x:c>
      <x:c r="C190" s="40" t="str">
        <x:v>Wave 4 — Device Services and Reliability</x:v>
      </x:c>
      <x:c r="D190" s="40" t="str">
        <x:v>S. Backup, Export, and Restore</x:v>
      </x:c>
      <x:c r="E190" s="40" t="str">
        <x:v>BR-S-007</x:v>
      </x:c>
      <x:c r="F190" s="40" t="str">
        <x:v>Partial restore cannot create invalid relationships.</x:v>
      </x:c>
      <x:c r="G190" s="40" t="str">
        <x:v>Not Started</x:v>
      </x:c>
      <x:c r="H190" s="40"/>
    </x:row>
    <x:row r="191">
      <x:c r="A191" s="40" t="str">
        <x:v>VS-18</x:v>
      </x:c>
      <x:c r="B191" s="40" t="n">
        <x:v>18</x:v>
      </x:c>
      <x:c r="C191" s="40" t="str">
        <x:v>Wave 4 — Device Services and Reliability</x:v>
      </x:c>
      <x:c r="D191" s="40" t="str">
        <x:v>S. Backup, Export, and Restore</x:v>
      </x:c>
      <x:c r="E191" s="40" t="str">
        <x:v>BR-S-008</x:v>
      </x:c>
      <x:c r="F191" s="40" t="str">
        <x:v>Projections rebuild from canonical ledger history.</x:v>
      </x:c>
      <x:c r="G191" s="40" t="str">
        <x:v>Not Started</x:v>
      </x:c>
      <x:c r="H191" s="40"/>
    </x:row>
    <x:row r="192">
      <x:c r="A192" s="40" t="str">
        <x:v>VS-18</x:v>
      </x:c>
      <x:c r="B192" s="40" t="n">
        <x:v>18</x:v>
      </x:c>
      <x:c r="C192" s="40" t="str">
        <x:v>Wave 4 — Device Services and Reliability</x:v>
      </x:c>
      <x:c r="D192" s="40" t="str">
        <x:v>S. Backup, Export, and Restore</x:v>
      </x:c>
      <x:c r="E192" s="40" t="str">
        <x:v>BR-S-009</x:v>
      </x:c>
      <x:c r="F192" s="40" t="str">
        <x:v>Backup files are highly sensitive.</x:v>
      </x:c>
      <x:c r="G192" s="40" t="str">
        <x:v>Not Started</x:v>
      </x:c>
      <x:c r="H192" s="40"/>
    </x:row>
    <x:row r="193">
      <x:c r="A193" s="40" t="str">
        <x:v>VS-18</x:v>
      </x:c>
      <x:c r="B193" s="40" t="n">
        <x:v>18</x:v>
      </x:c>
      <x:c r="C193" s="40" t="str">
        <x:v>Wave 4 — Device Services and Reliability</x:v>
      </x:c>
      <x:c r="D193" s="40" t="str">
        <x:v>S. Backup, Export, and Restore</x:v>
      </x:c>
      <x:c r="E193" s="40" t="str">
        <x:v>BR-S-010</x:v>
      </x:c>
      <x:c r="F193" s="40" t="str">
        <x:v>Backup and restore operate offline.</x:v>
      </x:c>
      <x:c r="G193" s="40" t="str">
        <x:v>Not Started</x:v>
      </x:c>
      <x:c r="H193" s="40"/>
    </x:row>
    <x:row r="194">
      <x:c r="A194" s="40" t="str">
        <x:v>VS-19</x:v>
      </x:c>
      <x:c r="B194" s="40" t="n">
        <x:v>19</x:v>
      </x:c>
      <x:c r="C194" s="40" t="str">
        <x:v>Wave 4 — Device Services and Reliability</x:v>
      </x:c>
      <x:c r="D194" s="40" t="str">
        <x:v>T. Account and Synchronization</x:v>
      </x:c>
      <x:c r="E194" s="40" t="str">
        <x:v>BR-T-001</x:v>
      </x:c>
      <x:c r="F194" s="40" t="str">
        <x:v>Account creation is optional and the Local Profile exists independently.</x:v>
      </x:c>
      <x:c r="G194" s="40" t="str">
        <x:v>Not Started</x:v>
      </x:c>
      <x:c r="H194" s="40"/>
    </x:row>
    <x:row r="195">
      <x:c r="A195" s="40" t="str">
        <x:v>VS-19</x:v>
      </x:c>
      <x:c r="B195" s="40" t="n">
        <x:v>19</x:v>
      </x:c>
      <x:c r="C195" s="40" t="str">
        <x:v>Wave 4 — Device Services and Reliability</x:v>
      </x:c>
      <x:c r="D195" s="40" t="str">
        <x:v>T. Account and Synchronization</x:v>
      </x:c>
      <x:c r="E195" s="40" t="str">
        <x:v>BR-T-002</x:v>
      </x:c>
      <x:c r="F195" s="40" t="str">
        <x:v>Drift remains the operational source.</x:v>
      </x:c>
      <x:c r="G195" s="40" t="str">
        <x:v>Not Started</x:v>
      </x:c>
      <x:c r="H195" s="40"/>
    </x:row>
    <x:row r="196">
      <x:c r="A196" s="40" t="str">
        <x:v>VS-19</x:v>
      </x:c>
      <x:c r="B196" s="40" t="n">
        <x:v>19</x:v>
      </x:c>
      <x:c r="C196" s="40" t="str">
        <x:v>Wave 4 — Device Services and Reliability</x:v>
      </x:c>
      <x:c r="D196" s="40" t="str">
        <x:v>T. Account and Synchronization</x:v>
      </x:c>
      <x:c r="E196" s="40" t="str">
        <x:v>BR-T-003</x:v>
      </x:c>
      <x:c r="F196" s="40" t="str">
        <x:v>Offline changes enter a durable outbox.</x:v>
      </x:c>
      <x:c r="G196" s="40" t="str">
        <x:v>Not Started</x:v>
      </x:c>
      <x:c r="H196" s="40"/>
    </x:row>
    <x:row r="197">
      <x:c r="A197" s="40" t="str">
        <x:v>VS-19</x:v>
      </x:c>
      <x:c r="B197" s="40" t="n">
        <x:v>19</x:v>
      </x:c>
      <x:c r="C197" s="40" t="str">
        <x:v>Wave 4 — Device Services and Reliability</x:v>
      </x:c>
      <x:c r="D197" s="40" t="str">
        <x:v>T. Account and Synchronization</x:v>
      </x:c>
      <x:c r="E197" s="40" t="str">
        <x:v>BR-T-004</x:v>
      </x:c>
      <x:c r="F197" s="40" t="str">
        <x:v>Sync failure does not block local use.</x:v>
      </x:c>
      <x:c r="G197" s="40" t="str">
        <x:v>Not Started</x:v>
      </x:c>
      <x:c r="H197" s="40"/>
    </x:row>
    <x:row r="198">
      <x:c r="A198" s="40" t="str">
        <x:v>VS-19</x:v>
      </x:c>
      <x:c r="B198" s="40" t="n">
        <x:v>19</x:v>
      </x:c>
      <x:c r="C198" s="40" t="str">
        <x:v>Wave 4 — Device Services and Reliability</x:v>
      </x:c>
      <x:c r="D198" s="40" t="str">
        <x:v>T. Account and Synchronization</x:v>
      </x:c>
      <x:c r="E198" s="40" t="str">
        <x:v>BR-T-005</x:v>
      </x:c>
      <x:c r="F198" s="40" t="str">
        <x:v>First sync never silently chooses cloud over local.</x:v>
      </x:c>
      <x:c r="G198" s="40" t="str">
        <x:v>Not Started</x:v>
      </x:c>
      <x:c r="H198" s="40"/>
    </x:row>
    <x:row r="199">
      <x:c r="A199" s="40" t="str">
        <x:v>VS-19</x:v>
      </x:c>
      <x:c r="B199" s="40" t="n">
        <x:v>19</x:v>
      </x:c>
      <x:c r="C199" s="40" t="str">
        <x:v>Wave 4 — Device Services and Reliability</x:v>
      </x:c>
      <x:c r="D199" s="40" t="str">
        <x:v>T. Account and Synchronization</x:v>
      </x:c>
      <x:c r="E199" s="40" t="str">
        <x:v>BR-T-006</x:v>
      </x:c>
      <x:c r="F199" s="40" t="str">
        <x:v>Sign-out does not delete local data.</x:v>
      </x:c>
      <x:c r="G199" s="40" t="str">
        <x:v>Not Started</x:v>
      </x:c>
      <x:c r="H199" s="40"/>
    </x:row>
    <x:row r="200">
      <x:c r="A200" s="40" t="str">
        <x:v>VS-19</x:v>
      </x:c>
      <x:c r="B200" s="40" t="n">
        <x:v>19</x:v>
      </x:c>
      <x:c r="C200" s="40" t="str">
        <x:v>Wave 4 — Device Services and Reliability</x:v>
      </x:c>
      <x:c r="D200" s="40" t="str">
        <x:v>T. Account and Synchronization</x:v>
      </x:c>
      <x:c r="E200" s="40" t="str">
        <x:v>BR-T-007</x:v>
      </x:c>
      <x:c r="F200" s="40" t="str">
        <x:v>Sign-out, sync pause, cloud deletion, and local deletion are distinct.</x:v>
      </x:c>
      <x:c r="G200" s="40" t="str">
        <x:v>Not Started</x:v>
      </x:c>
      <x:c r="H200" s="40"/>
    </x:row>
    <x:row r="201">
      <x:c r="A201" s="40" t="str">
        <x:v>VS-19</x:v>
      </x:c>
      <x:c r="B201" s="40" t="n">
        <x:v>19</x:v>
      </x:c>
      <x:c r="C201" s="40" t="str">
        <x:v>Wave 4 — Device Services and Reliability</x:v>
      </x:c>
      <x:c r="D201" s="40" t="str">
        <x:v>T. Account and Synchronization</x:v>
      </x:c>
      <x:c r="E201" s="40" t="str">
        <x:v>BR-T-008</x:v>
      </x:c>
      <x:c r="F201" s="40" t="str">
        <x:v>RLS restricts every cloud row to its owner.</x:v>
      </x:c>
      <x:c r="G201" s="40" t="str">
        <x:v>Not Started</x:v>
      </x:c>
      <x:c r="H201" s="40"/>
    </x:row>
    <x:row r="202">
      <x:c r="A202" s="40" t="str">
        <x:v>VS-19</x:v>
      </x:c>
      <x:c r="B202" s="40" t="n">
        <x:v>19</x:v>
      </x:c>
      <x:c r="C202" s="40" t="str">
        <x:v>Wave 4 — Device Services and Reliability</x:v>
      </x:c>
      <x:c r="D202" s="40" t="str">
        <x:v>T. Account and Synchronization</x:v>
      </x:c>
      <x:c r="E202" s="40" t="str">
        <x:v>BR-T-009</x:v>
      </x:c>
      <x:c r="F202" s="40" t="str">
        <x:v>Conflict resolution preserves canonical history and relationships.</x:v>
      </x:c>
      <x:c r="G202" s="40" t="str">
        <x:v>Not Started</x:v>
      </x:c>
      <x:c r="H202" s="40"/>
    </x:row>
    <x:row r="203">
      <x:c r="A203" s="40" t="str">
        <x:v>VS-19</x:v>
      </x:c>
      <x:c r="B203" s="40" t="n">
        <x:v>19</x:v>
      </x:c>
      <x:c r="C203" s="40" t="str">
        <x:v>Wave 4 — Device Services and Reliability</x:v>
      </x:c>
      <x:c r="D203" s="40" t="str">
        <x:v>T. Account and Synchronization</x:v>
      </x:c>
      <x:c r="E203" s="40" t="str">
        <x:v>BR-T-010</x:v>
      </x:c>
      <x:c r="F203" s="40" t="str">
        <x:v>Synchronization does not create sharing or collaboration.</x:v>
      </x:c>
      <x:c r="G203" s="40" t="str">
        <x:v>Not Started</x:v>
      </x:c>
      <x:c r="H203" s="40"/>
    </x:row>
    <x:row r="204">
      <x:c r="A204" s="40" t="str">
        <x:v>VS-16</x:v>
      </x:c>
      <x:c r="B204" s="40" t="n">
        <x:v>16</x:v>
      </x:c>
      <x:c r="C204" s="40" t="str">
        <x:v>Wave 4 — Device Services and Reliability</x:v>
      </x:c>
      <x:c r="D204" s="40" t="str">
        <x:v>U. Notifications and Background Work</x:v>
      </x:c>
      <x:c r="E204" s="40" t="str">
        <x:v>BR-U-001</x:v>
      </x:c>
      <x:c r="F204" s="40" t="str">
        <x:v>Background work is limited to approved product functions.</x:v>
      </x:c>
      <x:c r="G204" s="40" t="str">
        <x:v>Not Started</x:v>
      </x:c>
      <x:c r="H204" s="40"/>
    </x:row>
    <x:row r="205">
      <x:c r="A205" s="40" t="str">
        <x:v>VS-16</x:v>
      </x:c>
      <x:c r="B205" s="40" t="n">
        <x:v>16</x:v>
      </x:c>
      <x:c r="C205" s="40" t="str">
        <x:v>Wave 4 — Device Services and Reliability</x:v>
      </x:c>
      <x:c r="D205" s="40" t="str">
        <x:v>U. Notifications and Background Work</x:v>
      </x:c>
      <x:c r="E205" s="40" t="str">
        <x:v>BR-U-002</x:v>
      </x:c>
      <x:c r="F205" s="40" t="str">
        <x:v>Background execution never establishes factual outcomes or Actual by itself.</x:v>
      </x:c>
      <x:c r="G205" s="40" t="str">
        <x:v>Not Started</x:v>
      </x:c>
      <x:c r="H205" s="40"/>
    </x:row>
    <x:row r="206">
      <x:c r="A206" s="40" t="str">
        <x:v>VS-16</x:v>
      </x:c>
      <x:c r="B206" s="40" t="n">
        <x:v>16</x:v>
      </x:c>
      <x:c r="C206" s="40" t="str">
        <x:v>Wave 4 — Device Services and Reliability</x:v>
      </x:c>
      <x:c r="D206" s="40" t="str">
        <x:v>U. Notifications and Background Work</x:v>
      </x:c>
      <x:c r="E206" s="40" t="str">
        <x:v>BR-U-003</x:v>
      </x:c>
      <x:c r="F206" s="40" t="str">
        <x:v>Every background job has a stable identity and idempotent retry behavior.</x:v>
      </x:c>
      <x:c r="G206" s="40" t="str">
        <x:v>Not Started</x:v>
      </x:c>
      <x:c r="H206" s="40"/>
    </x:row>
    <x:row r="207">
      <x:c r="A207" s="40" t="str">
        <x:v>VS-16</x:v>
      </x:c>
      <x:c r="B207" s="40" t="n">
        <x:v>16</x:v>
      </x:c>
      <x:c r="C207" s="40" t="str">
        <x:v>Wave 4 — Device Services and Reliability</x:v>
      </x:c>
      <x:c r="D207" s="40" t="str">
        <x:v>U. Notifications and Background Work</x:v>
      </x:c>
      <x:c r="E207" s="40" t="str">
        <x:v>BR-U-004</x:v>
      </x:c>
      <x:c r="F207" s="40" t="str">
        <x:v>Android execution constraints are respected.</x:v>
      </x:c>
      <x:c r="G207" s="40" t="str">
        <x:v>Not Started</x:v>
      </x:c>
      <x:c r="H207" s="40"/>
    </x:row>
    <x:row r="208">
      <x:c r="A208" s="40" t="str">
        <x:v>VS-16</x:v>
      </x:c>
      <x:c r="B208" s="40" t="n">
        <x:v>16</x:v>
      </x:c>
      <x:c r="C208" s="40" t="str">
        <x:v>Wave 4 — Device Services and Reliability</x:v>
      </x:c>
      <x:c r="D208" s="40" t="str">
        <x:v>U. Notifications and Background Work</x:v>
      </x:c>
      <x:c r="E208" s="40" t="str">
        <x:v>BR-U-005</x:v>
      </x:c>
      <x:c r="F208" s="40" t="str">
        <x:v>Foreground services are used only when genuinely required and visible to the user.</x:v>
      </x:c>
      <x:c r="G208" s="40" t="str">
        <x:v>Not Started</x:v>
      </x:c>
      <x:c r="H208" s="40"/>
    </x:row>
    <x:row r="209">
      <x:c r="A209" s="40" t="str">
        <x:v>VS-16</x:v>
      </x:c>
      <x:c r="B209" s="40" t="n">
        <x:v>16</x:v>
      </x:c>
      <x:c r="C209" s="40" t="str">
        <x:v>Wave 4 — Device Services and Reliability</x:v>
      </x:c>
      <x:c r="D209" s="40" t="str">
        <x:v>U. Notifications and Background Work</x:v>
      </x:c>
      <x:c r="E209" s="40" t="str">
        <x:v>BR-U-006</x:v>
      </x:c>
      <x:c r="F209" s="40" t="str">
        <x:v>Background location is excluded from V1.</x:v>
      </x:c>
      <x:c r="G209" s="40" t="str">
        <x:v>Not Started</x:v>
      </x:c>
      <x:c r="H209" s="40"/>
    </x:row>
    <x:row r="210">
      <x:c r="A210" s="40" t="str">
        <x:v>VS-16</x:v>
      </x:c>
      <x:c r="B210" s="40" t="n">
        <x:v>16</x:v>
      </x:c>
      <x:c r="C210" s="40" t="str">
        <x:v>Wave 4 — Device Services and Reliability</x:v>
      </x:c>
      <x:c r="D210" s="40" t="str">
        <x:v>U. Notifications and Background Work</x:v>
      </x:c>
      <x:c r="E210" s="40" t="str">
        <x:v>BR-U-007</x:v>
      </x:c>
      <x:c r="F210" s="40" t="str">
        <x:v>Outbox work preserves local-first use.</x:v>
      </x:c>
      <x:c r="G210" s="40" t="str">
        <x:v>Not Started</x:v>
      </x:c>
      <x:c r="H210" s="40"/>
    </x:row>
    <x:row r="211">
      <x:c r="A211" s="40" t="str">
        <x:v>VS-16</x:v>
      </x:c>
      <x:c r="B211" s="40" t="n">
        <x:v>16</x:v>
      </x:c>
      <x:c r="C211" s="40" t="str">
        <x:v>Wave 4 — Device Services and Reliability</x:v>
      </x:c>
      <x:c r="D211" s="40" t="str">
        <x:v>U. Notifications and Background Work</x:v>
      </x:c>
      <x:c r="E211" s="40" t="str">
        <x:v>BR-U-008</x:v>
      </x:c>
      <x:c r="F211" s="40" t="str">
        <x:v>Content checks preserve bundled and user-created state.</x:v>
      </x:c>
      <x:c r="G211" s="40" t="str">
        <x:v>Not Started</x:v>
      </x:c>
      <x:c r="H211" s="40"/>
    </x:row>
    <x:row r="212">
      <x:c r="A212" s="40" t="str">
        <x:v>VS-16</x:v>
      </x:c>
      <x:c r="B212" s="40" t="n">
        <x:v>16</x:v>
      </x:c>
      <x:c r="C212" s="40" t="str">
        <x:v>Wave 4 — Device Services and Reliability</x:v>
      </x:c>
      <x:c r="D212" s="40" t="str">
        <x:v>U. Notifications and Background Work</x:v>
      </x:c>
      <x:c r="E212" s="40" t="str">
        <x:v>BR-U-009</x:v>
      </x:c>
      <x:c r="F212" s="40" t="str">
        <x:v>Obsolete jobs are cancelled with their owning record.</x:v>
      </x:c>
      <x:c r="G212" s="40" t="str">
        <x:v>Not Started</x:v>
      </x:c>
      <x:c r="H212" s="40"/>
    </x:row>
    <x:row r="213">
      <x:c r="A213" s="40" t="str">
        <x:v>VS-16</x:v>
      </x:c>
      <x:c r="B213" s="40" t="n">
        <x:v>16</x:v>
      </x:c>
      <x:c r="C213" s="40" t="str">
        <x:v>Wave 4 — Device Services and Reliability</x:v>
      </x:c>
      <x:c r="D213" s="40" t="str">
        <x:v>U. Notifications and Background Work</x:v>
      </x:c>
      <x:c r="E213" s="40" t="str">
        <x:v>BR-U-010</x:v>
      </x:c>
      <x:c r="F213" s="40" t="str">
        <x:v>Logs and diagnostics exclude private content.</x:v>
      </x:c>
      <x:c r="G213" s="40" t="str">
        <x:v>Not Started</x:v>
      </x:c>
      <x:c r="H213" s="40"/>
    </x:row>
    <x:row r="214">
      <x:c r="A214" s="40" t="str">
        <x:v>VS-16</x:v>
      </x:c>
      <x:c r="B214" s="40" t="n">
        <x:v>16</x:v>
      </x:c>
      <x:c r="C214" s="40" t="str">
        <x:v>Wave 4 — Device Services and Reliability</x:v>
      </x:c>
      <x:c r="D214" s="40" t="str">
        <x:v>U. Notifications and Background Work</x:v>
      </x:c>
      <x:c r="E214" s="40" t="str">
        <x:v>BR-U-011</x:v>
      </x:c>
      <x:c r="F214" s="40" t="str">
        <x:v>Guest-compatible jobs do not require an account.</x:v>
      </x:c>
      <x:c r="G214" s="40" t="str">
        <x:v>Not Started</x:v>
      </x:c>
      <x:c r="H214" s="40"/>
    </x:row>
    <x:row r="215">
      <x:c r="A215" s="40" t="str">
        <x:v>VS-16</x:v>
      </x:c>
      <x:c r="B215" s="40" t="n">
        <x:v>16</x:v>
      </x:c>
      <x:c r="C215" s="40" t="str">
        <x:v>Wave 4 — Device Services and Reliability</x:v>
      </x:c>
      <x:c r="D215" s="40" t="str">
        <x:v>U. Notifications and Background Work</x:v>
      </x:c>
      <x:c r="E215" s="40" t="str">
        <x:v>BR-U-012</x:v>
      </x:c>
      <x:c r="F215" s="40" t="str">
        <x:v>Execution delay never implies domain completion.</x:v>
      </x:c>
      <x:c r="G215" s="40" t="str">
        <x:v>Not Started</x:v>
      </x:c>
      <x:c r="H215" s="40"/>
    </x:row>
    <x:row r="216">
      <x:c r="A216" s="40" t="str">
        <x:v>VS-20</x:v>
      </x:c>
      <x:c r="B216" s="40" t="n">
        <x:v>20</x:v>
      </x:c>
      <x:c r="C216" s="40" t="str">
        <x:v>Wave 4 — Device Services and Reliability</x:v>
      </x:c>
      <x:c r="D216" s="40" t="str">
        <x:v>V. Device-Calendar Manual Import and Export</x:v>
      </x:c>
      <x:c r="E216" s="40" t="str">
        <x:v>BR-V-001</x:v>
      </x:c>
      <x:c r="F216" s="40" t="str">
        <x:v>The internal Planner remains authoritative.</x:v>
      </x:c>
      <x:c r="G216" s="40" t="str">
        <x:v>Not Started</x:v>
      </x:c>
      <x:c r="H216" s="40"/>
    </x:row>
    <x:row r="217">
      <x:c r="A217" s="40" t="str">
        <x:v>VS-20</x:v>
      </x:c>
      <x:c r="B217" s="40" t="n">
        <x:v>20</x:v>
      </x:c>
      <x:c r="C217" s="40" t="str">
        <x:v>Wave 4 — Device Services and Reliability</x:v>
      </x:c>
      <x:c r="D217" s="40" t="str">
        <x:v>V. Device-Calendar Manual Import and Export</x:v>
      </x:c>
      <x:c r="E217" s="40" t="str">
        <x:v>BR-V-002</x:v>
      </x:c>
      <x:c r="F217" s="40" t="str">
        <x:v>Device-calendar integration is optional and manual in V1.</x:v>
      </x:c>
      <x:c r="G217" s="40" t="str">
        <x:v>Not Started</x:v>
      </x:c>
      <x:c r="H217" s="40"/>
    </x:row>
    <x:row r="218">
      <x:c r="A218" s="40" t="str">
        <x:v>VS-20</x:v>
      </x:c>
      <x:c r="B218" s="40" t="n">
        <x:v>20</x:v>
      </x:c>
      <x:c r="C218" s="40" t="str">
        <x:v>Wave 4 — Device Services and Reliability</x:v>
      </x:c>
      <x:c r="D218" s="40" t="str">
        <x:v>V. Device-Calendar Manual Import and Export</x:v>
      </x:c>
      <x:c r="E218" s="40" t="str">
        <x:v>BR-V-003</x:v>
      </x:c>
      <x:c r="F218" s="40" t="str">
        <x:v>Calendar permission is contextual.</x:v>
      </x:c>
      <x:c r="G218" s="40" t="str">
        <x:v>Not Started</x:v>
      </x:c>
      <x:c r="H218" s="40"/>
    </x:row>
    <x:row r="219">
      <x:c r="A219" s="40" t="str">
        <x:v>VS-20</x:v>
      </x:c>
      <x:c r="B219" s="40" t="n">
        <x:v>20</x:v>
      </x:c>
      <x:c r="C219" s="40" t="str">
        <x:v>Wave 4 — Device Services and Reliability</x:v>
      </x:c>
      <x:c r="D219" s="40" t="str">
        <x:v>V. Device-Calendar Manual Import and Export</x:v>
      </x:c>
      <x:c r="E219" s="40" t="str">
        <x:v>BR-V-004</x:v>
      </x:c>
      <x:c r="F219" s="40" t="str">
        <x:v>External events are previewed before import.</x:v>
      </x:c>
      <x:c r="G219" s="40" t="str">
        <x:v>Not Started</x:v>
      </x:c>
      <x:c r="H219" s="40"/>
    </x:row>
    <x:row r="220">
      <x:c r="A220" s="40" t="str">
        <x:v>VS-20</x:v>
      </x:c>
      <x:c r="B220" s="40" t="n">
        <x:v>20</x:v>
      </x:c>
      <x:c r="C220" s="40" t="str">
        <x:v>Wave 4 — Device Services and Reliability</x:v>
      </x:c>
      <x:c r="D220" s="40" t="str">
        <x:v>V. Device-Calendar Manual Import and Export</x:v>
      </x:c>
      <x:c r="E220" s="40" t="str">
        <x:v>BR-V-005</x:v>
      </x:c>
      <x:c r="F220" s="40" t="str">
        <x:v>Imported events receive Next Transfer UUIDs.</x:v>
      </x:c>
      <x:c r="G220" s="40" t="str">
        <x:v>Not Started</x:v>
      </x:c>
      <x:c r="H220" s="40"/>
    </x:row>
    <x:row r="221">
      <x:c r="A221" s="40" t="str">
        <x:v>VS-20</x:v>
      </x:c>
      <x:c r="B221" s="40" t="n">
        <x:v>20</x:v>
      </x:c>
      <x:c r="C221" s="40" t="str">
        <x:v>Wave 4 — Device Services and Reliability</x:v>
      </x:c>
      <x:c r="D221" s="40" t="str">
        <x:v>V. Device-Calendar Manual Import and Export</x:v>
      </x:c>
      <x:c r="E221" s="40" t="str">
        <x:v>BR-V-006</x:v>
      </x:c>
      <x:c r="F221" s="40" t="str">
        <x:v>Provider IDs and iCal UIDs are mapping metadata only.</x:v>
      </x:c>
      <x:c r="G221" s="40" t="str">
        <x:v>Not Started</x:v>
      </x:c>
      <x:c r="H221" s="40"/>
    </x:row>
    <x:row r="222">
      <x:c r="A222" s="40" t="str">
        <x:v>VS-20</x:v>
      </x:c>
      <x:c r="B222" s="40" t="n">
        <x:v>20</x:v>
      </x:c>
      <x:c r="C222" s="40" t="str">
        <x:v>Wave 4 — Device Services and Reliability</x:v>
      </x:c>
      <x:c r="D222" s="40" t="str">
        <x:v>V. Device-Calendar Manual Import and Export</x:v>
      </x:c>
      <x:c r="E222" s="40" t="str">
        <x:v>BR-V-007</x:v>
      </x:c>
      <x:c r="F222" s="40" t="str">
        <x:v>Past external events do not become completed from elapsed time.</x:v>
      </x:c>
      <x:c r="G222" s="40" t="str">
        <x:v>Not Started</x:v>
      </x:c>
      <x:c r="H222" s="40"/>
    </x:row>
    <x:row r="223">
      <x:c r="A223" s="40" t="str">
        <x:v>VS-20</x:v>
      </x:c>
      <x:c r="B223" s="40" t="n">
        <x:v>20</x:v>
      </x:c>
      <x:c r="C223" s="40" t="str">
        <x:v>Wave 4 — Device Services and Reliability</x:v>
      </x:c>
      <x:c r="D223" s="40" t="str">
        <x:v>V. Device-Calendar Manual Import and Export</x:v>
      </x:c>
      <x:c r="E223" s="40" t="str">
        <x:v>BR-V-008</x:v>
      </x:c>
      <x:c r="F223" s="40" t="str">
        <x:v>Import and export create no Actual.</x:v>
      </x:c>
      <x:c r="G223" s="40" t="str">
        <x:v>Not Started</x:v>
      </x:c>
      <x:c r="H223" s="40"/>
    </x:row>
    <x:row r="224">
      <x:c r="A224" s="40" t="str">
        <x:v>VS-20</x:v>
      </x:c>
      <x:c r="B224" s="40" t="n">
        <x:v>20</x:v>
      </x:c>
      <x:c r="C224" s="40" t="str">
        <x:v>Wave 4 — Device Services and Reliability</x:v>
      </x:c>
      <x:c r="D224" s="40" t="str">
        <x:v>V. Device-Calendar Manual Import and Export</x:v>
      </x:c>
      <x:c r="E224" s="40" t="str">
        <x:v>BR-V-009</x:v>
      </x:c>
      <x:c r="F224" s="40" t="str">
        <x:v>Duplicate detection follows the approved identity priority.</x:v>
      </x:c>
      <x:c r="G224" s="40" t="str">
        <x:v>Not Started</x:v>
      </x:c>
      <x:c r="H224" s="40"/>
    </x:row>
    <x:row r="225">
      <x:c r="A225" s="40" t="str">
        <x:v>VS-20</x:v>
      </x:c>
      <x:c r="B225" s="40" t="n">
        <x:v>20</x:v>
      </x:c>
      <x:c r="C225" s="40" t="str">
        <x:v>Wave 4 — Device Services and Reliability</x:v>
      </x:c>
      <x:c r="D225" s="40" t="str">
        <x:v>V. Device-Calendar Manual Import and Export</x:v>
      </x:c>
      <x:c r="E225" s="40" t="str">
        <x:v>BR-V-010</x:v>
      </x:c>
      <x:c r="F225" s="40" t="str">
        <x:v>External and internal deletion do not cascade automatically.</x:v>
      </x:c>
      <x:c r="G225" s="40" t="str">
        <x:v>Not Started</x:v>
      </x:c>
      <x:c r="H225" s="40"/>
    </x:row>
    <x:row r="226">
      <x:c r="A226" s="40" t="str">
        <x:v>VS-20</x:v>
      </x:c>
      <x:c r="B226" s="40" t="n">
        <x:v>20</x:v>
      </x:c>
      <x:c r="C226" s="40" t="str">
        <x:v>Wave 4 — Device Services and Reliability</x:v>
      </x:c>
      <x:c r="D226" s="40" t="str">
        <x:v>V. Device-Calendar Manual Import and Export</x:v>
      </x:c>
      <x:c r="E226" s="40" t="str">
        <x:v>BR-V-011</x:v>
      </x:c>
      <x:c r="F226" s="40" t="str">
        <x:v>Permission revocation preserves internal records.</x:v>
      </x:c>
      <x:c r="G226" s="40" t="str">
        <x:v>Not Started</x:v>
      </x:c>
      <x:c r="H226" s="40"/>
    </x:row>
    <x:row r="227">
      <x:c r="A227" s="40" t="str">
        <x:v>VS-20</x:v>
      </x:c>
      <x:c r="B227" s="40" t="n">
        <x:v>20</x:v>
      </x:c>
      <x:c r="C227" s="40" t="str">
        <x:v>Wave 4 — Device Services and Reliability</x:v>
      </x:c>
      <x:c r="D227" s="40" t="str">
        <x:v>V. Device-Calendar Manual Import and Export</x:v>
      </x:c>
      <x:c r="E227" s="40" t="str">
        <x:v>BR-V-012</x:v>
      </x:c>
      <x:c r="F227" s="40" t="str">
        <x:v>Sensitive and Extra Private fields are excluded from export by default.</x:v>
      </x:c>
      <x:c r="G227" s="40" t="str">
        <x:v>Not Started</x:v>
      </x:c>
      <x:c r="H227" s="40"/>
    </x:row>
    <x:row r="228">
      <x:c r="A228" s="40" t="str">
        <x:v>VS-20</x:v>
      </x:c>
      <x:c r="B228" s="40" t="n">
        <x:v>20</x:v>
      </x:c>
      <x:c r="C228" s="40" t="str">
        <x:v>Wave 4 — Device Services and Reliability</x:v>
      </x:c>
      <x:c r="D228" s="40" t="str">
        <x:v>V. Device-Calendar Manual Import and Export</x:v>
      </x:c>
      <x:c r="E228" s="40" t="str">
        <x:v>BR-V-013</x:v>
      </x:c>
      <x:c r="F228" s="40" t="str">
        <x:v>Continuous two-way sync is deferred.</x:v>
      </x:c>
      <x:c r="G228" s="40" t="str">
        <x:v>Not Started</x:v>
      </x:c>
      <x:c r="H228" s="40"/>
    </x:row>
    <x:row r="229">
      <x:c r="A229" s="40" t="str">
        <x:v>VS-02</x:v>
      </x:c>
      <x:c r="B229" s="40" t="n">
        <x:v>2</x:v>
      </x:c>
      <x:c r="C229" s="40" t="str">
        <x:v>Wave 1 — Foundation</x:v>
      </x:c>
      <x:c r="D229" s="40" t="str">
        <x:v>W. Privacy Lock, Permissions, and Privacy Center</x:v>
      </x:c>
      <x:c r="E229" s="40" t="str">
        <x:v>BR-W-001</x:v>
      </x:c>
      <x:c r="F229" s="40" t="str">
        <x:v>Core V1 workflows remain usable with all optional permissions denied.</x:v>
      </x:c>
      <x:c r="G229" s="40" t="str">
        <x:v>Not Started</x:v>
      </x:c>
      <x:c r="H229" s="40"/>
    </x:row>
    <x:row r="230">
      <x:c r="A230" s="40" t="str">
        <x:v>VS-02</x:v>
      </x:c>
      <x:c r="B230" s="40" t="n">
        <x:v>2</x:v>
      </x:c>
      <x:c r="C230" s="40" t="str">
        <x:v>Wave 1 — Foundation</x:v>
      </x:c>
      <x:c r="D230" s="40" t="str">
        <x:v>W. Privacy Lock, Permissions, and Privacy Center</x:v>
      </x:c>
      <x:c r="E230" s="40" t="str">
        <x:v>BR-W-002</x:v>
      </x:c>
      <x:c r="F230" s="40" t="str">
        <x:v>Permissions are requested just in time.</x:v>
      </x:c>
      <x:c r="G230" s="40" t="str">
        <x:v>Not Started</x:v>
      </x:c>
      <x:c r="H230" s="40"/>
    </x:row>
    <x:row r="231">
      <x:c r="A231" s="40" t="str">
        <x:v>VS-02</x:v>
      </x:c>
      <x:c r="B231" s="40" t="n">
        <x:v>2</x:v>
      </x:c>
      <x:c r="C231" s="40" t="str">
        <x:v>Wave 1 — Foundation</x:v>
      </x:c>
      <x:c r="D231" s="40" t="str">
        <x:v>W. Privacy Lock, Permissions, and Privacy Center</x:v>
      </x:c>
      <x:c r="E231" s="40" t="str">
        <x:v>BR-W-003</x:v>
      </x:c>
      <x:c r="F231" s="40" t="str">
        <x:v>Privacy Lock uses OS biometric or device credential without storing biometric data.</x:v>
      </x:c>
      <x:c r="G231" s="40" t="str">
        <x:v>Not Started</x:v>
      </x:c>
      <x:c r="H231" s="40"/>
    </x:row>
    <x:row r="232">
      <x:c r="A232" s="40" t="str">
        <x:v>VS-02</x:v>
      </x:c>
      <x:c r="B232" s="40" t="n">
        <x:v>2</x:v>
      </x:c>
      <x:c r="C232" s="40" t="str">
        <x:v>Wave 1 — Foundation</x:v>
      </x:c>
      <x:c r="D232" s="40" t="str">
        <x:v>W. Privacy Lock, Permissions, and Privacy Center</x:v>
      </x:c>
      <x:c r="E232" s="40" t="str">
        <x:v>BR-W-004</x:v>
      </x:c>
      <x:c r="F232" s="40" t="str">
        <x:v>Privacy Lock failure never deletes or corrupts data.</x:v>
      </x:c>
      <x:c r="G232" s="40" t="str">
        <x:v>Not Started</x:v>
      </x:c>
      <x:c r="H232" s="40"/>
    </x:row>
    <x:row r="233">
      <x:c r="A233" s="40" t="str">
        <x:v>VS-02</x:v>
      </x:c>
      <x:c r="B233" s="40" t="n">
        <x:v>2</x:v>
      </x:c>
      <x:c r="C233" s="40" t="str">
        <x:v>Wave 1 — Foundation</x:v>
      </x:c>
      <x:c r="D233" s="40" t="str">
        <x:v>W. Privacy Lock, Permissions, and Privacy Center</x:v>
      </x:c>
      <x:c r="E233" s="40" t="str">
        <x:v>BR-W-005</x:v>
      </x:c>
      <x:c r="F233" s="40" t="str">
        <x:v>Sensitive previews are obscured where supported.</x:v>
      </x:c>
      <x:c r="G233" s="40" t="str">
        <x:v>Not Started</x:v>
      </x:c>
      <x:c r="H233" s="40"/>
    </x:row>
    <x:row r="234">
      <x:c r="A234" s="40" t="str">
        <x:v>VS-02</x:v>
      </x:c>
      <x:c r="B234" s="40" t="n">
        <x:v>2</x:v>
      </x:c>
      <x:c r="C234" s="40" t="str">
        <x:v>Wave 1 — Foundation</x:v>
      </x:c>
      <x:c r="D234" s="40" t="str">
        <x:v>W. Privacy Lock, Permissions, and Privacy Center</x:v>
      </x:c>
      <x:c r="E234" s="40" t="str">
        <x:v>BR-W-006</x:v>
      </x:c>
      <x:c r="F234" s="40" t="str">
        <x:v>Raw BetterCalendar files remain local and outside sync and diagnostics.</x:v>
      </x:c>
      <x:c r="G234" s="40" t="str">
        <x:v>Not Started</x:v>
      </x:c>
      <x:c r="H234" s="40"/>
    </x:row>
    <x:row r="235">
      <x:c r="A235" s="40" t="str">
        <x:v>VS-02</x:v>
      </x:c>
      <x:c r="B235" s="40" t="n">
        <x:v>2</x:v>
      </x:c>
      <x:c r="C235" s="40" t="str">
        <x:v>Wave 1 — Foundation</x:v>
      </x:c>
      <x:c r="D235" s="40" t="str">
        <x:v>W. Privacy Lock, Permissions, and Privacy Center</x:v>
      </x:c>
      <x:c r="E235" s="40" t="str">
        <x:v>BR-W-007</x:v>
      </x:c>
      <x:c r="F235" s="40" t="str">
        <x:v>Authentication tokens use secure device storage, not Drift or backups.</x:v>
      </x:c>
      <x:c r="G235" s="40" t="str">
        <x:v>Not Started</x:v>
      </x:c>
      <x:c r="H235" s="40"/>
    </x:row>
    <x:row r="236">
      <x:c r="A236" s="40" t="str">
        <x:v>VS-02</x:v>
      </x:c>
      <x:c r="B236" s="40" t="n">
        <x:v>2</x:v>
      </x:c>
      <x:c r="C236" s="40" t="str">
        <x:v>Wave 1 — Foundation</x:v>
      </x:c>
      <x:c r="D236" s="40" t="str">
        <x:v>W. Privacy Lock, Permissions, and Privacy Center</x:v>
      </x:c>
      <x:c r="E236" s="40" t="str">
        <x:v>BR-W-008</x:v>
      </x:c>
      <x:c r="F236" s="40" t="str">
        <x:v>Private data is excluded from logs and analytics.</x:v>
      </x:c>
      <x:c r="G236" s="40" t="str">
        <x:v>Not Started</x:v>
      </x:c>
      <x:c r="H236" s="40"/>
    </x:row>
    <x:row r="237">
      <x:c r="A237" s="40" t="str">
        <x:v>VS-02</x:v>
      </x:c>
      <x:c r="B237" s="40" t="n">
        <x:v>2</x:v>
      </x:c>
      <x:c r="C237" s="40" t="str">
        <x:v>Wave 1 — Foundation</x:v>
      </x:c>
      <x:c r="D237" s="40" t="str">
        <x:v>W. Privacy Lock, Permissions, and Privacy Center</x:v>
      </x:c>
      <x:c r="E237" s="40" t="str">
        <x:v>BR-W-009</x:v>
      </x:c>
      <x:c r="F237" s="40" t="str">
        <x:v>Private reflections default to Extra Private or local-only.</x:v>
      </x:c>
      <x:c r="G237" s="40" t="str">
        <x:v>Not Started</x:v>
      </x:c>
      <x:c r="H237" s="40"/>
    </x:row>
    <x:row r="238">
      <x:c r="A238" s="40" t="str">
        <x:v>VS-02</x:v>
      </x:c>
      <x:c r="B238" s="40" t="n">
        <x:v>2</x:v>
      </x:c>
      <x:c r="C238" s="40" t="str">
        <x:v>Wave 1 — Foundation</x:v>
      </x:c>
      <x:c r="D238" s="40" t="str">
        <x:v>W. Privacy Lock, Permissions, and Privacy Center</x:v>
      </x:c>
      <x:c r="E238" s="40" t="str">
        <x:v>BR-W-010</x:v>
      </x:c>
      <x:c r="F238" s="40" t="str">
        <x:v>Privacy claims must be technically truthful.</x:v>
      </x:c>
      <x:c r="G238" s="40" t="str">
        <x:v>Not Started</x:v>
      </x:c>
      <x:c r="H238" s="40"/>
    </x:row>
    <x:row r="239">
      <x:c r="A239" s="40" t="str">
        <x:v>VS-02</x:v>
      </x:c>
      <x:c r="B239" s="40" t="n">
        <x:v>2</x:v>
      </x:c>
      <x:c r="C239" s="40" t="str">
        <x:v>Wave 1 — Foundation</x:v>
      </x:c>
      <x:c r="D239" s="40" t="str">
        <x:v>W. Privacy Lock, Permissions, and Privacy Center</x:v>
      </x:c>
      <x:c r="E239" s="40" t="str">
        <x:v>BR-W-011</x:v>
      </x:c>
      <x:c r="F239" s="40" t="str">
        <x:v>Scoped system pickers replace broad storage permission.</x:v>
      </x:c>
      <x:c r="G239" s="40" t="str">
        <x:v>Not Started</x:v>
      </x:c>
      <x:c r="H239" s="40"/>
    </x:row>
    <x:row r="240">
      <x:c r="A240" s="40" t="str">
        <x:v>VS-02</x:v>
      </x:c>
      <x:c r="B240" s="40" t="n">
        <x:v>2</x:v>
      </x:c>
      <x:c r="C240" s="40" t="str">
        <x:v>Wave 1 — Foundation</x:v>
      </x:c>
      <x:c r="D240" s="40" t="str">
        <x:v>W. Privacy Lock, Permissions, and Privacy Center</x:v>
      </x:c>
      <x:c r="E240" s="40" t="str">
        <x:v>BR-W-012</x:v>
      </x:c>
      <x:c r="F240" s="40" t="str">
        <x:v>Background location is excluded from V1.</x:v>
      </x:c>
      <x:c r="G240" s="40" t="str">
        <x:v>Not Started</x:v>
      </x:c>
      <x:c r="H240" s="40"/>
    </x:row>
    <x:row r="241">
      <x:c r="A241" s="40" t="str">
        <x:v>VS-02</x:v>
      </x:c>
      <x:c r="B241" s="40" t="n">
        <x:v>2</x:v>
      </x:c>
      <x:c r="C241" s="40" t="str">
        <x:v>Wave 1 — Foundation</x:v>
      </x:c>
      <x:c r="D241" s="40" t="str">
        <x:v>W. Privacy Lock, Permissions, and Privacy Center</x:v>
      </x:c>
      <x:c r="E241" s="40" t="str">
        <x:v>BR-W-013</x:v>
      </x:c>
      <x:c r="F241" s="40" t="str">
        <x:v>Privacy Lock and account authentication remain separate.</x:v>
      </x:c>
      <x:c r="G241" s="40" t="str">
        <x:v>Not Started</x:v>
      </x:c>
      <x:c r="H241" s="40"/>
    </x:row>
    <x:row r="242">
      <x:c r="A242" s="40" t="str">
        <x:v>VS-19</x:v>
      </x:c>
      <x:c r="B242" s="40" t="n">
        <x:v>19</x:v>
      </x:c>
      <x:c r="C242" s="40" t="str">
        <x:v>Wave 4 — Device Services and Reliability</x:v>
      </x:c>
      <x:c r="D242" s="40" t="str">
        <x:v>X. Settings, Account and Sync Center, and More Screen</x:v>
      </x:c>
      <x:c r="E242" s="40" t="str">
        <x:v>BR-X-001</x:v>
      </x:c>
      <x:c r="F242" s="40" t="str">
        <x:v>More remains the fifth permanent bottom-navigation destination.</x:v>
      </x:c>
      <x:c r="G242" s="40" t="str">
        <x:v>Not Started</x:v>
      </x:c>
      <x:c r="H242" s="40"/>
    </x:row>
    <x:row r="243">
      <x:c r="A243" s="40" t="str">
        <x:v>VS-19</x:v>
      </x:c>
      <x:c r="B243" s="40" t="n">
        <x:v>19</x:v>
      </x:c>
      <x:c r="C243" s="40" t="str">
        <x:v>Wave 4 — Device Services and Reliability</x:v>
      </x:c>
      <x:c r="D243" s="40" t="str">
        <x:v>X. Settings, Account and Sync Center, and More Screen</x:v>
      </x:c>
      <x:c r="E243" s="40" t="str">
        <x:v>BR-X-002</x:v>
      </x:c>
      <x:c r="F243" s="40" t="str">
        <x:v>More provides coherent entry points to approved settings and data-management areas.</x:v>
      </x:c>
      <x:c r="G243" s="40" t="str">
        <x:v>Not Started</x:v>
      </x:c>
      <x:c r="H243" s="40"/>
    </x:row>
    <x:row r="244">
      <x:c r="A244" s="40" t="str">
        <x:v>VS-19</x:v>
      </x:c>
      <x:c r="B244" s="40" t="n">
        <x:v>19</x:v>
      </x:c>
      <x:c r="C244" s="40" t="str">
        <x:v>Wave 4 — Device Services and Reliability</x:v>
      </x:c>
      <x:c r="D244" s="40" t="str">
        <x:v>X. Settings, Account and Sync Center, and More Screen</x:v>
      </x:c>
      <x:c r="E244" s="40" t="str">
        <x:v>BR-X-003</x:v>
      </x:c>
      <x:c r="F244" s="40" t="str">
        <x:v>Account creation remains optional.</x:v>
      </x:c>
      <x:c r="G244" s="40" t="str">
        <x:v>Not Started</x:v>
      </x:c>
      <x:c r="H244" s="40"/>
    </x:row>
    <x:row r="245">
      <x:c r="A245" s="40" t="str">
        <x:v>VS-19</x:v>
      </x:c>
      <x:c r="B245" s="40" t="n">
        <x:v>19</x:v>
      </x:c>
      <x:c r="C245" s="40" t="str">
        <x:v>Wave 4 — Device Services and Reliability</x:v>
      </x:c>
      <x:c r="D245" s="40" t="str">
        <x:v>X. Settings, Account and Sync Center, and More Screen</x:v>
      </x:c>
      <x:c r="E245" s="40" t="str">
        <x:v>BR-X-004</x:v>
      </x:c>
      <x:c r="F245" s="40" t="str">
        <x:v>Sign-out and sync pause preserve local functionality and queued work.</x:v>
      </x:c>
      <x:c r="G245" s="40" t="str">
        <x:v>Not Started</x:v>
      </x:c>
      <x:c r="H245" s="40"/>
    </x:row>
    <x:row r="246">
      <x:c r="A246" s="40" t="str">
        <x:v>VS-19</x:v>
      </x:c>
      <x:c r="B246" s="40" t="n">
        <x:v>19</x:v>
      </x:c>
      <x:c r="C246" s="40" t="str">
        <x:v>Wave 4 — Device Services and Reliability</x:v>
      </x:c>
      <x:c r="D246" s="40" t="str">
        <x:v>X. Settings, Account and Sync Center, and More Screen</x:v>
      </x:c>
      <x:c r="E246" s="40" t="str">
        <x:v>BR-X-005</x:v>
      </x:c>
      <x:c r="F246" s="40" t="str">
        <x:v>Account deletion and local-data deletion remain separate.</x:v>
      </x:c>
      <x:c r="G246" s="40" t="str">
        <x:v>Not Started</x:v>
      </x:c>
      <x:c r="H246" s="40"/>
    </x:row>
    <x:row r="247">
      <x:c r="A247" s="40" t="str">
        <x:v>VS-19</x:v>
      </x:c>
      <x:c r="B247" s="40" t="n">
        <x:v>19</x:v>
      </x:c>
      <x:c r="C247" s="40" t="str">
        <x:v>Wave 4 — Device Services and Reliability</x:v>
      </x:c>
      <x:c r="D247" s="40" t="str">
        <x:v>X. Settings, Account and Sync Center, and More Screen</x:v>
      </x:c>
      <x:c r="E247" s="40" t="str">
        <x:v>BR-X-006</x:v>
      </x:c>
      <x:c r="F247" s="40" t="str">
        <x:v>Removing synchronized device data requires explicit warning.</x:v>
      </x:c>
      <x:c r="G247" s="40" t="str">
        <x:v>Not Started</x:v>
      </x:c>
      <x:c r="H247" s="40"/>
    </x:row>
    <x:row r="248">
      <x:c r="A248" s="40" t="str">
        <x:v>VS-19</x:v>
      </x:c>
      <x:c r="B248" s="40" t="n">
        <x:v>19</x:v>
      </x:c>
      <x:c r="C248" s="40" t="str">
        <x:v>Wave 4 — Device Services and Reliability</x:v>
      </x:c>
      <x:c r="D248" s="40" t="str">
        <x:v>X. Settings, Account and Sync Center, and More Screen</x:v>
      </x:c>
      <x:c r="E248" s="40" t="str">
        <x:v>BR-X-007</x:v>
      </x:c>
      <x:c r="F248" s="40" t="str">
        <x:v>Sync Center states are factual and explain cloud protection status.</x:v>
      </x:c>
      <x:c r="G248" s="40" t="str">
        <x:v>Not Started</x:v>
      </x:c>
      <x:c r="H248" s="40"/>
    </x:row>
    <x:row r="249">
      <x:c r="A249" s="40" t="str">
        <x:v>VS-19</x:v>
      </x:c>
      <x:c r="B249" s="40" t="n">
        <x:v>19</x:v>
      </x:c>
      <x:c r="C249" s="40" t="str">
        <x:v>Wave 4 — Device Services and Reliability</x:v>
      </x:c>
      <x:c r="D249" s="40" t="str">
        <x:v>X. Settings, Account and Sync Center, and More Screen</x:v>
      </x:c>
      <x:c r="E249" s="40" t="str">
        <x:v>BR-X-008</x:v>
      </x:c>
      <x:c r="F249" s="40" t="str">
        <x:v>Users can review local-only categories, upload choices, attachments, devices, conflicts, and last sync.</x:v>
      </x:c>
      <x:c r="G249" s="40" t="str">
        <x:v>Not Started</x:v>
      </x:c>
      <x:c r="H249" s="40"/>
    </x:row>
    <x:row r="250">
      <x:c r="A250" s="40" t="str">
        <x:v>VS-19</x:v>
      </x:c>
      <x:c r="B250" s="40" t="n">
        <x:v>19</x:v>
      </x:c>
      <x:c r="C250" s="40" t="str">
        <x:v>Wave 4 — Device Services and Reliability</x:v>
      </x:c>
      <x:c r="D250" s="40" t="str">
        <x:v>X. Settings, Account and Sync Center, and More Screen</x:v>
      </x:c>
      <x:c r="E250" s="40" t="str">
        <x:v>BR-X-009</x:v>
      </x:c>
      <x:c r="F250" s="40" t="str">
        <x:v>Cloud synchronization is distinct from .ntbackup recovery.</x:v>
      </x:c>
      <x:c r="G250" s="40" t="str">
        <x:v>Not Started</x:v>
      </x:c>
      <x:c r="H250" s="40"/>
    </x:row>
    <x:row r="251">
      <x:c r="A251" s="40" t="str">
        <x:v>VS-19</x:v>
      </x:c>
      <x:c r="B251" s="40" t="n">
        <x:v>19</x:v>
      </x:c>
      <x:c r="C251" s="40" t="str">
        <x:v>Wave 4 — Device Services and Reliability</x:v>
      </x:c>
      <x:c r="D251" s="40" t="str">
        <x:v>X. Settings, Account and Sync Center, and More Screen</x:v>
      </x:c>
      <x:c r="E251" s="40" t="str">
        <x:v>BR-X-010</x:v>
      </x:c>
      <x:c r="F251" s="40" t="str">
        <x:v>Duplicate settings entry points are avoided.</x:v>
      </x:c>
      <x:c r="G251" s="40" t="str">
        <x:v>Not Started</x:v>
      </x:c>
      <x:c r="H251" s="40"/>
    </x:row>
    <x:row r="252">
      <x:c r="A252" s="40" t="str">
        <x:v>VS-19</x:v>
      </x:c>
      <x:c r="B252" s="40" t="n">
        <x:v>19</x:v>
      </x:c>
      <x:c r="C252" s="40" t="str">
        <x:v>Wave 4 — Device Services and Reliability</x:v>
      </x:c>
      <x:c r="D252" s="40" t="str">
        <x:v>X. Settings, Account and Sync Center, and More Screen</x:v>
      </x:c>
      <x:c r="E252" s="40" t="str">
        <x:v>BR-X-011</x:v>
      </x:c>
      <x:c r="F252" s="40" t="str">
        <x:v>Maps is not a permanent bottom-navigation item.</x:v>
      </x:c>
      <x:c r="G252" s="40" t="str">
        <x:v>Not Started</x:v>
      </x:c>
      <x:c r="H252" s="40"/>
    </x:row>
    <x:row r="253">
      <x:c r="A253" s="40" t="str">
        <x:v>VS-19</x:v>
      </x:c>
      <x:c r="B253" s="40" t="n">
        <x:v>19</x:v>
      </x:c>
      <x:c r="C253" s="40" t="str">
        <x:v>Wave 4 — Device Services and Reliability</x:v>
      </x:c>
      <x:c r="D253" s="40" t="str">
        <x:v>X. Settings, Account and Sync Center, and More Screen</x:v>
      </x:c>
      <x:c r="E253" s="40" t="str">
        <x:v>BR-X-012</x:v>
      </x:c>
      <x:c r="F253" s="40" t="str">
        <x:v>Device-specific and synchronized preferences remain distinct.</x:v>
      </x:c>
      <x:c r="G253" s="40" t="str">
        <x:v>Not Started</x:v>
      </x:c>
      <x:c r="H253" s="40"/>
    </x:row>
    <x:row r="254">
      <x:c r="A254" s="40" t="str">
        <x:v>VS-19</x:v>
      </x:c>
      <x:c r="B254" s="40" t="n">
        <x:v>19</x:v>
      </x:c>
      <x:c r="C254" s="40" t="str">
        <x:v>Wave 4 — Device Services and Reliability</x:v>
      </x:c>
      <x:c r="D254" s="40" t="str">
        <x:v>X. Settings, Account and Sync Center, and More Screen</x:v>
      </x:c>
      <x:c r="E254" s="40" t="str">
        <x:v>BR-X-013</x:v>
      </x:c>
      <x:c r="F254" s="40" t="str">
        <x:v>Destructive actions provide backup and recovery guidance.</x:v>
      </x:c>
      <x:c r="G254" s="40" t="str">
        <x:v>Not Started</x:v>
      </x:c>
      <x:c r="H254" s="40"/>
    </x:row>
  </x:sheetData>
  <x:mergeCells>
    <x:mergeCell ref="A1:H1"/>
  </x:mergeCells>
  <x:dataValidations count="1">
    <x:dataValidation type="list" sqref="G4:G254">
      <x:formula1>"Not Started,Validated,Failed,Blocked"</x:formula1>
    </x:dataValidation>
  </x:dataValidations>
  <x:pageMargins left="0.7" right="0.7" top="0.75" bottom="0.75" header="0.3" footer="0.3"/>
  <x:tableParts count="1">
    <x:tablePart xmlns:r="http://schemas.openxmlformats.org/officeDocument/2006/relationships" r:id="Ree386c1b45674e00"/>
  </x:tableParts>
</x:worksheet>
</file>

<file path=xl/worksheets/sheet25.xml><?xml version="1.0" encoding="utf-8"?>
<x:worksheet xmlns:x="http://schemas.openxmlformats.org/spreadsheetml/2006/main">
  <x:sheetFormatPr defaultRowHeight="15"/>
  <x:cols>
    <x:col min="1" max="1" width="10" hidden="0" customWidth="1"/>
    <x:col min="2" max="2" width="9" hidden="0" customWidth="1"/>
    <x:col min="3" max="3" width="22" hidden="0" customWidth="1"/>
    <x:col min="4" max="4" width="14" hidden="0" customWidth="1"/>
    <x:col min="5" max="5" width="34" hidden="0" customWidth="1"/>
    <x:col min="6" max="6" width="30" hidden="0" customWidth="1"/>
    <x:col min="7" max="7" width="70" hidden="0" customWidth="1"/>
    <x:col min="8" max="8" width="28" hidden="0" customWidth="1"/>
    <x:col min="9" max="9" width="35" hidden="0" customWidth="1"/>
    <x:col min="10" max="10" width="32" hidden="0" customWidth="1"/>
    <x:col min="11" max="11" width="20" hidden="0" customWidth="1"/>
  </x:cols>
  <x:sheetData>
    <x:row r="1">
      <x:c r="A1" s="128" t="str">
        <x:v>Next Transfer - Approved Product Decision Constraints by Vertical Slice</x:v>
      </x:c>
      <x:c r="B1" s="128"/>
      <x:c r="C1" s="128"/>
      <x:c r="D1" s="128"/>
      <x:c r="E1" s="128"/>
      <x:c r="F1" s="128"/>
      <x:c r="G1" s="128"/>
      <x:c r="H1" s="128"/>
      <x:c r="I1" s="128"/>
      <x:c r="J1" s="128"/>
      <x:c r="K1" s="128"/>
    </x:row>
    <x:row r="3">
      <x:c r="A3" s="133" t="str">
        <x:v>Slice ID</x:v>
      </x:c>
      <x:c r="B3" s="133" t="str">
        <x:v>Sequence</x:v>
      </x:c>
      <x:c r="C3" s="133" t="str">
        <x:v>Wave</x:v>
      </x:c>
      <x:c r="D3" s="133" t="str">
        <x:v>Decision ID</x:v>
      </x:c>
      <x:c r="E3" s="133" t="str">
        <x:v>Feature Group</x:v>
      </x:c>
      <x:c r="F3" s="133" t="str">
        <x:v>Decision</x:v>
      </x:c>
      <x:c r="G3" s="133" t="str">
        <x:v>Approved Final Position</x:v>
      </x:c>
      <x:c r="H3" s="133" t="str">
        <x:v>Disposition</x:v>
      </x:c>
      <x:c r="I3" s="133" t="str">
        <x:v>Linked Requirement IDs</x:v>
      </x:c>
      <x:c r="J3" s="133" t="str">
        <x:v>Traceability Treatment</x:v>
      </x:c>
      <x:c r="K3" s="133" t="str">
        <x:v>Approval Status</x:v>
      </x:c>
    </x:row>
    <x:row r="4">
      <x:c r="A4" s="40" t="str">
        <x:v>VS-01</x:v>
      </x:c>
      <x:c r="B4" s="40" t="n">
        <x:v>1</x:v>
      </x:c>
      <x:c r="C4" s="40" t="str">
        <x:v>Wave 1 — Foundation</x:v>
      </x:c>
      <x:c r="D4" s="40" t="str">
        <x:v>OPD-1-001</x:v>
      </x:c>
      <x:c r="E4" s="40" t="str">
        <x:v>A. App Startup and Guest Onboarding</x:v>
      </x:c>
      <x:c r="F4" s="40" t="str">
        <x:v>Minimum Local Profile fields</x:v>
      </x:c>
      <x:c r="G4" s="40" t="str">
        <x:v>Allow an automatically generated local profile name; display name remains optional and editable.</x:v>
      </x:c>
      <x:c r="H4" s="40" t="str">
        <x:v>Approve as written</x:v>
      </x:c>
      <x:c r="I4" s="40" t="str">
        <x:v>FR-A-001, FR-A-004, FR-A-011, FR-A-012</x:v>
      </x:c>
      <x:c r="J4" s="40" t="str">
        <x:v>Existing direct FR links</x:v>
      </x:c>
      <x:c r="K4" s="40" t="str">
        <x:v>Approved 2026-07-26</x:v>
      </x:c>
    </x:row>
    <x:row r="5">
      <x:c r="A5" s="40" t="str">
        <x:v>VS-01</x:v>
      </x:c>
      <x:c r="B5" s="40" t="n">
        <x:v>1</x:v>
      </x:c>
      <x:c r="C5" s="40" t="str">
        <x:v>Wave 1 — Foundation</x:v>
      </x:c>
      <x:c r="D5" s="40" t="str">
        <x:v>OPD-1-002</x:v>
      </x:c>
      <x:c r="E5" s="40" t="str">
        <x:v>A. App Startup and Guest Onboarding</x:v>
      </x:c>
      <x:c r="F5" s="40" t="str">
        <x:v>Privacy-lock fallback</x:v>
      </x:c>
      <x:c r="G5" s="40" t="str">
        <x:v>Use OS biometric authentication when available and OS device credential as the V1 fallback. Do not implement or store a separate app PIN in V1.</x:v>
      </x:c>
      <x:c r="H5" s="40" t="str">
        <x:v>Approve with reconciled wording</x:v>
      </x:c>
      <x:c r="I5" s="40" t="str">
        <x:v>FR-A-008, FR-W-003, FR-W-020</x:v>
      </x:c>
      <x:c r="J5" s="40" t="str">
        <x:v>Backfill existing FR links</x:v>
      </x:c>
      <x:c r="K5" s="40" t="str">
        <x:v>Approved 2026-07-26</x:v>
      </x:c>
    </x:row>
    <x:row r="6">
      <x:c r="A6" s="40" t="str">
        <x:v>VS-01</x:v>
      </x:c>
      <x:c r="B6" s="40" t="n">
        <x:v>1</x:v>
      </x:c>
      <x:c r="C6" s="40" t="str">
        <x:v>Wave 1 — Foundation</x:v>
      </x:c>
      <x:c r="D6" s="40" t="str">
        <x:v>OPD-1-003</x:v>
      </x:c>
      <x:c r="E6" s="40" t="str">
        <x:v>A. App Startup and Guest Onboarding</x:v>
      </x:c>
      <x:c r="F6" s="40" t="str">
        <x:v>Default relock timing</x:v>
      </x:c>
      <x:c r="G6" s="40" t="str">
        <x:v>Default to immediate relock after a genuine app-background transition. App-launched system authentication, permission, and scoped-picker flows must not create a relock loop. A configurable timeout is post-V1 and remains device-specific.</x:v>
      </x:c>
      <x:c r="H6" s="40" t="str">
        <x:v>Approve with reconciled wording</x:v>
      </x:c>
      <x:c r="I6" s="40" t="str">
        <x:v>FR-A-008, FR-W-005</x:v>
      </x:c>
      <x:c r="J6" s="40" t="str">
        <x:v>Backfill existing FR links</x:v>
      </x:c>
      <x:c r="K6" s="40" t="str">
        <x:v>Approved 2026-07-26</x:v>
      </x:c>
    </x:row>
    <x:row r="7">
      <x:c r="A7" s="40" t="str">
        <x:v>VS-01</x:v>
      </x:c>
      <x:c r="B7" s="40" t="n">
        <x:v>1</x:v>
      </x:c>
      <x:c r="C7" s="40" t="str">
        <x:v>Wave 1 — Foundation</x:v>
      </x:c>
      <x:c r="D7" s="40" t="str">
        <x:v>OPD-1-004</x:v>
      </x:c>
      <x:c r="E7" s="40" t="str">
        <x:v>A. App Startup and Guest Onboarding</x:v>
      </x:c>
      <x:c r="F7" s="40" t="str">
        <x:v>Target setup timing</x:v>
      </x:c>
      <x:c r="G7" s="40" t="str">
        <x:v>Optional during onboarding with a persistent Home prompt.</x:v>
      </x:c>
      <x:c r="H7" s="40" t="str">
        <x:v>Approve as written</x:v>
      </x:c>
      <x:c r="I7" s="40" t="str">
        <x:v>FR-A-017</x:v>
      </x:c>
      <x:c r="J7" s="40" t="str">
        <x:v>Existing direct FR links</x:v>
      </x:c>
      <x:c r="K7" s="40" t="str">
        <x:v>Approved 2026-07-26</x:v>
      </x:c>
    </x:row>
    <x:row r="8">
      <x:c r="A8" s="40" t="str">
        <x:v>VS-07</x:v>
      </x:c>
      <x:c r="B8" s="40" t="n">
        <x:v>7</x:v>
      </x:c>
      <x:c r="C8" s="40" t="str">
        <x:v>Wave 2 — Core Planning Loop</x:v>
      </x:c>
      <x:c r="D8" s="40" t="str">
        <x:v>OPD-1-005</x:v>
      </x:c>
      <x:c r="E8" s="40" t="str">
        <x:v>B. Home and Life Indicators</x:v>
      </x:c>
      <x:c r="F8" s="40" t="str">
        <x:v>Initial Weekly Targets</x:v>
      </x:c>
      <x:c r="G8" s="40" t="str">
        <x:v>Begin as Not set and present optional suggested values without silently applying them.</x:v>
      </x:c>
      <x:c r="H8" s="40" t="str">
        <x:v>Approve as written</x:v>
      </x:c>
      <x:c r="I8" s="40" t="str">
        <x:v>FR-B-007, FR-I-004</x:v>
      </x:c>
      <x:c r="J8" s="40" t="str">
        <x:v>Backfill existing FR links</x:v>
      </x:c>
      <x:c r="K8" s="40" t="str">
        <x:v>Approved 2026-07-26</x:v>
      </x:c>
    </x:row>
    <x:row r="9">
      <x:c r="A9" s="40" t="str">
        <x:v>VS-07</x:v>
      </x:c>
      <x:c r="B9" s="40" t="n">
        <x:v>7</x:v>
      </x:c>
      <x:c r="C9" s="40" t="str">
        <x:v>Wave 2 — Core Planning Loop</x:v>
      </x:c>
      <x:c r="D9" s="40" t="str">
        <x:v>OPD-1-006</x:v>
      </x:c>
      <x:c r="E9" s="40" t="str">
        <x:v>B. Home and Life Indicators</x:v>
      </x:c>
      <x:c r="F9" s="40" t="str">
        <x:v>Home period navigation</x:v>
      </x:c>
      <x:c r="G9" s="40" t="str">
        <x:v>Current week only on Home in V1; history through indicator detail.</x:v>
      </x:c>
      <x:c r="H9" s="40" t="str">
        <x:v>Approve as written</x:v>
      </x:c>
      <x:c r="I9" s="40" t="str">
        <x:v>FR-B-005, FR-B-018</x:v>
      </x:c>
      <x:c r="J9" s="40" t="str">
        <x:v>Existing direct FR links</x:v>
      </x:c>
      <x:c r="K9" s="40" t="str">
        <x:v>Approved 2026-07-26</x:v>
      </x:c>
    </x:row>
    <x:row r="10">
      <x:c r="A10" s="40" t="str">
        <x:v>VS-07</x:v>
      </x:c>
      <x:c r="B10" s="40" t="n">
        <x:v>7</x:v>
      </x:c>
      <x:c r="C10" s="40" t="str">
        <x:v>Wave 2 — Core Planning Loop</x:v>
      </x:c>
      <x:c r="D10" s="40" t="str">
        <x:v>OPD-1-007</x:v>
      </x:c>
      <x:c r="E10" s="40" t="str">
        <x:v>B. Home and Life Indicators</x:v>
      </x:c>
      <x:c r="F10" s="40" t="str">
        <x:v>Projected total</x:v>
      </x:c>
      <x:c r="G10" s="40" t="str">
        <x:v>Omit Actual plus Scheduled Potential combined total in V1.</x:v>
      </x:c>
      <x:c r="H10" s="40" t="str">
        <x:v>Approve as written</x:v>
      </x:c>
      <x:c r="I10" s="40" t="str">
        <x:v>FR-B-003, FR-B-006, FR-B-019</x:v>
      </x:c>
      <x:c r="J10" s="40" t="str">
        <x:v>Existing direct FR links</x:v>
      </x:c>
      <x:c r="K10" s="40" t="str">
        <x:v>Approved 2026-07-26</x:v>
      </x:c>
    </x:row>
    <x:row r="11">
      <x:c r="A11" s="40" t="str">
        <x:v>VS-07</x:v>
      </x:c>
      <x:c r="B11" s="40" t="n">
        <x:v>7</x:v>
      </x:c>
      <x:c r="C11" s="40" t="str">
        <x:v>Wave 2 — Core Planning Loop</x:v>
      </x:c>
      <x:c r="D11" s="40" t="str">
        <x:v>OPD-1-008</x:v>
      </x:c>
      <x:c r="E11" s="40" t="str">
        <x:v>B. Home and Life Indicators</x:v>
      </x:c>
      <x:c r="F11" s="40" t="str">
        <x:v>Indicator order</x:v>
      </x:c>
      <x:c r="G11" s="40" t="str">
        <x:v>Use the fixed approved six-indicator order in V1.</x:v>
      </x:c>
      <x:c r="H11" s="40" t="str">
        <x:v>Approve as written</x:v>
      </x:c>
      <x:c r="I11" s="40" t="str">
        <x:v>FR-B-002</x:v>
      </x:c>
      <x:c r="J11" s="40" t="str">
        <x:v>Backfill existing FR links</x:v>
      </x:c>
      <x:c r="K11" s="40" t="str">
        <x:v>Approved 2026-07-26</x:v>
      </x:c>
    </x:row>
    <x:row r="12">
      <x:c r="A12" s="40" t="str">
        <x:v>VS-03</x:v>
      </x:c>
      <x:c r="B12" s="40" t="n">
        <x:v>3</x:v>
      </x:c>
      <x:c r="C12" s="40" t="str">
        <x:v>Wave 2 — Core Planning Loop</x:v>
      </x:c>
      <x:c r="D12" s="40" t="str">
        <x:v>OPD-1-009</x:v>
      </x:c>
      <x:c r="E12" s="40" t="str">
        <x:v>C. Planner Day View</x:v>
      </x:c>
      <x:c r="F12" s="40" t="str">
        <x:v>Cancelled and rescheduled presentation</x:v>
      </x:c>
      <x:c r="G12" s="40" t="str">
        <x:v>Use a Changes section while Awaiting Report remains prominent.</x:v>
      </x:c>
      <x:c r="H12" s="40" t="str">
        <x:v>Approve as written</x:v>
      </x:c>
      <x:c r="I12" s="40" t="str">
        <x:v>FR-C-006</x:v>
      </x:c>
      <x:c r="J12" s="40" t="str">
        <x:v>Existing direct FR links</x:v>
      </x:c>
      <x:c r="K12" s="40" t="str">
        <x:v>Approved 2026-07-26</x:v>
      </x:c>
    </x:row>
    <x:row r="13">
      <x:c r="A13" s="40" t="str">
        <x:v>VS-03</x:v>
      </x:c>
      <x:c r="B13" s="40" t="n">
        <x:v>3</x:v>
      </x:c>
      <x:c r="C13" s="40" t="str">
        <x:v>Wave 2 — Core Planning Loop</x:v>
      </x:c>
      <x:c r="D13" s="40" t="str">
        <x:v>OPD-1-010</x:v>
      </x:c>
      <x:c r="E13" s="40" t="str">
        <x:v>C. Planner Day View</x:v>
      </x:c>
      <x:c r="F13" s="40" t="str">
        <x:v>Planner reopening</x:v>
      </x:c>
      <x:c r="G13" s="40" t="str">
        <x:v>Preserve the last selected day in-session and default to today after cold start.</x:v>
      </x:c>
      <x:c r="H13" s="40" t="str">
        <x:v>Approve as written</x:v>
      </x:c>
      <x:c r="I13" s="40" t="str">
        <x:v>FR-C-001, FR-C-004, FR-C-017</x:v>
      </x:c>
      <x:c r="J13" s="40" t="str">
        <x:v>Existing direct FR links</x:v>
      </x:c>
      <x:c r="K13" s="40" t="str">
        <x:v>Approved 2026-07-26</x:v>
      </x:c>
    </x:row>
    <x:row r="14">
      <x:c r="A14" s="40" t="str">
        <x:v>VS-03</x:v>
      </x:c>
      <x:c r="B14" s="40" t="n">
        <x:v>3</x:v>
      </x:c>
      <x:c r="C14" s="40" t="str">
        <x:v>Wave 2 — Core Planning Loop</x:v>
      </x:c>
      <x:c r="D14" s="40" t="str">
        <x:v>OPD-1-011</x:v>
      </x:c>
      <x:c r="E14" s="40" t="str">
        <x:v>C. Planner Day View</x:v>
      </x:c>
      <x:c r="F14" s="40" t="str">
        <x:v>Day-section order</x:v>
      </x:c>
      <x:c r="G14" s="40" t="str">
        <x:v>All-day events, timed events, Tasks, overdue Tasks, Awaiting Report, then Changes.</x:v>
      </x:c>
      <x:c r="H14" s="40" t="str">
        <x:v>Approve as written</x:v>
      </x:c>
      <x:c r="I14" s="40" t="str">
        <x:v>FR-C-002, FR-C-003, FR-C-005, FR-C-006</x:v>
      </x:c>
      <x:c r="J14" s="40" t="str">
        <x:v>Existing direct FR links</x:v>
      </x:c>
      <x:c r="K14" s="40" t="str">
        <x:v>Approved 2026-07-26</x:v>
      </x:c>
    </x:row>
    <x:row r="15">
      <x:c r="A15" s="40" t="str">
        <x:v>VS-03</x:v>
      </x:c>
      <x:c r="B15" s="40" t="n">
        <x:v>3</x:v>
      </x:c>
      <x:c r="C15" s="40" t="str">
        <x:v>Wave 2 — Core Planning Loop</x:v>
      </x:c>
      <x:c r="D15" s="40" t="str">
        <x:v>OPD-1-012</x:v>
      </x:c>
      <x:c r="E15" s="40" t="str">
        <x:v>D. Tasks</x:v>
      </x:c>
      <x:c r="F15" s="40" t="str">
        <x:v>Required-report completion transaction</x:v>
      </x:c>
      <x:c r="G15" s="40" t="str">
        <x:v>Keep the Task Incomplete until report and completion save coherently.</x:v>
      </x:c>
      <x:c r="H15" s="40" t="str">
        <x:v>Approve as written</x:v>
      </x:c>
      <x:c r="I15" s="40" t="str">
        <x:v>FR-D-010, FR-G-007</x:v>
      </x:c>
      <x:c r="J15" s="40" t="str">
        <x:v>Backfill existing FR links</x:v>
      </x:c>
      <x:c r="K15" s="40" t="str">
        <x:v>Approved 2026-07-26</x:v>
      </x:c>
    </x:row>
    <x:row r="16">
      <x:c r="A16" s="40" t="str">
        <x:v>VS-03</x:v>
      </x:c>
      <x:c r="B16" s="40" t="n">
        <x:v>3</x:v>
      </x:c>
      <x:c r="C16" s="40" t="str">
        <x:v>Wave 2 — Core Planning Loop</x:v>
      </x:c>
      <x:c r="D16" s="40" t="str">
        <x:v>OPD-1-013</x:v>
      </x:c>
      <x:c r="E16" s="40" t="str">
        <x:v>D. Tasks</x:v>
      </x:c>
      <x:c r="F16" s="40" t="str">
        <x:v>Reopening Completed Tasks</x:v>
      </x:c>
      <x:c r="G16" s="40" t="str">
        <x:v>Direct reopen only when no report or ledger effect exists; otherwise use correction.</x:v>
      </x:c>
      <x:c r="H16" s="40" t="str">
        <x:v>Approve as written</x:v>
      </x:c>
      <x:c r="I16" s="40" t="str">
        <x:v>FR-D-018, FR-G-010, FR-G-011, FR-G-012</x:v>
      </x:c>
      <x:c r="J16" s="40" t="str">
        <x:v>Backfill existing FR links</x:v>
      </x:c>
      <x:c r="K16" s="40" t="str">
        <x:v>Approved 2026-07-26</x:v>
      </x:c>
    </x:row>
    <x:row r="17">
      <x:c r="A17" s="40" t="str">
        <x:v>VS-03</x:v>
      </x:c>
      <x:c r="B17" s="40" t="n">
        <x:v>3</x:v>
      </x:c>
      <x:c r="C17" s="40" t="str">
        <x:v>Wave 2 — Core Planning Loop</x:v>
      </x:c>
      <x:c r="D17" s="40" t="str">
        <x:v>OPD-1-014</x:v>
      </x:c>
      <x:c r="E17" s="40" t="str">
        <x:v>D. Tasks</x:v>
      </x:c>
      <x:c r="F17" s="40" t="str">
        <x:v>Skipped meaning</x:v>
      </x:c>
      <x:c r="G17" s="40" t="str">
        <x:v>Skipped means intentionally not done for the relevant plan or period; Cancelled means no longer intended.</x:v>
      </x:c>
      <x:c r="H17" s="40" t="str">
        <x:v>Approve as written</x:v>
      </x:c>
      <x:c r="I17" s="40" t="str">
        <x:v>FR-D-005, FR-D-019</x:v>
      </x:c>
      <x:c r="J17" s="40" t="str">
        <x:v>Existing direct FR links</x:v>
      </x:c>
      <x:c r="K17" s="40" t="str">
        <x:v>Approved 2026-07-26</x:v>
      </x:c>
    </x:row>
    <x:row r="18">
      <x:c r="A18" s="40" t="str">
        <x:v>VS-03</x:v>
      </x:c>
      <x:c r="B18" s="40" t="n">
        <x:v>3</x:v>
      </x:c>
      <x:c r="C18" s="40" t="str">
        <x:v>Wave 2 — Core Planning Loop</x:v>
      </x:c>
      <x:c r="D18" s="40" t="str">
        <x:v>OPD-1-015</x:v>
      </x:c>
      <x:c r="E18" s="40" t="str">
        <x:v>D. Tasks</x:v>
      </x:c>
      <x:c r="F18" s="40" t="str">
        <x:v>Task deletion</x:v>
      </x:c>
      <x:c r="G18" s="40" t="str">
        <x:v>No hard delete in V1; use Cancelled and later archive behavior.</x:v>
      </x:c>
      <x:c r="H18" s="40" t="str">
        <x:v>Approve as written</x:v>
      </x:c>
      <x:c r="I18" s="40" t="str">
        <x:v>FR-D-005, FR-D-019</x:v>
      </x:c>
      <x:c r="J18" s="40" t="str">
        <x:v>Backfill existing FR links</x:v>
      </x:c>
      <x:c r="K18" s="40" t="str">
        <x:v>Approved 2026-07-26</x:v>
      </x:c>
    </x:row>
    <x:row r="19">
      <x:c r="A19" s="40" t="str">
        <x:v>VS-04</x:v>
      </x:c>
      <x:c r="B19" s="40" t="n">
        <x:v>4</x:v>
      </x:c>
      <x:c r="C19" s="40" t="str">
        <x:v>Wave 2 — Core Planning Loop</x:v>
      </x:c>
      <x:c r="D19" s="40" t="str">
        <x:v>OPD-1-016</x:v>
      </x:c>
      <x:c r="E19" s="40" t="str">
        <x:v>E. Calendar Events and Recurrence</x:v>
      </x:c>
      <x:c r="F19" s="40" t="str">
        <x:v>Monthly month-end recurrence</x:v>
      </x:c>
      <x:c r="G19" s="40" t="str">
        <x:v>Use the final valid day in shorter months.</x:v>
      </x:c>
      <x:c r="H19" s="40" t="str">
        <x:v>Approve as written</x:v>
      </x:c>
      <x:c r="I19" s="40" t="str">
        <x:v>FR-E-006</x:v>
      </x:c>
      <x:c r="J19" s="40" t="str">
        <x:v>Existing direct FR links</x:v>
      </x:c>
      <x:c r="K19" s="40" t="str">
        <x:v>Approved 2026-07-26</x:v>
      </x:c>
    </x:row>
    <x:row r="20">
      <x:c r="A20" s="40" t="str">
        <x:v>VS-04</x:v>
      </x:c>
      <x:c r="B20" s="40" t="n">
        <x:v>4</x:v>
      </x:c>
      <x:c r="C20" s="40" t="str">
        <x:v>Wave 2 — Core Planning Loop</x:v>
      </x:c>
      <x:c r="D20" s="40" t="str">
        <x:v>OPD-1-017</x:v>
      </x:c>
      <x:c r="E20" s="40" t="str">
        <x:v>E. Calendar Events and Recurrence</x:v>
      </x:c>
      <x:c r="F20" s="40" t="str">
        <x:v>February 29 recurrence</x:v>
      </x:c>
      <x:c r="G20" s="40" t="str">
        <x:v>Use February 28 in non-leap years.</x:v>
      </x:c>
      <x:c r="H20" s="40" t="str">
        <x:v>Approve as written</x:v>
      </x:c>
      <x:c r="I20" s="40" t="str">
        <x:v>FR-E-007</x:v>
      </x:c>
      <x:c r="J20" s="40" t="str">
        <x:v>Backfill existing FR links</x:v>
      </x:c>
      <x:c r="K20" s="40" t="str">
        <x:v>Approved 2026-07-26</x:v>
      </x:c>
    </x:row>
    <x:row r="21">
      <x:c r="A21" s="40" t="str">
        <x:v>VS-04</x:v>
      </x:c>
      <x:c r="B21" s="40" t="n">
        <x:v>4</x:v>
      </x:c>
      <x:c r="C21" s="40" t="str">
        <x:v>Wave 2 — Core Planning Loop</x:v>
      </x:c>
      <x:c r="D21" s="40" t="str">
        <x:v>OPD-1-018</x:v>
      </x:c>
      <x:c r="E21" s="40" t="str">
        <x:v>E. Calendar Events and Recurrence</x:v>
      </x:c>
      <x:c r="F21" s="40" t="str">
        <x:v>Recurring edit scopes</x:v>
      </x:c>
      <x:c r="G21" s="40" t="str">
        <x:v>Support this occurrence, this and future, and entire series.</x:v>
      </x:c>
      <x:c r="H21" s="40" t="str">
        <x:v>Approve as written</x:v>
      </x:c>
      <x:c r="I21" s="40" t="str">
        <x:v>FR-E-017, FR-E-018</x:v>
      </x:c>
      <x:c r="J21" s="40" t="str">
        <x:v>Existing direct FR links</x:v>
      </x:c>
      <x:c r="K21" s="40" t="str">
        <x:v>Approved 2026-07-26</x:v>
      </x:c>
    </x:row>
    <x:row r="22">
      <x:c r="A22" s="40" t="str">
        <x:v>VS-04</x:v>
      </x:c>
      <x:c r="B22" s="40" t="n">
        <x:v>4</x:v>
      </x:c>
      <x:c r="C22" s="40" t="str">
        <x:v>Wave 2 — Core Planning Loop</x:v>
      </x:c>
      <x:c r="D22" s="40" t="str">
        <x:v>OPD-1-019</x:v>
      </x:c>
      <x:c r="E22" s="40" t="str">
        <x:v>E. Calendar Events and Recurrence</x:v>
      </x:c>
      <x:c r="F22" s="40" t="str">
        <x:v>Recurrence end rules</x:v>
      </x:c>
      <x:c r="G22" s="40" t="str">
        <x:v>Support no end, end on date, and end after count.</x:v>
      </x:c>
      <x:c r="H22" s="40" t="str">
        <x:v>Approve as written</x:v>
      </x:c>
      <x:c r="I22" s="40" t="str">
        <x:v>FR-E-004, FR-E-005, FR-E-006, FR-E-007</x:v>
      </x:c>
      <x:c r="J22" s="40" t="str">
        <x:v>Backfill existing FR links</x:v>
      </x:c>
      <x:c r="K22" s="40" t="str">
        <x:v>Approved 2026-07-26</x:v>
      </x:c>
    </x:row>
    <x:row r="23">
      <x:c r="A23" s="40" t="str">
        <x:v>VS-04</x:v>
      </x:c>
      <x:c r="B23" s="40" t="n">
        <x:v>4</x:v>
      </x:c>
      <x:c r="C23" s="40" t="str">
        <x:v>Wave 2 — Core Planning Loop</x:v>
      </x:c>
      <x:c r="D23" s="40" t="str">
        <x:v>OPD-1-020</x:v>
      </x:c>
      <x:c r="E23" s="40" t="str">
        <x:v>E. Calendar Events and Recurrence</x:v>
      </x:c>
      <x:c r="F23" s="40" t="str">
        <x:v>Event-time model</x:v>
      </x:c>
      <x:c r="G23" s="40" t="str">
        <x:v>Timed events retain their original IANA time zone and show converted local time when relevant. All-day events remain date-based and must not shift dates through time-zone conversion.</x:v>
      </x:c>
      <x:c r="H23" s="40" t="str">
        <x:v>Approve with reconciled wording</x:v>
      </x:c>
      <x:c r="I23" s="40" t="str">
        <x:v>FR-E-014</x:v>
      </x:c>
      <x:c r="J23" s="40" t="str">
        <x:v>Existing direct FR links</x:v>
      </x:c>
      <x:c r="K23" s="40" t="str">
        <x:v>Approved 2026-07-26</x:v>
      </x:c>
    </x:row>
    <x:row r="24">
      <x:c r="A24" s="40" t="str">
        <x:v>VS-05</x:v>
      </x:c>
      <x:c r="B24" s="40" t="n">
        <x:v>5</x:v>
      </x:c>
      <x:c r="C24" s="40" t="str">
        <x:v>Wave 2 — Core Planning Loop</x:v>
      </x:c>
      <x:c r="D24" s="40" t="str">
        <x:v>OPD-2-001</x:v>
      </x:c>
      <x:c r="E24" s="40" t="str">
        <x:v>F. Task–Event Linking</x:v>
      </x:c>
      <x:c r="F24" s="40" t="str">
        <x:v>Multiple Tasks linked to one event</x:v>
      </x:c>
      <x:c r="G24" s="40" t="str">
        <x:v>Permit explicit linking but never calculate progress from link count.</x:v>
      </x:c>
      <x:c r="H24" s="40" t="str">
        <x:v>Approve as written</x:v>
      </x:c>
      <x:c r="I24" s="40" t="str">
        <x:v>FR-F-004, FR-F-018</x:v>
      </x:c>
      <x:c r="J24" s="40" t="str">
        <x:v>Existing direct FR links</x:v>
      </x:c>
      <x:c r="K24" s="40" t="str">
        <x:v>Approved 2026-07-26</x:v>
      </x:c>
    </x:row>
    <x:row r="25">
      <x:c r="A25" s="40" t="str">
        <x:v>VS-05</x:v>
      </x:c>
      <x:c r="B25" s="40" t="n">
        <x:v>5</x:v>
      </x:c>
      <x:c r="C25" s="40" t="str">
        <x:v>Wave 2 — Core Planning Loop</x:v>
      </x:c>
      <x:c r="D25" s="40" t="str">
        <x:v>OPD-2-002</x:v>
      </x:c>
      <x:c r="E25" s="40" t="str">
        <x:v>F. Task–Event Linking</x:v>
      </x:c>
      <x:c r="F25" s="40" t="str">
        <x:v>Series-level Task linking</x:v>
      </x:c>
      <x:c r="G25" s="40" t="str">
        <x:v>Apply to future occurrences with occurrence-level overrides.</x:v>
      </x:c>
      <x:c r="H25" s="40" t="str">
        <x:v>Approve as written</x:v>
      </x:c>
      <x:c r="I25" s="40" t="str">
        <x:v>FR-F-009</x:v>
      </x:c>
      <x:c r="J25" s="40" t="str">
        <x:v>Existing direct FR links</x:v>
      </x:c>
      <x:c r="K25" s="40" t="str">
        <x:v>Approved 2026-07-26</x:v>
      </x:c>
    </x:row>
    <x:row r="26">
      <x:c r="A26" s="40" t="str">
        <x:v>VS-05</x:v>
      </x:c>
      <x:c r="B26" s="40" t="n">
        <x:v>5</x:v>
      </x:c>
      <x:c r="C26" s="40" t="str">
        <x:v>Wave 2 — Core Planning Loop</x:v>
      </x:c>
      <x:c r="D26" s="40" t="str">
        <x:v>OPD-2-003</x:v>
      </x:c>
      <x:c r="E26" s="40" t="str">
        <x:v>F. Task–Event Linking</x:v>
      </x:c>
      <x:c r="F26" s="40" t="str">
        <x:v>Scheduled Potential attribution</x:v>
      </x:c>
      <x:c r="G26" s="40" t="str">
        <x:v>Require one explicit canonical planning source per planned contribution.</x:v>
      </x:c>
      <x:c r="H26" s="40" t="str">
        <x:v>Approve as written</x:v>
      </x:c>
      <x:c r="I26" s="40" t="str">
        <x:v>FR-F-013, FR-F-017</x:v>
      </x:c>
      <x:c r="J26" s="40" t="str">
        <x:v>Existing direct FR links</x:v>
      </x:c>
      <x:c r="K26" s="40" t="str">
        <x:v>Approved 2026-07-26</x:v>
      </x:c>
    </x:row>
    <x:row r="27">
      <x:c r="A27" s="40" t="str">
        <x:v>VS-06</x:v>
      </x:c>
      <x:c r="B27" s="40" t="n">
        <x:v>6</x:v>
      </x:c>
      <x:c r="C27" s="40" t="str">
        <x:v>Wave 2 — Core Planning Loop</x:v>
      </x:c>
      <x:c r="D27" s="40" t="str">
        <x:v>OPD-2-004</x:v>
      </x:c>
      <x:c r="E27" s="40" t="str">
        <x:v>G. Event and Task Outcome Reporting</x:v>
      </x:c>
      <x:c r="F27" s="40" t="str">
        <x:v>Draft handling</x:v>
      </x:c>
      <x:c r="G27" s="40" t="str">
        <x:v>Autosave locally and label clearly as Draft.</x:v>
      </x:c>
      <x:c r="H27" s="40" t="str">
        <x:v>Approve as written</x:v>
      </x:c>
      <x:c r="I27" s="40" t="str">
        <x:v>FR-G-004, FR-G-005, FR-G-017</x:v>
      </x:c>
      <x:c r="J27" s="40" t="str">
        <x:v>Backfill existing FR links</x:v>
      </x:c>
      <x:c r="K27" s="40" t="str">
        <x:v>Approved 2026-07-26</x:v>
      </x:c>
    </x:row>
    <x:row r="28">
      <x:c r="A28" s="40" t="str">
        <x:v>VS-06</x:v>
      </x:c>
      <x:c r="B28" s="40" t="n">
        <x:v>6</x:v>
      </x:c>
      <x:c r="C28" s="40" t="str">
        <x:v>Wave 2 — Core Planning Loop</x:v>
      </x:c>
      <x:c r="D28" s="40" t="str">
        <x:v>OPD-2-005</x:v>
      </x:c>
      <x:c r="E28" s="40" t="str">
        <x:v>G. Event and Task Outcome Reporting</x:v>
      </x:c>
      <x:c r="F28" s="40" t="str">
        <x:v>Correction reason</x:v>
      </x:c>
      <x:c r="G28" s="40" t="str">
        <x:v>Require a reason when the corrected report affected Actual.</x:v>
      </x:c>
      <x:c r="H28" s="40" t="str">
        <x:v>Approve as written</x:v>
      </x:c>
      <x:c r="I28" s="40" t="str">
        <x:v>FR-G-006, FR-G-016</x:v>
      </x:c>
      <x:c r="J28" s="40" t="str">
        <x:v>Existing direct FR links</x:v>
      </x:c>
      <x:c r="K28" s="40" t="str">
        <x:v>Approved 2026-07-26</x:v>
      </x:c>
    </x:row>
    <x:row r="29">
      <x:c r="A29" s="40" t="str">
        <x:v>VS-06</x:v>
      </x:c>
      <x:c r="B29" s="40" t="n">
        <x:v>6</x:v>
      </x:c>
      <x:c r="C29" s="40" t="str">
        <x:v>Wave 2 — Core Planning Loop</x:v>
      </x:c>
      <x:c r="D29" s="40" t="str">
        <x:v>OPD-2-006</x:v>
      </x:c>
      <x:c r="E29" s="40" t="str">
        <x:v>G. Event and Task Outcome Reporting</x:v>
      </x:c>
      <x:c r="F29" s="40" t="str">
        <x:v>Private report notes</x:v>
      </x:c>
      <x:c r="G29" s="40" t="str">
        <x:v>Private report notes remain optional and non-contributory. They are excluded from logs, analytics, notification previews, and contribution rules; storage and synchronization follow the approved record privacy classification.</x:v>
      </x:c>
      <x:c r="H29" s="40" t="str">
        <x:v>Approve with reconciled wording</x:v>
      </x:c>
      <x:c r="I29" s="40"/>
      <x:c r="J29" s="40" t="str">
        <x:v>Record as vertical-slice constraint</x:v>
      </x:c>
      <x:c r="K29" s="40" t="str">
        <x:v>Approved 2026-07-26</x:v>
      </x:c>
    </x:row>
    <x:row r="30">
      <x:c r="A30" s="40" t="str">
        <x:v>VS-06</x:v>
      </x:c>
      <x:c r="B30" s="40" t="n">
        <x:v>6</x:v>
      </x:c>
      <x:c r="C30" s="40" t="str">
        <x:v>Wave 2 — Core Planning Loop</x:v>
      </x:c>
      <x:c r="D30" s="40" t="str">
        <x:v>OPD-2-007</x:v>
      </x:c>
      <x:c r="E30" s="40" t="str">
        <x:v>H. Activity Ledger and Contribution History</x:v>
      </x:c>
      <x:c r="F30" s="40" t="str">
        <x:v>Manual activity logging</x:v>
      </x:c>
      <x:c r="G30" s="40" t="str">
        <x:v>Include a structured Activity Report and never raw ledger editing.</x:v>
      </x:c>
      <x:c r="H30" s="40" t="str">
        <x:v>Approve as written</x:v>
      </x:c>
      <x:c r="I30" s="40" t="str">
        <x:v>FR-H-001</x:v>
      </x:c>
      <x:c r="J30" s="40" t="str">
        <x:v>Existing direct FR links</x:v>
      </x:c>
      <x:c r="K30" s="40" t="str">
        <x:v>Approved 2026-07-26</x:v>
      </x:c>
    </x:row>
    <x:row r="31">
      <x:c r="A31" s="40" t="str">
        <x:v>VS-06</x:v>
      </x:c>
      <x:c r="B31" s="40" t="n">
        <x:v>6</x:v>
      </x:c>
      <x:c r="C31" s="40" t="str">
        <x:v>Wave 2 — Core Planning Loop</x:v>
      </x:c>
      <x:c r="D31" s="40" t="str">
        <x:v>OPD-2-008</x:v>
      </x:c>
      <x:c r="E31" s="40" t="str">
        <x:v>H. Activity Ledger and Contribution History</x:v>
      </x:c>
      <x:c r="F31" s="40" t="str">
        <x:v>Fractional values</x:v>
      </x:c>
      <x:c r="G31" s="40" t="str">
        <x:v>Support fixed-decimal values only when the indicator unit permits them. Each unit defines allowed precision and rounding; canonical values must not use binary floating-point storage.</x:v>
      </x:c>
      <x:c r="H31" s="40" t="str">
        <x:v>Approve with reconciled wording</x:v>
      </x:c>
      <x:c r="I31" s="40" t="str">
        <x:v>FR-H-005</x:v>
      </x:c>
      <x:c r="J31" s="40" t="str">
        <x:v>Backfill existing FR links</x:v>
      </x:c>
      <x:c r="K31" s="40" t="str">
        <x:v>Approved 2026-07-26</x:v>
      </x:c>
    </x:row>
    <x:row r="32">
      <x:c r="A32" s="40" t="str">
        <x:v>VS-06</x:v>
      </x:c>
      <x:c r="B32" s="40" t="n">
        <x:v>6</x:v>
      </x:c>
      <x:c r="C32" s="40" t="str">
        <x:v>Wave 2 — Core Planning Loop</x:v>
      </x:c>
      <x:c r="D32" s="40" t="str">
        <x:v>OPD-2-009</x:v>
      </x:c>
      <x:c r="E32" s="40" t="str">
        <x:v>H. Activity Ledger and Contribution History</x:v>
      </x:c>
      <x:c r="F32" s="40" t="str">
        <x:v>Contribution-history default</x:v>
      </x:c>
      <x:c r="G32" s="40" t="str">
        <x:v>Show effective entries first and reversed history inside correction detail.</x:v>
      </x:c>
      <x:c r="H32" s="40" t="str">
        <x:v>Approve as written</x:v>
      </x:c>
      <x:c r="I32" s="40" t="str">
        <x:v>FR-H-012, FR-H-013</x:v>
      </x:c>
      <x:c r="J32" s="40" t="str">
        <x:v>Existing direct FR links</x:v>
      </x:c>
      <x:c r="K32" s="40" t="str">
        <x:v>Approved 2026-07-26</x:v>
      </x:c>
    </x:row>
    <x:row r="33">
      <x:c r="A33" s="40" t="str">
        <x:v>VS-08</x:v>
      </x:c>
      <x:c r="B33" s="40" t="n">
        <x:v>8</x:v>
      </x:c>
      <x:c r="C33" s="40" t="str">
        <x:v>Wave 2 — Core Planning Loop</x:v>
      </x:c>
      <x:c r="D33" s="40" t="str">
        <x:v>OPD-2-010</x:v>
      </x:c>
      <x:c r="E33" s="40" t="str">
        <x:v>I. Weekly Planning</x:v>
      </x:c>
      <x:c r="F33" s="40" t="str">
        <x:v>Week boundary</x:v>
      </x:c>
      <x:c r="G33" s="40" t="str">
        <x:v>Use Monday through Sunday in the Local Profile timezone.</x:v>
      </x:c>
      <x:c r="H33" s="40" t="str">
        <x:v>Approve as written</x:v>
      </x:c>
      <x:c r="I33" s="40" t="str">
        <x:v>FR-I-001, FR-I-002</x:v>
      </x:c>
      <x:c r="J33" s="40" t="str">
        <x:v>Backfill existing FR links</x:v>
      </x:c>
      <x:c r="K33" s="40" t="str">
        <x:v>Approved 2026-07-26</x:v>
      </x:c>
    </x:row>
    <x:row r="34">
      <x:c r="A34" s="40" t="str">
        <x:v>VS-08</x:v>
      </x:c>
      <x:c r="B34" s="40" t="n">
        <x:v>8</x:v>
      </x:c>
      <x:c r="C34" s="40" t="str">
        <x:v>Wave 2 — Core Planning Loop</x:v>
      </x:c>
      <x:c r="D34" s="40" t="str">
        <x:v>OPD-2-011</x:v>
      </x:c>
      <x:c r="E34" s="40" t="str">
        <x:v>I. Weekly Planning</x:v>
      </x:c>
      <x:c r="F34" s="40" t="str">
        <x:v>Review with unresolved reports</x:v>
      </x:c>
      <x:c r="G34" s="40" t="str">
        <x:v>Require explicit acknowledgement before review completion.</x:v>
      </x:c>
      <x:c r="H34" s="40" t="str">
        <x:v>Approve as written</x:v>
      </x:c>
      <x:c r="I34" s="40" t="str">
        <x:v>FR-I-011</x:v>
      </x:c>
      <x:c r="J34" s="40" t="str">
        <x:v>Existing direct FR links</x:v>
      </x:c>
      <x:c r="K34" s="40" t="str">
        <x:v>Approved 2026-07-26</x:v>
      </x:c>
    </x:row>
    <x:row r="35">
      <x:c r="A35" s="40" t="str">
        <x:v>VS-08</x:v>
      </x:c>
      <x:c r="B35" s="40" t="n">
        <x:v>8</x:v>
      </x:c>
      <x:c r="C35" s="40" t="str">
        <x:v>Wave 2 — Core Planning Loop</x:v>
      </x:c>
      <x:c r="D35" s="40" t="str">
        <x:v>OPD-2-012</x:v>
      </x:c>
      <x:c r="E35" s="40" t="str">
        <x:v>I. Weekly Planning</x:v>
      </x:c>
      <x:c r="F35" s="40" t="str">
        <x:v>Target revision display</x:v>
      </x:c>
      <x:c r="G35" s="40" t="str">
        <x:v>Show final target by default with revision history available.</x:v>
      </x:c>
      <x:c r="H35" s="40" t="str">
        <x:v>Approve as written</x:v>
      </x:c>
      <x:c r="I35" s="40" t="str">
        <x:v>FR-I-007</x:v>
      </x:c>
      <x:c r="J35" s="40" t="str">
        <x:v>Existing direct FR links</x:v>
      </x:c>
      <x:c r="K35" s="40" t="str">
        <x:v>Approved 2026-07-26</x:v>
      </x:c>
    </x:row>
    <x:row r="36">
      <x:c r="A36" s="40" t="str">
        <x:v>VS-09</x:v>
      </x:c>
      <x:c r="B36" s="40" t="n">
        <x:v>9</x:v>
      </x:c>
      <x:c r="C36" s="40" t="str">
        <x:v>Wave 3 — Pathways and Life Administration</x:v>
      </x:c>
      <x:c r="D36" s="40" t="str">
        <x:v>OPD-2-013</x:v>
      </x:c>
      <x:c r="E36" s="40" t="str">
        <x:v>J. Pathways, Goals, and Milestones</x:v>
      </x:c>
      <x:c r="F36" s="40" t="str">
        <x:v>Custom Pathways in V1</x:v>
      </x:c>
      <x:c r="G36" s="40" t="str">
        <x:v>Use bundled Pathways plus custom Goals and Milestones; defer custom Pathways.</x:v>
      </x:c>
      <x:c r="H36" s="40" t="str">
        <x:v>Approve as written</x:v>
      </x:c>
      <x:c r="I36" s="40" t="str">
        <x:v>FR-J-005, FR-J-006</x:v>
      </x:c>
      <x:c r="J36" s="40" t="str">
        <x:v>Existing direct FR links</x:v>
      </x:c>
      <x:c r="K36" s="40" t="str">
        <x:v>Approved 2026-07-26</x:v>
      </x:c>
    </x:row>
    <x:row r="37">
      <x:c r="A37" s="40" t="str">
        <x:v>VS-09</x:v>
      </x:c>
      <x:c r="B37" s="40" t="n">
        <x:v>9</x:v>
      </x:c>
      <x:c r="C37" s="40" t="str">
        <x:v>Wave 3 — Pathways and Life Administration</x:v>
      </x:c>
      <x:c r="D37" s="40" t="str">
        <x:v>OPD-2-014</x:v>
      </x:c>
      <x:c r="E37" s="40" t="str">
        <x:v>J. Pathways, Goals, and Milestones</x:v>
      </x:c>
      <x:c r="F37" s="40" t="str">
        <x:v>Lifecycle values</x:v>
      </x:c>
      <x:c r="G37" s="40" t="str">
        <x:v>Use these V1 lifecycle values: Pathway = Available, Active, Paused, Completed, Archived; Goal = Active, Paused, Completed, Archived; Milestone = Planned, Completed, Archived. Reopen returns Completed records to Active or Planned; restore returns Archived records to their last known non-archived state when available.</x:v>
      </x:c>
      <x:c r="H37" s="40" t="str">
        <x:v>Replace vague recommendation with explicit proposal</x:v>
      </x:c>
      <x:c r="I37" s="40" t="str">
        <x:v>FR-J-007, FR-J-008, FR-J-009, FR-J-010</x:v>
      </x:c>
      <x:c r="J37" s="40" t="str">
        <x:v>Backfill existing FR links</x:v>
      </x:c>
      <x:c r="K37" s="40" t="str">
        <x:v>Approved 2026-07-26</x:v>
      </x:c>
    </x:row>
    <x:row r="38">
      <x:c r="A38" s="40" t="str">
        <x:v>VS-09</x:v>
      </x:c>
      <x:c r="B38" s="40" t="n">
        <x:v>9</x:v>
      </x:c>
      <x:c r="C38" s="40" t="str">
        <x:v>Wave 3 — Pathways and Life Administration</x:v>
      </x:c>
      <x:c r="D38" s="40" t="str">
        <x:v>OPD-2-015</x:v>
      </x:c>
      <x:c r="E38" s="40" t="str">
        <x:v>J. Pathways, Goals, and Milestones</x:v>
      </x:c>
      <x:c r="F38" s="40" t="str">
        <x:v>Manual completion</x:v>
      </x:c>
      <x:c r="G38" s="40" t="str">
        <x:v>Allow only through an explicit User Confirmation completion method.</x:v>
      </x:c>
      <x:c r="H38" s="40" t="str">
        <x:v>Approve as written</x:v>
      </x:c>
      <x:c r="I38" s="40" t="str">
        <x:v>FR-J-012</x:v>
      </x:c>
      <x:c r="J38" s="40" t="str">
        <x:v>Existing direct FR links</x:v>
      </x:c>
      <x:c r="K38" s="40" t="str">
        <x:v>Approved 2026-07-26</x:v>
      </x:c>
    </x:row>
    <x:row r="39">
      <x:c r="A39" s="40" t="str">
        <x:v>VS-09</x:v>
      </x:c>
      <x:c r="B39" s="40" t="n">
        <x:v>9</x:v>
      </x:c>
      <x:c r="C39" s="40" t="str">
        <x:v>Wave 3 — Pathways and Life Administration</x:v>
      </x:c>
      <x:c r="D39" s="40" t="str">
        <x:v>OPD-2-016</x:v>
      </x:c>
      <x:c r="E39" s="40" t="str">
        <x:v>J. Pathways, Goals, and Milestones</x:v>
      </x:c>
      <x:c r="F39" s="40" t="str">
        <x:v>Universal percentages</x:v>
      </x:c>
      <x:c r="G39" s="40" t="str">
        <x:v>Do not include a universal Pathway percentage in V1.</x:v>
      </x:c>
      <x:c r="H39" s="40" t="str">
        <x:v>Approve as written</x:v>
      </x:c>
      <x:c r="I39" s="40" t="str">
        <x:v>FR-J-015</x:v>
      </x:c>
      <x:c r="J39" s="40" t="str">
        <x:v>Backfill existing FR links</x:v>
      </x:c>
      <x:c r="K39" s="40" t="str">
        <x:v>Approved 2026-07-26</x:v>
      </x:c>
    </x:row>
    <x:row r="40">
      <x:c r="A40" s="40" t="str">
        <x:v>VS-10</x:v>
      </x:c>
      <x:c r="B40" s="40" t="n">
        <x:v>10</x:v>
      </x:c>
      <x:c r="C40" s="40" t="str">
        <x:v>Wave 3 — Pathways and Life Administration</x:v>
      </x:c>
      <x:c r="D40" s="40" t="str">
        <x:v>OPD-3-001</x:v>
      </x:c>
      <x:c r="E40" s="40" t="str">
        <x:v>K. Covenant Path</x:v>
      </x:c>
      <x:c r="F40" s="40" t="str">
        <x:v>Covenant Path bundled sections</x:v>
      </x:c>
      <x:c r="G40" s="40" t="str">
        <x:v>The V1 bundled Covenant Path sections are Scripture Study and Temple Visit only. They record factual plans, reports, and optional private reflections; there is no universal completion score or spiritual-quality assessment.</x:v>
      </x:c>
      <x:c r="H40" s="40" t="str">
        <x:v>Replace vague recommendation with explicit proposal</x:v>
      </x:c>
      <x:c r="I40" s="40" t="str">
        <x:v>FR-K-010, FR-K-011, FR-K-014</x:v>
      </x:c>
      <x:c r="J40" s="40" t="str">
        <x:v>Backfill existing FR links</x:v>
      </x:c>
      <x:c r="K40" s="40" t="str">
        <x:v>Approved 2026-07-26</x:v>
      </x:c>
    </x:row>
    <x:row r="41">
      <x:c r="A41" s="40" t="str">
        <x:v>VS-10</x:v>
      </x:c>
      <x:c r="B41" s="40" t="n">
        <x:v>10</x:v>
      </x:c>
      <x:c r="C41" s="40" t="str">
        <x:v>Wave 3 — Pathways and Life Administration</x:v>
      </x:c>
      <x:c r="D41" s="40" t="str">
        <x:v>OPD-3-002</x:v>
      </x:c>
      <x:c r="E41" s="40" t="str">
        <x:v>K. Covenant Path</x:v>
      </x:c>
      <x:c r="F41" s="40" t="str">
        <x:v>Private reflection synchronization</x:v>
      </x:c>
      <x:c r="G41" s="40" t="str">
        <x:v>Private reflections are Extra Private and local-only by default. They may enter cloud synchronization only after a future explicit per-category opt-in exists; until then they remain local-only.</x:v>
      </x:c>
      <x:c r="H41" s="40" t="str">
        <x:v>Approve with reconciled wording</x:v>
      </x:c>
      <x:c r="I41" s="40" t="str">
        <x:v>FR-K-008, FR-K-009, FR-W-013</x:v>
      </x:c>
      <x:c r="J41" s="40" t="str">
        <x:v>Backfill existing FR links</x:v>
      </x:c>
      <x:c r="K41" s="40" t="str">
        <x:v>Approved 2026-07-26</x:v>
      </x:c>
    </x:row>
    <x:row r="42">
      <x:c r="A42" s="40" t="str">
        <x:v>VS-10</x:v>
      </x:c>
      <x:c r="B42" s="40" t="n">
        <x:v>10</x:v>
      </x:c>
      <x:c r="C42" s="40" t="str">
        <x:v>Wave 3 — Pathways and Life Administration</x:v>
      </x:c>
      <x:c r="D42" s="40" t="str">
        <x:v>OPD-3-003</x:v>
      </x:c>
      <x:c r="E42" s="40" t="str">
        <x:v>K. Covenant Path</x:v>
      </x:c>
      <x:c r="F42" s="40" t="str">
        <x:v>External resources</x:v>
      </x:c>
      <x:c r="G42" s="40" t="str">
        <x:v>Official bundled links plus clearly labeled private personal links.</x:v>
      </x:c>
      <x:c r="H42" s="40" t="str">
        <x:v>Approve as written</x:v>
      </x:c>
      <x:c r="I42" s="40" t="str">
        <x:v>FR-K-011</x:v>
      </x:c>
      <x:c r="J42" s="40" t="str">
        <x:v>Existing direct FR links</x:v>
      </x:c>
      <x:c r="K42" s="40" t="str">
        <x:v>Approved 2026-07-26</x:v>
      </x:c>
    </x:row>
    <x:row r="43">
      <x:c r="A43" s="40" t="str">
        <x:v>VS-11</x:v>
      </x:c>
      <x:c r="B43" s="40" t="n">
        <x:v>11</x:v>
      </x:c>
      <x:c r="C43" s="40" t="str">
        <x:v>Wave 3 — Pathways and Life Administration</x:v>
      </x:c>
      <x:c r="D43" s="40" t="str">
        <x:v>OPD-3-004</x:v>
      </x:c>
      <x:c r="E43" s="40" t="str">
        <x:v>L. Contacts and Follow-Ups</x:v>
      </x:c>
      <x:c r="F43" s="40" t="str">
        <x:v>Group interaction contributions</x:v>
      </x:c>
      <x:c r="G43" s="40" t="str">
        <x:v>One contribution per explicitly confirmed meaningful Contact.</x:v>
      </x:c>
      <x:c r="H43" s="40" t="str">
        <x:v>Approve as written</x:v>
      </x:c>
      <x:c r="I43" s="40" t="str">
        <x:v>FR-L-010, FR-L-019</x:v>
      </x:c>
      <x:c r="J43" s="40" t="str">
        <x:v>Existing direct FR links</x:v>
      </x:c>
      <x:c r="K43" s="40" t="str">
        <x:v>Approved 2026-07-26</x:v>
      </x:c>
    </x:row>
    <x:row r="44">
      <x:c r="A44" s="40" t="str">
        <x:v>VS-11</x:v>
      </x:c>
      <x:c r="B44" s="40" t="n">
        <x:v>11</x:v>
      </x:c>
      <x:c r="C44" s="40" t="str">
        <x:v>Wave 3 — Pathways and Life Administration</x:v>
      </x:c>
      <x:c r="D44" s="40" t="str">
        <x:v>OPD-3-005</x:v>
      </x:c>
      <x:c r="E44" s="40" t="str">
        <x:v>L. Contacts and Follow-Ups</x:v>
      </x:c>
      <x:c r="F44" s="40" t="str">
        <x:v>Contact photos</x:v>
      </x:c>
      <x:c r="G44" s="40" t="str">
        <x:v>Defer to V1.1.</x:v>
      </x:c>
      <x:c r="H44" s="40" t="str">
        <x:v>Approve as written</x:v>
      </x:c>
      <x:c r="I44" s="40"/>
      <x:c r="J44" s="40" t="str">
        <x:v>Add V1.1 candidate traceability</x:v>
      </x:c>
      <x:c r="K44" s="40" t="str">
        <x:v>Approved 2026-07-26</x:v>
      </x:c>
    </x:row>
    <x:row r="45">
      <x:c r="A45" s="40" t="str">
        <x:v>VS-11</x:v>
      </x:c>
      <x:c r="B45" s="40" t="n">
        <x:v>11</x:v>
      </x:c>
      <x:c r="C45" s="40" t="str">
        <x:v>Wave 3 — Pathways and Life Administration</x:v>
      </x:c>
      <x:c r="D45" s="40" t="str">
        <x:v>OPD-3-006</x:v>
      </x:c>
      <x:c r="E45" s="40" t="str">
        <x:v>L. Contacts and Follow-Ups</x:v>
      </x:c>
      <x:c r="F45" s="40" t="str">
        <x:v>Duplicate contact detection</x:v>
      </x:c>
      <x:c r="G45" s="40" t="str">
        <x:v>Suggest using normalized phone or email; never merge automatically.</x:v>
      </x:c>
      <x:c r="H45" s="40" t="str">
        <x:v>Approve as written</x:v>
      </x:c>
      <x:c r="I45" s="40" t="str">
        <x:v>FR-L-017</x:v>
      </x:c>
      <x:c r="J45" s="40" t="str">
        <x:v>Existing direct FR links</x:v>
      </x:c>
      <x:c r="K45" s="40" t="str">
        <x:v>Approved 2026-07-26</x:v>
      </x:c>
    </x:row>
    <x:row r="46">
      <x:c r="A46" s="40" t="str">
        <x:v>VS-12</x:v>
      </x:c>
      <x:c r="B46" s="40" t="n">
        <x:v>12</x:v>
      </x:c>
      <x:c r="C46" s="40" t="str">
        <x:v>Wave 3 — Pathways and Life Administration</x:v>
      </x:c>
      <x:c r="D46" s="40" t="str">
        <x:v>OPD-3-007</x:v>
      </x:c>
      <x:c r="E46" s="40" t="str">
        <x:v>M. Employment Applications</x:v>
      </x:c>
      <x:c r="F46" s="40" t="str">
        <x:v>Employment application lifecycle</x:v>
      </x:c>
      <x:c r="G46" s="40" t="str">
        <x:v>Employment Application lifecycle: active stages = Saved, Considering, Preparing, Submitted, Interviewing, Offered; terminal outcomes = Accepted, Rejected, Withdrawn, Closed Without Outcome. Archive is a separate visibility state, and reapplication creates a new cycle.</x:v>
      </x:c>
      <x:c r="H46" s="40" t="str">
        <x:v>Replace vague recommendation with explicit proposal</x:v>
      </x:c>
      <x:c r="I46" s="40" t="str">
        <x:v>FR-M-001, FR-M-020</x:v>
      </x:c>
      <x:c r="J46" s="40" t="str">
        <x:v>Existing direct FR links</x:v>
      </x:c>
      <x:c r="K46" s="40" t="str">
        <x:v>Approved 2026-07-26</x:v>
      </x:c>
    </x:row>
    <x:row r="47">
      <x:c r="A47" s="40" t="str">
        <x:v>VS-12</x:v>
      </x:c>
      <x:c r="B47" s="40" t="n">
        <x:v>12</x:v>
      </x:c>
      <x:c r="C47" s="40" t="str">
        <x:v>Wave 3 — Pathways and Life Administration</x:v>
      </x:c>
      <x:c r="D47" s="40" t="str">
        <x:v>OPD-3-008</x:v>
      </x:c>
      <x:c r="E47" s="40" t="str">
        <x:v>M. Employment Applications</x:v>
      </x:c>
      <x:c r="F47" s="40" t="str">
        <x:v>Submission evidence</x:v>
      </x:c>
      <x:c r="G47" s="40" t="str">
        <x:v>Allow private reference text in V1 and defer attachments.</x:v>
      </x:c>
      <x:c r="H47" s="40" t="str">
        <x:v>Approve as written</x:v>
      </x:c>
      <x:c r="I47" s="40"/>
      <x:c r="J47" s="40" t="str">
        <x:v>Record as vertical-slice and V1.1 constraint</x:v>
      </x:c>
      <x:c r="K47" s="40" t="str">
        <x:v>Approved 2026-07-26</x:v>
      </x:c>
    </x:row>
    <x:row r="48">
      <x:c r="A48" s="40" t="str">
        <x:v>VS-12</x:v>
      </x:c>
      <x:c r="B48" s="40" t="n">
        <x:v>12</x:v>
      </x:c>
      <x:c r="C48" s="40" t="str">
        <x:v>Wave 3 — Pathways and Life Administration</x:v>
      </x:c>
      <x:c r="D48" s="40" t="str">
        <x:v>OPD-3-009</x:v>
      </x:c>
      <x:c r="E48" s="40" t="str">
        <x:v>M. Employment Applications</x:v>
      </x:c>
      <x:c r="F48" s="40" t="str">
        <x:v>Job Applications unit</x:v>
      </x:c>
      <x:c r="G48" s="40" t="str">
        <x:v>One distinct confirmed submission equals one contribution.</x:v>
      </x:c>
      <x:c r="H48" s="40" t="str">
        <x:v>Approve as written</x:v>
      </x:c>
      <x:c r="I48" s="40" t="str">
        <x:v>FR-M-007, FR-M-016</x:v>
      </x:c>
      <x:c r="J48" s="40" t="str">
        <x:v>Existing direct FR links</x:v>
      </x:c>
      <x:c r="K48" s="40" t="str">
        <x:v>Approved 2026-07-26</x:v>
      </x:c>
    </x:row>
    <x:row r="49">
      <x:c r="A49" s="40" t="str">
        <x:v>VS-13</x:v>
      </x:c>
      <x:c r="B49" s="40" t="n">
        <x:v>13</x:v>
      </x:c>
      <x:c r="C49" s="40" t="str">
        <x:v>Wave 3 — Pathways and Life Administration</x:v>
      </x:c>
      <x:c r="D49" s="40" t="str">
        <x:v>OPD-3-010</x:v>
      </x:c>
      <x:c r="E49" s="40" t="str">
        <x:v>N. Education Planning</x:v>
      </x:c>
      <x:c r="F49" s="40" t="str">
        <x:v>Education stages</x:v>
      </x:c>
      <x:c r="G49" s="40" t="str">
        <x:v>Education application stages: Considering, Preparing, Submitted, Admitted, Enrolled, Deferred, Rejected, Withdrawn, and Discontinued. Archive is separate; admission and enrollment remain distinct confirmed outcomes.</x:v>
      </x:c>
      <x:c r="H49" s="40" t="str">
        <x:v>Replace vague recommendation with explicit proposal</x:v>
      </x:c>
      <x:c r="I49" s="40" t="str">
        <x:v>FR-N-009</x:v>
      </x:c>
      <x:c r="J49" s="40" t="str">
        <x:v>Existing direct FR links</x:v>
      </x:c>
      <x:c r="K49" s="40" t="str">
        <x:v>Approved 2026-07-26</x:v>
      </x:c>
    </x:row>
    <x:row r="50">
      <x:c r="A50" s="40" t="str">
        <x:v>VS-13</x:v>
      </x:c>
      <x:c r="B50" s="40" t="n">
        <x:v>13</x:v>
      </x:c>
      <x:c r="C50" s="40" t="str">
        <x:v>Wave 3 — Pathways and Life Administration</x:v>
      </x:c>
      <x:c r="D50" s="40" t="str">
        <x:v>OPD-3-011</x:v>
      </x:c>
      <x:c r="E50" s="40" t="str">
        <x:v>N. Education Planning</x:v>
      </x:c>
      <x:c r="F50" s="40" t="str">
        <x:v>Bundled education content</x:v>
      </x:c>
      <x:c r="G50" s="40" t="str">
        <x:v>Initial V1 bundled education entries: BYU-Pathway Worldwide, BYU-Hawaii, and My Plan (Tanay, Rizal), plus Custom Education Option. Degree-destination details remain content-driven and must carry official source and last-verified metadata.</x:v>
      </x:c>
      <x:c r="H50" s="40" t="str">
        <x:v>Replace vague recommendation with explicit proposal</x:v>
      </x:c>
      <x:c r="I50" s="40" t="str">
        <x:v>FR-N-001, FR-N-002, FR-N-013</x:v>
      </x:c>
      <x:c r="J50" s="40" t="str">
        <x:v>Existing direct FR links</x:v>
      </x:c>
      <x:c r="K50" s="40" t="str">
        <x:v>Approved 2026-07-26</x:v>
      </x:c>
    </x:row>
    <x:row r="51">
      <x:c r="A51" s="40" t="str">
        <x:v>VS-13</x:v>
      </x:c>
      <x:c r="B51" s="40" t="n">
        <x:v>13</x:v>
      </x:c>
      <x:c r="C51" s="40" t="str">
        <x:v>Wave 3 — Pathways and Life Administration</x:v>
      </x:c>
      <x:c r="D51" s="40" t="str">
        <x:v>OPD-3-012</x:v>
      </x:c>
      <x:c r="E51" s="40" t="str">
        <x:v>N. Education Planning</x:v>
      </x:c>
      <x:c r="F51" s="40" t="str">
        <x:v>Content verification policy</x:v>
      </x:c>
      <x:c r="G51" s="40" t="str">
        <x:v>Require source, last-verified date, and Verify with Provider action.</x:v>
      </x:c>
      <x:c r="H51" s="40" t="str">
        <x:v>Approve as written</x:v>
      </x:c>
      <x:c r="I51" s="40" t="str">
        <x:v>FR-N-004</x:v>
      </x:c>
      <x:c r="J51" s="40" t="str">
        <x:v>Existing direct FR links</x:v>
      </x:c>
      <x:c r="K51" s="40" t="str">
        <x:v>Approved 2026-07-26</x:v>
      </x:c>
    </x:row>
    <x:row r="52">
      <x:c r="A52" s="40" t="str">
        <x:v>VS-14</x:v>
      </x:c>
      <x:c r="B52" s="40" t="n">
        <x:v>14</x:v>
      </x:c>
      <x:c r="C52" s="40" t="str">
        <x:v>Wave 3 — Pathways and Life Administration</x:v>
      </x:c>
      <x:c r="D52" s="40" t="str">
        <x:v>OPD-3-013</x:v>
      </x:c>
      <x:c r="E52" s="40" t="str">
        <x:v>O. Government Document Requirements</x:v>
      </x:c>
      <x:c r="F52" s="40" t="str">
        <x:v>Bundled government-document templates</x:v>
      </x:c>
      <x:c r="G52" s="40" t="str">
        <x:v>Initial V1 Philippines government-document templates: PSA Birth Certificate, PSA Marriage Certificate, NBI Clearance, SSS registration/number, PhilHealth registration/number, Pag-IBIG MID registration, BIR TIN registration, Philippine Passport, and Driver's License, plus Custom Requirement.</x:v>
      </x:c>
      <x:c r="H52" s="40" t="str">
        <x:v>Replace vague recommendation with explicit proposal</x:v>
      </x:c>
      <x:c r="I52" s="40" t="str">
        <x:v>FR-O-001</x:v>
      </x:c>
      <x:c r="J52" s="40" t="str">
        <x:v>Existing direct FR links</x:v>
      </x:c>
      <x:c r="K52" s="40" t="str">
        <x:v>Approved 2026-07-26</x:v>
      </x:c>
    </x:row>
    <x:row r="53">
      <x:c r="A53" s="40" t="str">
        <x:v>VS-14</x:v>
      </x:c>
      <x:c r="B53" s="40" t="n">
        <x:v>14</x:v>
      </x:c>
      <x:c r="C53" s="40" t="str">
        <x:v>Wave 3 — Pathways and Life Administration</x:v>
      </x:c>
      <x:c r="D53" s="40" t="str">
        <x:v>OPD-3-014</x:v>
      </x:c>
      <x:c r="E53" s="40" t="str">
        <x:v>O. Government Document Requirements</x:v>
      </x:c>
      <x:c r="F53" s="40" t="str">
        <x:v>Sensitive references</x:v>
      </x:c>
      <x:c r="G53" s="40" t="str">
        <x:v>Use masked references only and no full numbers.</x:v>
      </x:c>
      <x:c r="H53" s="40" t="str">
        <x:v>Approve as written</x:v>
      </x:c>
      <x:c r="I53" s="40" t="str">
        <x:v>FR-O-013, FR-O-014</x:v>
      </x:c>
      <x:c r="J53" s="40" t="str">
        <x:v>Backfill existing FR links</x:v>
      </x:c>
      <x:c r="K53" s="40" t="str">
        <x:v>Approved 2026-07-26</x:v>
      </x:c>
    </x:row>
    <x:row r="54">
      <x:c r="A54" s="40" t="str">
        <x:v>VS-14</x:v>
      </x:c>
      <x:c r="B54" s="40" t="n">
        <x:v>14</x:v>
      </x:c>
      <x:c r="C54" s="40" t="str">
        <x:v>Wave 3 — Pathways and Life Administration</x:v>
      </x:c>
      <x:c r="D54" s="40" t="str">
        <x:v>OPD-3-015</x:v>
      </x:c>
      <x:c r="E54" s="40" t="str">
        <x:v>O. Government Document Requirements</x:v>
      </x:c>
      <x:c r="F54" s="40" t="str">
        <x:v>Renewal reminders</x:v>
      </x:c>
      <x:c r="G54" s="40" t="str">
        <x:v>Use a user-selected date with optional verified-content suggestion.</x:v>
      </x:c>
      <x:c r="H54" s="40" t="str">
        <x:v>Approve as written</x:v>
      </x:c>
      <x:c r="I54" s="40" t="str">
        <x:v>FR-O-005, FR-O-011</x:v>
      </x:c>
      <x:c r="J54" s="40" t="str">
        <x:v>Existing direct FR links</x:v>
      </x:c>
      <x:c r="K54" s="40" t="str">
        <x:v>Approved 2026-07-26</x:v>
      </x:c>
    </x:row>
    <x:row r="55">
      <x:c r="A55" s="40" t="str">
        <x:v>VS-14</x:v>
      </x:c>
      <x:c r="B55" s="40" t="n">
        <x:v>14</x:v>
      </x:c>
      <x:c r="C55" s="40" t="str">
        <x:v>Wave 3 — Pathways and Life Administration</x:v>
      </x:c>
      <x:c r="D55" s="40" t="str">
        <x:v>OPD-3-016</x:v>
      </x:c>
      <x:c r="E55" s="40" t="str">
        <x:v>O. Government Document Requirements</x:v>
      </x:c>
      <x:c r="F55" s="40" t="str">
        <x:v>Requirement-content notice</x:v>
      </x:c>
      <x:c r="G55" s="40" t="str">
        <x:v>Explain that time-sensitive procedures should be verified officially.</x:v>
      </x:c>
      <x:c r="H55" s="40" t="str">
        <x:v>Approve as written</x:v>
      </x:c>
      <x:c r="I55" s="40" t="str">
        <x:v>FR-O-004, FR-O-005</x:v>
      </x:c>
      <x:c r="J55" s="40" t="str">
        <x:v>Existing direct FR links</x:v>
      </x:c>
      <x:c r="K55" s="40" t="str">
        <x:v>Approved 2026-07-26</x:v>
      </x:c>
    </x:row>
    <x:row r="56">
      <x:c r="A56" s="40" t="str">
        <x:v>VS-15</x:v>
      </x:c>
      <x:c r="B56" s="40" t="n">
        <x:v>15</x:v>
      </x:c>
      <x:c r="C56" s="40" t="str">
        <x:v>Wave 3 — Pathways and Life Administration</x:v>
      </x:c>
      <x:c r="D56" s="40" t="str">
        <x:v>OPD-4-001</x:v>
      </x:c>
      <x:c r="E56" s="40" t="str">
        <x:v>P. Maps and Locations</x:v>
      </x:c>
      <x:c r="F56" s="40" t="str">
        <x:v>Saved Places timing</x:v>
      </x:c>
      <x:c r="G56" s="40" t="str">
        <x:v>Keep Saved Places in V1.1; V1 stores location on the owning record.</x:v>
      </x:c>
      <x:c r="H56" s="40" t="str">
        <x:v>Approve as written</x:v>
      </x:c>
      <x:c r="I56" s="40" t="str">
        <x:v>FR-P-006, FR-P-007, FR-P-014</x:v>
      </x:c>
      <x:c r="J56" s="40" t="str">
        <x:v>Existing direct FR links</x:v>
      </x:c>
      <x:c r="K56" s="40" t="str">
        <x:v>Approved 2026-07-26</x:v>
      </x:c>
    </x:row>
    <x:row r="57">
      <x:c r="A57" s="40" t="str">
        <x:v>VS-15</x:v>
      </x:c>
      <x:c r="B57" s="40" t="n">
        <x:v>15</x:v>
      </x:c>
      <x:c r="C57" s="40" t="str">
        <x:v>Wave 3 — Pathways and Life Administration</x:v>
      </x:c>
      <x:c r="D57" s="40" t="str">
        <x:v>OPD-4-002</x:v>
      </x:c>
      <x:c r="E57" s="40" t="str">
        <x:v>P. Maps and Locations</x:v>
      </x:c>
      <x:c r="F57" s="40" t="str">
        <x:v>Map provider</x:v>
      </x:c>
      <x:c r="G57" s="40" t="str">
        <x:v>Use Android application chooser.</x:v>
      </x:c>
      <x:c r="H57" s="40" t="str">
        <x:v>Approve as written</x:v>
      </x:c>
      <x:c r="I57" s="40" t="str">
        <x:v>FR-P-003</x:v>
      </x:c>
      <x:c r="J57" s="40" t="str">
        <x:v>Existing direct FR links</x:v>
      </x:c>
      <x:c r="K57" s="40" t="str">
        <x:v>Approved 2026-07-26</x:v>
      </x:c>
    </x:row>
    <x:row r="58">
      <x:c r="A58" s="40" t="str">
        <x:v>VS-15</x:v>
      </x:c>
      <x:c r="B58" s="40" t="n">
        <x:v>15</x:v>
      </x:c>
      <x:c r="C58" s="40" t="str">
        <x:v>Wave 3 — Pathways and Life Administration</x:v>
      </x:c>
      <x:c r="D58" s="40" t="str">
        <x:v>OPD-4-003</x:v>
      </x:c>
      <x:c r="E58" s="40" t="str">
        <x:v>P. Maps and Locations</x:v>
      </x:c>
      <x:c r="F58" s="40" t="str">
        <x:v>Coordinate storage</x:v>
      </x:c>
      <x:c r="G58" s="40" t="str">
        <x:v>Store only when explicitly selected or confirmed.</x:v>
      </x:c>
      <x:c r="H58" s="40" t="str">
        <x:v>Approve as written</x:v>
      </x:c>
      <x:c r="I58" s="40" t="str">
        <x:v>FR-P-007</x:v>
      </x:c>
      <x:c r="J58" s="40" t="str">
        <x:v>Backfill existing FR links</x:v>
      </x:c>
      <x:c r="K58" s="40" t="str">
        <x:v>Approved 2026-07-26</x:v>
      </x:c>
    </x:row>
    <x:row r="59">
      <x:c r="A59" s="40" t="str">
        <x:v>VS-15</x:v>
      </x:c>
      <x:c r="B59" s="40" t="n">
        <x:v>15</x:v>
      </x:c>
      <x:c r="C59" s="40" t="str">
        <x:v>Wave 3 — Pathways and Life Administration</x:v>
      </x:c>
      <x:c r="D59" s="40" t="str">
        <x:v>OPD-4-004</x:v>
      </x:c>
      <x:c r="E59" s="40" t="str">
        <x:v>P. Maps and Locations</x:v>
      </x:c>
      <x:c r="F59" s="40" t="str">
        <x:v>External handoff disclosure</x:v>
      </x:c>
      <x:c r="G59" s="40" t="str">
        <x:v>Show the destination before external handoff.</x:v>
      </x:c>
      <x:c r="H59" s="40" t="str">
        <x:v>Approve as written</x:v>
      </x:c>
      <x:c r="I59" s="40" t="str">
        <x:v>FR-P-003</x:v>
      </x:c>
      <x:c r="J59" s="40" t="str">
        <x:v>Backfill existing FR links</x:v>
      </x:c>
      <x:c r="K59" s="40" t="str">
        <x:v>Approved 2026-07-26</x:v>
      </x:c>
    </x:row>
    <x:row r="60">
      <x:c r="A60" s="40" t="str">
        <x:v>VS-16</x:v>
      </x:c>
      <x:c r="B60" s="40" t="n">
        <x:v>16</x:v>
      </x:c>
      <x:c r="C60" s="40" t="str">
        <x:v>Wave 4 — Device Services and Reliability</x:v>
      </x:c>
      <x:c r="D60" s="40" t="str">
        <x:v>OPD-4-005</x:v>
      </x:c>
      <x:c r="E60" s="40" t="str">
        <x:v>Q. Notifications and Reminders</x:v>
      </x:c>
      <x:c r="F60" s="40" t="str">
        <x:v>Quiet-hours default</x:v>
      </x:c>
      <x:c r="G60" s="40" t="str">
        <x:v>Off by default.</x:v>
      </x:c>
      <x:c r="H60" s="40" t="str">
        <x:v>Approve as written</x:v>
      </x:c>
      <x:c r="I60" s="40" t="str">
        <x:v>FR-Q-008, FR-Q-015</x:v>
      </x:c>
      <x:c r="J60" s="40" t="str">
        <x:v>Existing direct FR links</x:v>
      </x:c>
      <x:c r="K60" s="40" t="str">
        <x:v>Approved 2026-07-26</x:v>
      </x:c>
    </x:row>
    <x:row r="61">
      <x:c r="A61" s="40" t="str">
        <x:v>VS-16</x:v>
      </x:c>
      <x:c r="B61" s="40" t="n">
        <x:v>16</x:v>
      </x:c>
      <x:c r="C61" s="40" t="str">
        <x:v>Wave 4 — Device Services and Reliability</x:v>
      </x:c>
      <x:c r="D61" s="40" t="str">
        <x:v>OPD-4-006</x:v>
      </x:c>
      <x:c r="E61" s="40" t="str">
        <x:v>Q. Notifications and Reminders</x:v>
      </x:c>
      <x:c r="F61" s="40" t="str">
        <x:v>Notification preview default</x:v>
      </x:c>
      <x:c r="G61" s="40" t="str">
        <x:v>Use generic privacy-safe text until user opts into detail.</x:v>
      </x:c>
      <x:c r="H61" s="40" t="str">
        <x:v>Approve as written</x:v>
      </x:c>
      <x:c r="I61" s="40" t="str">
        <x:v>FR-Q-009</x:v>
      </x:c>
      <x:c r="J61" s="40" t="str">
        <x:v>Existing direct FR links</x:v>
      </x:c>
      <x:c r="K61" s="40" t="str">
        <x:v>Approved 2026-07-26</x:v>
      </x:c>
    </x:row>
    <x:row r="62">
      <x:c r="A62" s="40" t="str">
        <x:v>VS-16</x:v>
      </x:c>
      <x:c r="B62" s="40" t="n">
        <x:v>16</x:v>
      </x:c>
      <x:c r="C62" s="40" t="str">
        <x:v>Wave 4 — Device Services and Reliability</x:v>
      </x:c>
      <x:c r="D62" s="40" t="str">
        <x:v>OPD-4-007</x:v>
      </x:c>
      <x:c r="E62" s="40" t="str">
        <x:v>Q. Notifications and Reminders</x:v>
      </x:c>
      <x:c r="F62" s="40" t="str">
        <x:v>Past reminders after restart</x:v>
      </x:c>
      <x:c r="G62" s="40" t="str">
        <x:v>Do not replay expired reminders; use in-app attention states.</x:v>
      </x:c>
      <x:c r="H62" s="40" t="str">
        <x:v>Approve as written</x:v>
      </x:c>
      <x:c r="I62" s="40" t="str">
        <x:v>FR-Q-010, FR-Q-014</x:v>
      </x:c>
      <x:c r="J62" s="40" t="str">
        <x:v>Existing direct FR links</x:v>
      </x:c>
      <x:c r="K62" s="40" t="str">
        <x:v>Approved 2026-07-26</x:v>
      </x:c>
    </x:row>
    <x:row r="63">
      <x:c r="A63" s="40" t="str">
        <x:v>VS-16</x:v>
      </x:c>
      <x:c r="B63" s="40" t="n">
        <x:v>16</x:v>
      </x:c>
      <x:c r="C63" s="40" t="str">
        <x:v>Wave 4 — Device Services and Reliability</x:v>
      </x:c>
      <x:c r="D63" s="40" t="str">
        <x:v>OPD-4-008</x:v>
      </x:c>
      <x:c r="E63" s="40" t="str">
        <x:v>Q. Notifications and Reminders</x:v>
      </x:c>
      <x:c r="F63" s="40" t="str">
        <x:v>Notification actions</x:v>
      </x:c>
      <x:c r="G63" s="40" t="str">
        <x:v>V1 actions open or snooze only.</x:v>
      </x:c>
      <x:c r="H63" s="40" t="str">
        <x:v>Approve as written</x:v>
      </x:c>
      <x:c r="I63" s="40"/>
      <x:c r="J63" s="40" t="str">
        <x:v>Record as vertical-slice constraint</x:v>
      </x:c>
      <x:c r="K63" s="40" t="str">
        <x:v>Approved 2026-07-26</x:v>
      </x:c>
    </x:row>
    <x:row r="64">
      <x:c r="A64" s="40" t="str">
        <x:v>VS-17</x:v>
      </x:c>
      <x:c r="B64" s="40" t="n">
        <x:v>17</x:v>
      </x:c>
      <x:c r="C64" s="40" t="str">
        <x:v>Wave 4 — Device Services and Reliability</x:v>
      </x:c>
      <x:c r="D64" s="40" t="str">
        <x:v>OPD-4-009</x:v>
      </x:c>
      <x:c r="E64" s="40" t="str">
        <x:v>R. BetterCalendar Import</x:v>
      </x:c>
      <x:c r="F64" s="40" t="str">
        <x:v>Imported completion fields</x:v>
      </x:c>
      <x:c r="G64" s="40" t="str">
        <x:v>Preserve as source metadata requiring review; do not map directly to outcomes.</x:v>
      </x:c>
      <x:c r="H64" s="40" t="str">
        <x:v>Approve as written</x:v>
      </x:c>
      <x:c r="I64" s="40" t="str">
        <x:v>FR-R-002, FR-R-005, FR-R-007, FR-R-008, FR-R-009, FR-R-012, FR-R-016</x:v>
      </x:c>
      <x:c r="J64" s="40" t="str">
        <x:v>Existing direct FR links</x:v>
      </x:c>
      <x:c r="K64" s="40" t="str">
        <x:v>Approved 2026-07-26</x:v>
      </x:c>
    </x:row>
    <x:row r="65">
      <x:c r="A65" s="40" t="str">
        <x:v>VS-17</x:v>
      </x:c>
      <x:c r="B65" s="40" t="n">
        <x:v>17</x:v>
      </x:c>
      <x:c r="C65" s="40" t="str">
        <x:v>Wave 4 — Device Services and Reliability</x:v>
      </x:c>
      <x:c r="D65" s="40" t="str">
        <x:v>OPD-4-010</x:v>
      </x:c>
      <x:c r="E65" s="40" t="str">
        <x:v>R. BetterCalendar Import</x:v>
      </x:c>
      <x:c r="F65" s="40" t="str">
        <x:v>Unknown fields</x:v>
      </x:c>
      <x:c r="G65" s="40" t="str">
        <x:v>Retain a privacy-safe manifest, not full unknown payload duplication.</x:v>
      </x:c>
      <x:c r="H65" s="40" t="str">
        <x:v>Approve as written</x:v>
      </x:c>
      <x:c r="I65" s="40" t="str">
        <x:v>FR-R-012, FR-R-020</x:v>
      </x:c>
      <x:c r="J65" s="40" t="str">
        <x:v>Backfill existing FR links</x:v>
      </x:c>
      <x:c r="K65" s="40" t="str">
        <x:v>Approved 2026-07-26</x:v>
      </x:c>
    </x:row>
    <x:row r="66">
      <x:c r="A66" s="40" t="str">
        <x:v>VS-17</x:v>
      </x:c>
      <x:c r="B66" s="40" t="n">
        <x:v>17</x:v>
      </x:c>
      <x:c r="C66" s="40" t="str">
        <x:v>Wave 4 — Device Services and Reliability</x:v>
      </x:c>
      <x:c r="D66" s="40" t="str">
        <x:v>OPD-4-011</x:v>
      </x:c>
      <x:c r="E66" s="40" t="str">
        <x:v>R. BetterCalendar Import</x:v>
      </x:c>
      <x:c r="F66" s="40" t="str">
        <x:v>Existing-record conflicts</x:v>
      </x:c>
      <x:c r="G66" s="40" t="str">
        <x:v>Default to Skip Existing when stable source identity matches.</x:v>
      </x:c>
      <x:c r="H66" s="40" t="str">
        <x:v>Approve as written</x:v>
      </x:c>
      <x:c r="I66" s="40" t="str">
        <x:v>FR-R-009, FR-R-015</x:v>
      </x:c>
      <x:c r="J66" s="40" t="str">
        <x:v>Existing direct FR links</x:v>
      </x:c>
      <x:c r="K66" s="40" t="str">
        <x:v>Approved 2026-07-26</x:v>
      </x:c>
    </x:row>
    <x:row r="67">
      <x:c r="A67" s="40" t="str">
        <x:v>VS-17</x:v>
      </x:c>
      <x:c r="B67" s="40" t="n">
        <x:v>17</x:v>
      </x:c>
      <x:c r="C67" s="40" t="str">
        <x:v>Wave 4 — Device Services and Reliability</x:v>
      </x:c>
      <x:c r="D67" s="40" t="str">
        <x:v>OPD-4-012</x:v>
      </x:c>
      <x:c r="E67" s="40" t="str">
        <x:v>R. BetterCalendar Import</x:v>
      </x:c>
      <x:c r="F67" s="40" t="str">
        <x:v>BetterCalendar settings</x:v>
      </x:c>
      <x:c r="G67" s="40" t="str">
        <x:v>Import only explicitly supported non-sensitive preferences.</x:v>
      </x:c>
      <x:c r="H67" s="40" t="str">
        <x:v>Approve as written</x:v>
      </x:c>
      <x:c r="I67" s="40" t="str">
        <x:v>FR-R-003, FR-R-013, FR-R-017</x:v>
      </x:c>
      <x:c r="J67" s="40" t="str">
        <x:v>Existing direct FR links</x:v>
      </x:c>
      <x:c r="K67" s="40" t="str">
        <x:v>Approved 2026-07-26</x:v>
      </x:c>
    </x:row>
    <x:row r="68">
      <x:c r="A68" s="40" t="str">
        <x:v>VS-17</x:v>
      </x:c>
      <x:c r="B68" s="40" t="n">
        <x:v>17</x:v>
      </x:c>
      <x:c r="C68" s="40" t="str">
        <x:v>Wave 4 — Device Services and Reliability</x:v>
      </x:c>
      <x:c r="D68" s="40" t="str">
        <x:v>OPD-4-013</x:v>
      </x:c>
      <x:c r="E68" s="40" t="str">
        <x:v>R. BetterCalendar Import</x:v>
      </x:c>
      <x:c r="F68" s="40" t="str">
        <x:v>Rollback availability</x:v>
      </x:c>
      <x:c r="G68" s="40" t="str">
        <x:v>Allow rollback until imported records receive dependent edits.</x:v>
      </x:c>
      <x:c r="H68" s="40" t="str">
        <x:v>Approve as written</x:v>
      </x:c>
      <x:c r="I68" s="40" t="str">
        <x:v>FR-R-008, FR-R-010, FR-R-016, FR-R-020</x:v>
      </x:c>
      <x:c r="J68" s="40" t="str">
        <x:v>Existing direct FR links</x:v>
      </x:c>
      <x:c r="K68" s="40" t="str">
        <x:v>Approved 2026-07-26</x:v>
      </x:c>
    </x:row>
    <x:row r="69">
      <x:c r="A69" s="40" t="str">
        <x:v>VS-18</x:v>
      </x:c>
      <x:c r="B69" s="40" t="n">
        <x:v>18</x:v>
      </x:c>
      <x:c r="C69" s="40" t="str">
        <x:v>Wave 4 — Device Services and Reliability</x:v>
      </x:c>
      <x:c r="D69" s="40" t="str">
        <x:v>OPD-4-014</x:v>
      </x:c>
      <x:c r="E69" s="40" t="str">
        <x:v>S. Backup, Export, and Restore</x:v>
      </x:c>
      <x:c r="F69" s="40" t="str">
        <x:v>Native backup protection</x:v>
      </x:c>
      <x:c r="G69" s="40" t="str">
        <x:v>Portable .ntbackup files use user-passphrase encryption. Device-bound platform protection may protect temporary local recovery checkpoints, but it must not replace portable disaster-recovery protection.</x:v>
      </x:c>
      <x:c r="H69" s="40" t="str">
        <x:v>Approve with reconciled wording</x:v>
      </x:c>
      <x:c r="I69" s="40" t="str">
        <x:v>FR-S-003, FR-S-004, FR-S-005, FR-S-006, FR-S-007, FR-S-019</x:v>
      </x:c>
      <x:c r="J69" s="40" t="str">
        <x:v>Existing direct FR links</x:v>
      </x:c>
      <x:c r="K69" s="40" t="str">
        <x:v>Approved 2026-07-26</x:v>
      </x:c>
    </x:row>
    <x:row r="70">
      <x:c r="A70" s="40" t="str">
        <x:v>VS-18</x:v>
      </x:c>
      <x:c r="B70" s="40" t="n">
        <x:v>18</x:v>
      </x:c>
      <x:c r="C70" s="40" t="str">
        <x:v>Wave 4 — Device Services and Reliability</x:v>
      </x:c>
      <x:c r="D70" s="40" t="str">
        <x:v>OPD-4-015</x:v>
      </x:c>
      <x:c r="E70" s="40" t="str">
        <x:v>S. Backup, Export, and Restore</x:v>
      </x:c>
      <x:c r="F70" s="40" t="str">
        <x:v>Restore modes</x:v>
      </x:c>
      <x:c r="G70" s="40" t="str">
        <x:v>Support Merge and Replace Local Profile with stronger safeguards for Replace.</x:v>
      </x:c>
      <x:c r="H70" s="40" t="str">
        <x:v>Approve as written</x:v>
      </x:c>
      <x:c r="I70" s="40" t="str">
        <x:v>FR-S-002, FR-S-009, FR-S-010, FR-S-011, FR-S-012</x:v>
      </x:c>
      <x:c r="J70" s="40" t="str">
        <x:v>Existing direct FR links</x:v>
      </x:c>
      <x:c r="K70" s="40" t="str">
        <x:v>Approved 2026-07-26</x:v>
      </x:c>
    </x:row>
    <x:row r="71">
      <x:c r="A71" s="40" t="str">
        <x:v>VS-18</x:v>
      </x:c>
      <x:c r="B71" s="40" t="n">
        <x:v>18</x:v>
      </x:c>
      <x:c r="C71" s="40" t="str">
        <x:v>Wave 4 — Device Services and Reliability</x:v>
      </x:c>
      <x:c r="D71" s="40" t="str">
        <x:v>OPD-4-016</x:v>
      </x:c>
      <x:c r="E71" s="40" t="str">
        <x:v>S. Backup, Export, and Restore</x:v>
      </x:c>
      <x:c r="F71" s="40" t="str">
        <x:v>Human-readable export format</x:v>
      </x:c>
      <x:c r="G71" s="40" t="str">
        <x:v>Use structured JSON plus selected CSV summaries.</x:v>
      </x:c>
      <x:c r="H71" s="40" t="str">
        <x:v>Approve as written</x:v>
      </x:c>
      <x:c r="I71" s="40" t="str">
        <x:v>FR-S-007, FR-S-018</x:v>
      </x:c>
      <x:c r="J71" s="40" t="str">
        <x:v>Existing direct FR links</x:v>
      </x:c>
      <x:c r="K71" s="40" t="str">
        <x:v>Approved 2026-07-26</x:v>
      </x:c>
    </x:row>
    <x:row r="72">
      <x:c r="A72" s="40" t="str">
        <x:v>VS-18</x:v>
      </x:c>
      <x:c r="B72" s="40" t="n">
        <x:v>18</x:v>
      </x:c>
      <x:c r="C72" s="40" t="str">
        <x:v>Wave 4 — Device Services and Reliability</x:v>
      </x:c>
      <x:c r="D72" s="40" t="str">
        <x:v>OPD-4-017</x:v>
      </x:c>
      <x:c r="E72" s="40" t="str">
        <x:v>S. Backup, Export, and Restore</x:v>
      </x:c>
      <x:c r="F72" s="40" t="str">
        <x:v>Partial restore boundaries</x:v>
      </x:c>
      <x:c r="G72" s="40" t="str">
        <x:v>Allow only dependency-safe domain packages.</x:v>
      </x:c>
      <x:c r="H72" s="40" t="str">
        <x:v>Approve as written</x:v>
      </x:c>
      <x:c r="I72" s="40" t="str">
        <x:v>FR-S-012, FR-S-016</x:v>
      </x:c>
      <x:c r="J72" s="40" t="str">
        <x:v>Existing direct FR links</x:v>
      </x:c>
      <x:c r="K72" s="40" t="str">
        <x:v>Approved 2026-07-26</x:v>
      </x:c>
    </x:row>
    <x:row r="73">
      <x:c r="A73" s="40" t="str">
        <x:v>VS-18</x:v>
      </x:c>
      <x:c r="B73" s="40" t="n">
        <x:v>18</x:v>
      </x:c>
      <x:c r="C73" s="40" t="str">
        <x:v>Wave 4 — Device Services and Reliability</x:v>
      </x:c>
      <x:c r="D73" s="40" t="str">
        <x:v>OPD-4-018</x:v>
      </x:c>
      <x:c r="E73" s="40" t="str">
        <x:v>S. Backup, Export, and Restore</x:v>
      </x:c>
      <x:c r="F73" s="40" t="str">
        <x:v>Automatic backup timing</x:v>
      </x:c>
      <x:c r="G73" s="40" t="str">
        <x:v>Defer automatic backup to V1.1.</x:v>
      </x:c>
      <x:c r="H73" s="40" t="str">
        <x:v>Approve as written</x:v>
      </x:c>
      <x:c r="I73" s="40" t="str">
        <x:v>FR-S-020</x:v>
      </x:c>
      <x:c r="J73" s="40" t="str">
        <x:v>Existing direct FR links</x:v>
      </x:c>
      <x:c r="K73" s="40" t="str">
        <x:v>Approved 2026-07-26</x:v>
      </x:c>
    </x:row>
    <x:row r="74">
      <x:c r="A74" s="40" t="str">
        <x:v>VS-19</x:v>
      </x:c>
      <x:c r="B74" s="40" t="n">
        <x:v>19</x:v>
      </x:c>
      <x:c r="C74" s="40" t="str">
        <x:v>Wave 4 — Device Services and Reliability</x:v>
      </x:c>
      <x:c r="D74" s="40" t="str">
        <x:v>OPD-4-019</x:v>
      </x:c>
      <x:c r="E74" s="40" t="str">
        <x:v>T. Account and Synchronization</x:v>
      </x:c>
      <x:c r="F74" s="40" t="str">
        <x:v>First-sync conflict default</x:v>
      </x:c>
      <x:c r="G74" s="40" t="str">
        <x:v>Never auto-select cloud-wins.</x:v>
      </x:c>
      <x:c r="H74" s="40" t="str">
        <x:v>Approve as written</x:v>
      </x:c>
      <x:c r="I74" s="40" t="str">
        <x:v>FR-T-006, FR-T-007</x:v>
      </x:c>
      <x:c r="J74" s="40" t="str">
        <x:v>Existing direct FR links</x:v>
      </x:c>
      <x:c r="K74" s="40" t="str">
        <x:v>Approved 2026-07-26</x:v>
      </x:c>
    </x:row>
    <x:row r="75">
      <x:c r="A75" s="40" t="str">
        <x:v>VS-19</x:v>
      </x:c>
      <x:c r="B75" s="40" t="n">
        <x:v>19</x:v>
      </x:c>
      <x:c r="C75" s="40" t="str">
        <x:v>Wave 4 — Device Services and Reliability</x:v>
      </x:c>
      <x:c r="D75" s="40" t="str">
        <x:v>OPD-4-020</x:v>
      </x:c>
      <x:c r="E75" s="40" t="str">
        <x:v>T. Account and Synchronization</x:v>
      </x:c>
      <x:c r="F75" s="40" t="str">
        <x:v>Sign-out default</x:v>
      </x:c>
      <x:c r="G75" s="40" t="str">
        <x:v>Retain Local Profile and transition to local-only operation.</x:v>
      </x:c>
      <x:c r="H75" s="40" t="str">
        <x:v>Approve as written</x:v>
      </x:c>
      <x:c r="I75" s="40" t="str">
        <x:v>FR-T-002, FR-T-003, FR-T-006, FR-T-011, FR-T-020</x:v>
      </x:c>
      <x:c r="J75" s="40" t="str">
        <x:v>Existing direct FR links</x:v>
      </x:c>
      <x:c r="K75" s="40" t="str">
        <x:v>Approved 2026-07-26</x:v>
      </x:c>
    </x:row>
    <x:row r="76">
      <x:c r="A76" s="40" t="str">
        <x:v>VS-19</x:v>
      </x:c>
      <x:c r="B76" s="40" t="n">
        <x:v>19</x:v>
      </x:c>
      <x:c r="C76" s="40" t="str">
        <x:v>Wave 4 — Device Services and Reliability</x:v>
      </x:c>
      <x:c r="D76" s="40" t="str">
        <x:v>OPD-4-021</x:v>
      </x:c>
      <x:c r="E76" s="40" t="str">
        <x:v>T. Account and Synchronization</x:v>
      </x:c>
      <x:c r="F76" s="40" t="str">
        <x:v>Cloud-account deletion</x:v>
      </x:c>
      <x:c r="G76" s="40" t="str">
        <x:v>Delete cloud data only; local deletion remains separate.</x:v>
      </x:c>
      <x:c r="H76" s="40" t="str">
        <x:v>Approve as written</x:v>
      </x:c>
      <x:c r="I76" s="40" t="str">
        <x:v>FR-T-002, FR-T-003, FR-T-006, FR-T-012, FR-T-013, FR-T-014</x:v>
      </x:c>
      <x:c r="J76" s="40" t="str">
        <x:v>Existing direct FR links</x:v>
      </x:c>
      <x:c r="K76" s="40" t="str">
        <x:v>Approved 2026-07-26</x:v>
      </x:c>
    </x:row>
    <x:row r="77">
      <x:c r="A77" s="40" t="str">
        <x:v>VS-19</x:v>
      </x:c>
      <x:c r="B77" s="40" t="n">
        <x:v>19</x:v>
      </x:c>
      <x:c r="C77" s="40" t="str">
        <x:v>Wave 4 — Device Services and Reliability</x:v>
      </x:c>
      <x:c r="D77" s="40" t="str">
        <x:v>OPD-4-022</x:v>
      </x:c>
      <x:c r="E77" s="40" t="str">
        <x:v>T. Account and Synchronization</x:v>
      </x:c>
      <x:c r="F77" s="40" t="str">
        <x:v>Replacement-device recovery</x:v>
      </x:c>
      <x:c r="G77" s="40" t="str">
        <x:v>Require preview when local data already exists.</x:v>
      </x:c>
      <x:c r="H77" s="40" t="str">
        <x:v>Approve as written</x:v>
      </x:c>
      <x:c r="I77" s="40" t="str">
        <x:v>FR-T-003, FR-T-013, FR-T-014</x:v>
      </x:c>
      <x:c r="J77" s="40" t="str">
        <x:v>Existing direct FR links</x:v>
      </x:c>
      <x:c r="K77" s="40" t="str">
        <x:v>Approved 2026-07-26</x:v>
      </x:c>
    </x:row>
    <x:row r="78">
      <x:c r="A78" s="40" t="str">
        <x:v>VS-19</x:v>
      </x:c>
      <x:c r="B78" s="40" t="n">
        <x:v>19</x:v>
      </x:c>
      <x:c r="C78" s="40" t="str">
        <x:v>Wave 4 — Device Services and Reliability</x:v>
      </x:c>
      <x:c r="D78" s="40" t="str">
        <x:v>OPD-4-023</x:v>
      </x:c>
      <x:c r="E78" s="40" t="str">
        <x:v>T. Account and Synchronization</x:v>
      </x:c>
      <x:c r="F78" s="40" t="str">
        <x:v>Conflict granularity</x:v>
      </x:c>
      <x:c r="G78" s="40" t="str">
        <x:v>Auto-reconcile only provably nonconflicting records.</x:v>
      </x:c>
      <x:c r="H78" s="40" t="str">
        <x:v>Approve as written</x:v>
      </x:c>
      <x:c r="I78" s="40" t="str">
        <x:v>FR-T-017</x:v>
      </x:c>
      <x:c r="J78" s="40" t="str">
        <x:v>Backfill existing FR links</x:v>
      </x:c>
      <x:c r="K78" s="40" t="str">
        <x:v>Approved 2026-07-26</x:v>
      </x:c>
    </x:row>
    <x:row r="79">
      <x:c r="A79" s="40" t="str">
        <x:v>VS-19</x:v>
      </x:c>
      <x:c r="B79" s="40" t="n">
        <x:v>19</x:v>
      </x:c>
      <x:c r="C79" s="40" t="str">
        <x:v>Wave 4 — Device Services and Reliability</x:v>
      </x:c>
      <x:c r="D79" s="40" t="str">
        <x:v>OPD-4-024</x:v>
      </x:c>
      <x:c r="E79" s="40" t="str">
        <x:v>T. Account and Synchronization</x:v>
      </x:c>
      <x:c r="F79" s="40" t="str">
        <x:v>Sensitive-category sync</x:v>
      </x:c>
      <x:c r="G79" s="40" t="str">
        <x:v>Private reflections are Extra Private and local-only by default. They may enter cloud synchronization only after a future explicit per-category opt-in exists; until then they remain local-only.</x:v>
      </x:c>
      <x:c r="H79" s="40" t="str">
        <x:v>Approve with reconciled wording</x:v>
      </x:c>
      <x:c r="I79" s="40" t="str">
        <x:v>FR-T-012, FR-T-014</x:v>
      </x:c>
      <x:c r="J79" s="40" t="str">
        <x:v>Existing direct FR links</x:v>
      </x:c>
      <x:c r="K79" s="40" t="str">
        <x:v>Approved 2026-07-26</x:v>
      </x:c>
    </x:row>
    <x:row r="80">
      <x:c r="A80" s="40" t="str">
        <x:v>VS-16</x:v>
      </x:c>
      <x:c r="B80" s="40" t="n">
        <x:v>16</x:v>
      </x:c>
      <x:c r="C80" s="40" t="str">
        <x:v>Wave 4 — Device Services and Reliability</x:v>
      </x:c>
      <x:c r="D80" s="40" t="str">
        <x:v>OPD-5-001</x:v>
      </x:c>
      <x:c r="E80" s="40" t="str">
        <x:v>U. Notifications and Background Work</x:v>
      </x:c>
      <x:c r="F80" s="40" t="str">
        <x:v>Exact alarm use</x:v>
      </x:c>
      <x:c r="G80" s="40" t="str">
        <x:v>Use exact alarms only for user-selected, clock-time-critical reminders when Android policy permits and the required special access is granted. Otherwise use inexact scheduling with factual delay messaging. Never use exact alarms for synchronization, content checks, backups, or generic maintenance.</x:v>
      </x:c>
      <x:c r="H80" s="40" t="str">
        <x:v>Approve with reconciled wording</x:v>
      </x:c>
      <x:c r="I80" s="40" t="str">
        <x:v>FR-U-018</x:v>
      </x:c>
      <x:c r="J80" s="40" t="str">
        <x:v>Existing direct FR links</x:v>
      </x:c>
      <x:c r="K80" s="40" t="str">
        <x:v>Approved 2026-07-26</x:v>
      </x:c>
    </x:row>
    <x:row r="81">
      <x:c r="A81" s="40" t="str">
        <x:v>VS-16</x:v>
      </x:c>
      <x:c r="B81" s="40" t="n">
        <x:v>16</x:v>
      </x:c>
      <x:c r="C81" s="40" t="str">
        <x:v>Wave 4 — Device Services and Reliability</x:v>
      </x:c>
      <x:c r="D81" s="40" t="str">
        <x:v>OPD-5-002</x:v>
      </x:c>
      <x:c r="E81" s="40" t="str">
        <x:v>U. Notifications and Background Work</x:v>
      </x:c>
      <x:c r="F81" s="40" t="str">
        <x:v>Foreground service boundary</x:v>
      </x:c>
      <x:c r="G81" s="40" t="str">
        <x:v>Use only for user-initiated long-running work that Android cannot safely complete otherwise.</x:v>
      </x:c>
      <x:c r="H81" s="40" t="str">
        <x:v>Approve as written</x:v>
      </x:c>
      <x:c r="I81" s="40" t="str">
        <x:v>FR-U-011, FR-U-018</x:v>
      </x:c>
      <x:c r="J81" s="40" t="str">
        <x:v>Existing direct FR links</x:v>
      </x:c>
      <x:c r="K81" s="40" t="str">
        <x:v>Approved 2026-07-26</x:v>
      </x:c>
    </x:row>
    <x:row r="82">
      <x:c r="A82" s="40" t="str">
        <x:v>VS-16</x:v>
      </x:c>
      <x:c r="B82" s="40" t="n">
        <x:v>16</x:v>
      </x:c>
      <x:c r="C82" s="40" t="str">
        <x:v>Wave 4 — Device Services and Reliability</x:v>
      </x:c>
      <x:c r="D82" s="40" t="str">
        <x:v>OPD-5-003</x:v>
      </x:c>
      <x:c r="E82" s="40" t="str">
        <x:v>U. Notifications and Background Work</x:v>
      </x:c>
      <x:c r="F82" s="40" t="str">
        <x:v>Background diagnostic detail</x:v>
      </x:c>
      <x:c r="G82" s="40" t="str">
        <x:v>Show category, state, and timestamps without exposing private payloads.</x:v>
      </x:c>
      <x:c r="H82" s="40" t="str">
        <x:v>Approve as written</x:v>
      </x:c>
      <x:c r="I82" s="40" t="str">
        <x:v>FR-U-002, FR-U-009, FR-U-012, FR-U-013, FR-U-019</x:v>
      </x:c>
      <x:c r="J82" s="40" t="str">
        <x:v>Existing direct FR links</x:v>
      </x:c>
      <x:c r="K82" s="40" t="str">
        <x:v>Approved 2026-07-26</x:v>
      </x:c>
    </x:row>
    <x:row r="83">
      <x:c r="A83" s="40" t="str">
        <x:v>VS-16</x:v>
      </x:c>
      <x:c r="B83" s="40" t="n">
        <x:v>16</x:v>
      </x:c>
      <x:c r="C83" s="40" t="str">
        <x:v>Wave 4 — Device Services and Reliability</x:v>
      </x:c>
      <x:c r="D83" s="40" t="str">
        <x:v>OPD-5-004</x:v>
      </x:c>
      <x:c r="E83" s="40" t="str">
        <x:v>U. Notifications and Background Work</x:v>
      </x:c>
      <x:c r="F83" s="40" t="str">
        <x:v>Content-check cadence</x:v>
      </x:c>
      <x:c r="G83" s="40" t="str">
        <x:v>Attempt an automatic official-content check once every 24 hours when eligible, with operating-system flex and delay allowed. Manual refresh remains available at any time, and failure preserves bundled or last-known-valid content.</x:v>
      </x:c>
      <x:c r="H83" s="40" t="str">
        <x:v>Approve with reconciled wording</x:v>
      </x:c>
      <x:c r="I83" s="40" t="str">
        <x:v>FR-U-008</x:v>
      </x:c>
      <x:c r="J83" s="40" t="str">
        <x:v>Existing direct FR links</x:v>
      </x:c>
      <x:c r="K83" s="40" t="str">
        <x:v>Approved 2026-07-26</x:v>
      </x:c>
    </x:row>
    <x:row r="84">
      <x:c r="A84" s="40" t="str">
        <x:v>VS-20</x:v>
      </x:c>
      <x:c r="B84" s="40" t="n">
        <x:v>20</x:v>
      </x:c>
      <x:c r="C84" s="40" t="str">
        <x:v>Wave 4 — Device Services and Reliability</x:v>
      </x:c>
      <x:c r="D84" s="40" t="str">
        <x:v>OPD-5-005</x:v>
      </x:c>
      <x:c r="E84" s="40" t="str">
        <x:v>V. Device-Calendar Manual Import and Export</x:v>
      </x:c>
      <x:c r="F84" s="40" t="str">
        <x:v>Device-calendar import scope</x:v>
      </x:c>
      <x:c r="G84" s="40" t="str">
        <x:v>Default to explicit calendar and date-range selection.</x:v>
      </x:c>
      <x:c r="H84" s="40" t="str">
        <x:v>Approve as written</x:v>
      </x:c>
      <x:c r="I84" s="40" t="str">
        <x:v>FR-V-001, FR-V-002, FR-V-004, FR-V-020</x:v>
      </x:c>
      <x:c r="J84" s="40" t="str">
        <x:v>Existing direct FR links</x:v>
      </x:c>
      <x:c r="K84" s="40" t="str">
        <x:v>Approved 2026-07-26</x:v>
      </x:c>
    </x:row>
    <x:row r="85">
      <x:c r="A85" s="40" t="str">
        <x:v>VS-20</x:v>
      </x:c>
      <x:c r="B85" s="40" t="n">
        <x:v>20</x:v>
      </x:c>
      <x:c r="C85" s="40" t="str">
        <x:v>Wave 4 — Device Services and Reliability</x:v>
      </x:c>
      <x:c r="D85" s="40" t="str">
        <x:v>OPD-5-006</x:v>
      </x:c>
      <x:c r="E85" s="40" t="str">
        <x:v>V. Device-Calendar Manual Import and Export</x:v>
      </x:c>
      <x:c r="F85" s="40" t="str">
        <x:v>Export update behavior</x:v>
      </x:c>
      <x:c r="G85" s="40" t="str">
        <x:v>When a stable mapping exists, offer Update Existing or Create New; never update silently.</x:v>
      </x:c>
      <x:c r="H85" s="40" t="str">
        <x:v>Approve as written</x:v>
      </x:c>
      <x:c r="I85" s="40" t="str">
        <x:v>FR-V-010, FR-V-017, FR-V-018</x:v>
      </x:c>
      <x:c r="J85" s="40" t="str">
        <x:v>Existing direct FR links</x:v>
      </x:c>
      <x:c r="K85" s="40" t="str">
        <x:v>Approved 2026-07-26</x:v>
      </x:c>
    </x:row>
    <x:row r="86">
      <x:c r="A86" s="40" t="str">
        <x:v>VS-20</x:v>
      </x:c>
      <x:c r="B86" s="40" t="n">
        <x:v>20</x:v>
      </x:c>
      <x:c r="C86" s="40" t="str">
        <x:v>Wave 4 — Device Services and Reliability</x:v>
      </x:c>
      <x:c r="D86" s="40" t="str">
        <x:v>OPD-5-007</x:v>
      </x:c>
      <x:c r="E86" s="40" t="str">
        <x:v>V. Device-Calendar Manual Import and Export</x:v>
      </x:c>
      <x:c r="F86" s="40" t="str">
        <x:v>Exported description default</x:v>
      </x:c>
      <x:c r="G86" s="40" t="str">
        <x:v>Default export fields are title, start/end, all-day status, a non-precise location, and an optional fixed non-sensitive source note. Exclude descriptions, user notes, reflections, document references, contribution metadata, and precise coordinates. Show the field preview before commit.</x:v>
      </x:c>
      <x:c r="H86" s="40" t="str">
        <x:v>Approve with reconciled wording</x:v>
      </x:c>
      <x:c r="I86" s="40" t="str">
        <x:v>FR-V-015</x:v>
      </x:c>
      <x:c r="J86" s="40" t="str">
        <x:v>Existing direct FR links</x:v>
      </x:c>
      <x:c r="K86" s="40" t="str">
        <x:v>Approved 2026-07-26</x:v>
      </x:c>
    </x:row>
    <x:row r="87">
      <x:c r="A87" s="40" t="str">
        <x:v>VS-20</x:v>
      </x:c>
      <x:c r="B87" s="40" t="n">
        <x:v>20</x:v>
      </x:c>
      <x:c r="C87" s="40" t="str">
        <x:v>Wave 4 — Device Services and Reliability</x:v>
      </x:c>
      <x:c r="D87" s="40" t="str">
        <x:v>OPD-5-008</x:v>
      </x:c>
      <x:c r="E87" s="40" t="str">
        <x:v>V. Device-Calendar Manual Import and Export</x:v>
      </x:c>
      <x:c r="F87" s="40" t="str">
        <x:v>Unsupported recurrence handling</x:v>
      </x:c>
      <x:c r="G87" s="40" t="str">
        <x:v>Import supported occurrences or skip with preview; never flatten silently.</x:v>
      </x:c>
      <x:c r="H87" s="40" t="str">
        <x:v>Approve as written</x:v>
      </x:c>
      <x:c r="I87" s="40" t="str">
        <x:v>FR-V-019</x:v>
      </x:c>
      <x:c r="J87" s="40" t="str">
        <x:v>Existing direct FR links</x:v>
      </x:c>
      <x:c r="K87" s="40" t="str">
        <x:v>Approved 2026-07-26</x:v>
      </x:c>
    </x:row>
    <x:row r="88">
      <x:c r="A88" s="40" t="str">
        <x:v>VS-20</x:v>
      </x:c>
      <x:c r="B88" s="40" t="n">
        <x:v>20</x:v>
      </x:c>
      <x:c r="C88" s="40" t="str">
        <x:v>Wave 4 — Device Services and Reliability</x:v>
      </x:c>
      <x:c r="D88" s="40" t="str">
        <x:v>OPD-5-009</x:v>
      </x:c>
      <x:c r="E88" s="40" t="str">
        <x:v>V. Device-Calendar Manual Import and Export</x:v>
      </x:c>
      <x:c r="F88" s="40" t="str">
        <x:v>Duplicate exact fingerprint window</x:v>
      </x:c>
      <x:c r="G88" s="40" t="str">
        <x:v>Use provider calendar, normalized title, start, end, all-day flag, and recurrence identity.</x:v>
      </x:c>
      <x:c r="H88" s="40" t="str">
        <x:v>Approve as written</x:v>
      </x:c>
      <x:c r="I88" s="40" t="str">
        <x:v>FR-V-011, FR-V-019</x:v>
      </x:c>
      <x:c r="J88" s="40" t="str">
        <x:v>Existing direct FR links</x:v>
      </x:c>
      <x:c r="K88" s="40" t="str">
        <x:v>Approved 2026-07-26</x:v>
      </x:c>
    </x:row>
    <x:row r="89">
      <x:c r="A89" s="40" t="str">
        <x:v>VS-02</x:v>
      </x:c>
      <x:c r="B89" s="40" t="n">
        <x:v>2</x:v>
      </x:c>
      <x:c r="C89" s="40" t="str">
        <x:v>Wave 1 — Foundation</x:v>
      </x:c>
      <x:c r="D89" s="40" t="str">
        <x:v>OPD-5-010</x:v>
      </x:c>
      <x:c r="E89" s="40" t="str">
        <x:v>W. Privacy Lock, Permissions, and Privacy Center</x:v>
      </x:c>
      <x:c r="F89" s="40" t="str">
        <x:v>Privacy Lock fallback</x:v>
      </x:c>
      <x:c r="G89" s="40" t="str">
        <x:v>Use OS biometric authentication when available, with OS device credential as the V1 fallback. Do not implement or store a separate app PIN in V1.</x:v>
      </x:c>
      <x:c r="H89" s="40" t="str">
        <x:v>Approve with reconciled wording</x:v>
      </x:c>
      <x:c r="I89" s="40" t="str">
        <x:v>FR-W-003, FR-W-011, FR-W-020</x:v>
      </x:c>
      <x:c r="J89" s="40" t="str">
        <x:v>Existing direct FR links</x:v>
      </x:c>
      <x:c r="K89" s="40" t="str">
        <x:v>Approved 2026-07-26</x:v>
      </x:c>
    </x:row>
    <x:row r="90">
      <x:c r="A90" s="40" t="str">
        <x:v>VS-02</x:v>
      </x:c>
      <x:c r="B90" s="40" t="n">
        <x:v>2</x:v>
      </x:c>
      <x:c r="C90" s="40" t="str">
        <x:v>Wave 1 — Foundation</x:v>
      </x:c>
      <x:c r="D90" s="40" t="str">
        <x:v>OPD-5-011</x:v>
      </x:c>
      <x:c r="E90" s="40" t="str">
        <x:v>W. Privacy Lock, Permissions, and Privacy Center</x:v>
      </x:c>
      <x:c r="F90" s="40" t="str">
        <x:v>Private reflection default</x:v>
      </x:c>
      <x:c r="G90" s="40" t="str">
        <x:v>Private reflections are Extra Private and local-only by default. They may enter cloud synchronization only after a future explicit per-category opt-in exists; until then they remain local-only.</x:v>
      </x:c>
      <x:c r="H90" s="40" t="str">
        <x:v>Approve with reconciled wording</x:v>
      </x:c>
      <x:c r="I90" s="40" t="str">
        <x:v>FR-W-013</x:v>
      </x:c>
      <x:c r="J90" s="40" t="str">
        <x:v>Existing direct FR links</x:v>
      </x:c>
      <x:c r="K90" s="40" t="str">
        <x:v>Approved 2026-07-26</x:v>
      </x:c>
    </x:row>
    <x:row r="91">
      <x:c r="A91" s="40" t="str">
        <x:v>VS-02</x:v>
      </x:c>
      <x:c r="B91" s="40" t="n">
        <x:v>2</x:v>
      </x:c>
      <x:c r="C91" s="40" t="str">
        <x:v>Wave 1 — Foundation</x:v>
      </x:c>
      <x:c r="D91" s="40" t="str">
        <x:v>OPD-5-012</x:v>
      </x:c>
      <x:c r="E91" s="40" t="str">
        <x:v>W. Privacy Lock, Permissions, and Privacy Center</x:v>
      </x:c>
      <x:c r="F91" s="40" t="str">
        <x:v>App-switcher protection</x:v>
      </x:c>
      <x:c r="G91" s="40" t="str">
        <x:v>Enable the strongest supported obscuring without claiming universal OS coverage.</x:v>
      </x:c>
      <x:c r="H91" s="40" t="str">
        <x:v>Approve as written</x:v>
      </x:c>
      <x:c r="I91" s="40" t="str">
        <x:v>FR-W-006</x:v>
      </x:c>
      <x:c r="J91" s="40" t="str">
        <x:v>Existing direct FR links</x:v>
      </x:c>
      <x:c r="K91" s="40" t="str">
        <x:v>Approved 2026-07-26</x:v>
      </x:c>
    </x:row>
    <x:row r="92">
      <x:c r="A92" s="40" t="str">
        <x:v>VS-02</x:v>
      </x:c>
      <x:c r="B92" s="40" t="n">
        <x:v>2</x:v>
      </x:c>
      <x:c r="C92" s="40" t="str">
        <x:v>Wave 1 — Foundation</x:v>
      </x:c>
      <x:c r="D92" s="40" t="str">
        <x:v>OPD-5-013</x:v>
      </x:c>
      <x:c r="E92" s="40" t="str">
        <x:v>W. Privacy Lock, Permissions, and Privacy Center</x:v>
      </x:c>
      <x:c r="F92" s="40" t="str">
        <x:v>Analytics policy</x:v>
      </x:c>
      <x:c r="G92" s="40" t="str">
        <x:v>No private payload analytics; only aggregate operational events when approved.</x:v>
      </x:c>
      <x:c r="H92" s="40" t="str">
        <x:v>Approve as written</x:v>
      </x:c>
      <x:c r="I92" s="40" t="str">
        <x:v>FR-W-012, FR-W-013</x:v>
      </x:c>
      <x:c r="J92" s="40" t="str">
        <x:v>Existing direct FR links</x:v>
      </x:c>
      <x:c r="K92" s="40" t="str">
        <x:v>Approved 2026-07-26</x:v>
      </x:c>
    </x:row>
    <x:row r="93">
      <x:c r="A93" s="40" t="str">
        <x:v>VS-02</x:v>
      </x:c>
      <x:c r="B93" s="40" t="n">
        <x:v>2</x:v>
      </x:c>
      <x:c r="C93" s="40" t="str">
        <x:v>Wave 1 — Foundation</x:v>
      </x:c>
      <x:c r="D93" s="40" t="str">
        <x:v>OPD-5-014</x:v>
      </x:c>
      <x:c r="E93" s="40" t="str">
        <x:v>W. Privacy Lock, Permissions, and Privacy Center</x:v>
      </x:c>
      <x:c r="F93" s="40" t="str">
        <x:v>Local encryption claim</x:v>
      </x:c>
      <x:c r="G93" s="40" t="str">
        <x:v>State only protections actually implemented and verified.</x:v>
      </x:c>
      <x:c r="H93" s="40" t="str">
        <x:v>Approve as written</x:v>
      </x:c>
      <x:c r="I93" s="40" t="str">
        <x:v>FR-W-015</x:v>
      </x:c>
      <x:c r="J93" s="40" t="str">
        <x:v>Existing direct FR links</x:v>
      </x:c>
      <x:c r="K93" s="40" t="str">
        <x:v>Approved 2026-07-26</x:v>
      </x:c>
    </x:row>
    <x:row r="94">
      <x:c r="A94" s="40" t="str">
        <x:v>VS-19</x:v>
      </x:c>
      <x:c r="B94" s="40" t="n">
        <x:v>19</x:v>
      </x:c>
      <x:c r="C94" s="40" t="str">
        <x:v>Wave 4 — Device Services and Reliability</x:v>
      </x:c>
      <x:c r="D94" s="40" t="str">
        <x:v>OPD-5-015</x:v>
      </x:c>
      <x:c r="E94" s="40" t="str">
        <x:v>X. Settings, Account and Sync Center, and More Screen</x:v>
      </x:c>
      <x:c r="F94" s="40" t="str">
        <x:v>Device-specific preferences</x:v>
      </x:c>
      <x:c r="G94" s="40" t="str">
        <x:v>Keep notification channels, permissions, privacy-lock timeout, and local appearance overrides device-specific.</x:v>
      </x:c>
      <x:c r="H94" s="40" t="str">
        <x:v>Approve as written</x:v>
      </x:c>
      <x:c r="I94" s="40" t="str">
        <x:v>FR-X-006, FR-X-011, FR-X-018</x:v>
      </x:c>
      <x:c r="J94" s="40" t="str">
        <x:v>Existing direct FR links</x:v>
      </x:c>
      <x:c r="K94" s="40" t="str">
        <x:v>Approved 2026-07-26</x:v>
      </x:c>
    </x:row>
    <x:row r="95">
      <x:c r="A95" s="40" t="str">
        <x:v>VS-19</x:v>
      </x:c>
      <x:c r="B95" s="40" t="n">
        <x:v>19</x:v>
      </x:c>
      <x:c r="C95" s="40" t="str">
        <x:v>Wave 4 — Device Services and Reliability</x:v>
      </x:c>
      <x:c r="D95" s="40" t="str">
        <x:v>OPD-5-016</x:v>
      </x:c>
      <x:c r="E95" s="40" t="str">
        <x:v>X. Settings, Account and Sync Center, and More Screen</x:v>
      </x:c>
      <x:c r="F95" s="40" t="str">
        <x:v>Globally synchronized preferences</x:v>
      </x:c>
      <x:c r="G95" s="40" t="str">
        <x:v>Use a default-deny allowlist for synchronized preferences. V1 synchronizes no preference merely because an account exists; only preferences explicitly named by an approved vertical-slice specification may sync. Device-specific settings from OPD-5-015 never sync.</x:v>
      </x:c>
      <x:c r="H95" s="40" t="str">
        <x:v>Approve with reconciled wording</x:v>
      </x:c>
      <x:c r="I95" s="40" t="str">
        <x:v>FR-X-018</x:v>
      </x:c>
      <x:c r="J95" s="40" t="str">
        <x:v>Existing direct FR links</x:v>
      </x:c>
      <x:c r="K95" s="40" t="str">
        <x:v>Approved 2026-07-26</x:v>
      </x:c>
    </x:row>
    <x:row r="96">
      <x:c r="A96" s="40" t="str">
        <x:v>VS-19</x:v>
      </x:c>
      <x:c r="B96" s="40" t="n">
        <x:v>19</x:v>
      </x:c>
      <x:c r="C96" s="40" t="str">
        <x:v>Wave 4 — Device Services and Reliability</x:v>
      </x:c>
      <x:c r="D96" s="40" t="str">
        <x:v>OPD-5-017</x:v>
      </x:c>
      <x:c r="E96" s="40" t="str">
        <x:v>X. Settings, Account and Sync Center, and More Screen</x:v>
      </x:c>
      <x:c r="F96" s="40" t="str">
        <x:v>Connected-device management</x:v>
      </x:c>
      <x:c r="G96" s="40" t="str">
        <x:v>Allow review and session revocation in V1.1 unless required for launch security.</x:v>
      </x:c>
      <x:c r="H96" s="40" t="str">
        <x:v>Approve as written</x:v>
      </x:c>
      <x:c r="I96" s="40" t="str">
        <x:v>FR-X-012, FR-X-014</x:v>
      </x:c>
      <x:c r="J96" s="40" t="str">
        <x:v>Existing direct FR links</x:v>
      </x:c>
      <x:c r="K96" s="40" t="str">
        <x:v>Approved 2026-07-26</x:v>
      </x:c>
    </x:row>
    <x:row r="97">
      <x:c r="A97" s="40" t="str">
        <x:v>VS-19</x:v>
      </x:c>
      <x:c r="B97" s="40" t="n">
        <x:v>19</x:v>
      </x:c>
      <x:c r="C97" s="40" t="str">
        <x:v>Wave 4 — Device Services and Reliability</x:v>
      </x:c>
      <x:c r="D97" s="40" t="str">
        <x:v>OPD-5-018</x:v>
      </x:c>
      <x:c r="E97" s="40" t="str">
        <x:v>X. Settings, Account and Sync Center, and More Screen</x:v>
      </x:c>
      <x:c r="F97" s="40" t="str">
        <x:v>Remove synchronized data action</x:v>
      </x:c>
      <x:c r="G97" s="40" t="str">
        <x:v>Require backup guidance and separate handling of local-only records.</x:v>
      </x:c>
      <x:c r="H97" s="40" t="str">
        <x:v>Approve as written</x:v>
      </x:c>
      <x:c r="I97" s="40" t="str">
        <x:v>FR-X-008, FR-X-010, FR-X-011, FR-X-019</x:v>
      </x:c>
      <x:c r="J97" s="40" t="str">
        <x:v>Existing direct FR links</x:v>
      </x:c>
      <x:c r="K97" s="40" t="str">
        <x:v>Approved 2026-07-26</x:v>
      </x:c>
    </x:row>
    <x:row r="98">
      <x:c r="A98" s="40" t="str">
        <x:v>VS-19</x:v>
      </x:c>
      <x:c r="B98" s="40" t="n">
        <x:v>19</x:v>
      </x:c>
      <x:c r="C98" s="40" t="str">
        <x:v>Wave 4 — Device Services and Reliability</x:v>
      </x:c>
      <x:c r="D98" s="40" t="str">
        <x:v>OPD-5-019</x:v>
      </x:c>
      <x:c r="E98" s="40" t="str">
        <x:v>X. Settings, Account and Sync Center, and More Screen</x:v>
      </x:c>
      <x:c r="F98" s="40" t="str">
        <x:v>More information architecture</x:v>
      </x:c>
      <x:c r="G98" s="40" t="str">
        <x:v>Use one canonical destination per settings area with contextual deep links rather than duplicates.</x:v>
      </x:c>
      <x:c r="H98" s="40" t="str">
        <x:v>Approve as written</x:v>
      </x:c>
      <x:c r="I98" s="40" t="str">
        <x:v>FR-X-016, FR-X-024</x:v>
      </x:c>
      <x:c r="J98" s="40" t="str">
        <x:v>Backfill existing FR links</x:v>
      </x:c>
      <x:c r="K98" s="40" t="str">
        <x:v>Approved 2026-07-26</x:v>
      </x:c>
    </x:row>
  </x:sheetData>
  <x:mergeCells>
    <x:mergeCell ref="A1:K1"/>
  </x:mergeCells>
  <x:pageMargins left="0.7" right="0.7" top="0.75" bottom="0.75" header="0.3" footer="0.3"/>
  <x:tableParts count="1">
    <x:tablePart xmlns:r="http://schemas.openxmlformats.org/officeDocument/2006/relationships" r:id="R7f71d38105d64040"/>
  </x:tableParts>
</x:worksheet>
</file>

<file path=xl/worksheets/sheet26.xml><?xml version="1.0" encoding="utf-8"?>
<x:worksheet xmlns:x="http://schemas.openxmlformats.org/spreadsheetml/2006/main">
  <x:sheetFormatPr defaultRowHeight="15"/>
  <x:cols>
    <x:col min="1" max="1" width="10" hidden="0" customWidth="1"/>
    <x:col min="2" max="2" width="25" hidden="0" customWidth="1"/>
    <x:col min="3" max="3" width="18" hidden="0" customWidth="1"/>
    <x:col min="4" max="4" width="75" hidden="0" customWidth="1"/>
    <x:col min="5" max="5" width="20" hidden="0" customWidth="1"/>
    <x:col min="6" max="6" width="20" hidden="0" customWidth="1"/>
  </x:cols>
  <x:sheetData>
    <x:row r="1">
      <x:c r="A1" s="128" t="str">
        <x:v>Next Transfer - Phase 3 Specification and Implementation Gates</x:v>
      </x:c>
      <x:c r="B1" s="128"/>
      <x:c r="C1" s="128"/>
      <x:c r="D1" s="128"/>
      <x:c r="E1" s="128"/>
      <x:c r="F1" s="128"/>
    </x:row>
    <x:row r="3">
      <x:c r="A3" s="133" t="str">
        <x:v>Gate ID</x:v>
      </x:c>
      <x:c r="B3" s="133" t="str">
        <x:v>Gate</x:v>
      </x:c>
      <x:c r="C3" s="133" t="str">
        <x:v>Applies To</x:v>
      </x:c>
      <x:c r="D3" s="133" t="str">
        <x:v>Required Evidence</x:v>
      </x:c>
      <x:c r="E3" s="133" t="str">
        <x:v>Current Status</x:v>
      </x:c>
      <x:c r="F3" s="133" t="str">
        <x:v>Approval Authority</x:v>
      </x:c>
    </x:row>
    <x:row r="4">
      <x:c r="A4" s="40" t="str">
        <x:v>G-00</x:v>
      </x:c>
      <x:c r="B4" s="40" t="str">
        <x:v>Approved Baseline</x:v>
      </x:c>
      <x:c r="C4" s="40" t="str">
        <x:v>All slices</x:v>
      </x:c>
      <x:c r="D4" s="40" t="str">
        <x:v>ADR-001 through ADR-025 retained; 95 OPDs approved; zero unresolved decision rows; traceability repairs applied.</x:v>
      </x:c>
      <x:c r="E4" s="40" t="str">
        <x:v>Complete</x:v>
      </x:c>
      <x:c r="F4" s="40" t="str">
        <x:v>Product Owner</x:v>
      </x:c>
    </x:row>
    <x:row r="5">
      <x:c r="A5" s="40" t="str">
        <x:v>G-01</x:v>
      </x:c>
      <x:c r="B5" s="40" t="str">
        <x:v>Specification Ready</x:v>
      </x:c>
      <x:c r="C5" s="40" t="str">
        <x:v>Each slice</x:v>
      </x:c>
      <x:c r="D5" s="40" t="str">
        <x:v>User outcome, scope, routes, states, entities, dependencies, privacy/offline/recovery contracts, FR/BR/AC mappings, and exit gate documented.</x:v>
      </x:c>
      <x:c r="E5" s="40" t="str">
        <x:v>In Progress</x:v>
      </x:c>
      <x:c r="F5" s="40" t="str">
        <x:v>Product Owner</x:v>
      </x:c>
    </x:row>
    <x:row r="6">
      <x:c r="A6" s="40" t="str">
        <x:v>G-02</x:v>
      </x:c>
      <x:c r="B6" s="40" t="str">
        <x:v>Specification Approved</x:v>
      </x:c>
      <x:c r="C6" s="40" t="str">
        <x:v>Each slice</x:v>
      </x:c>
      <x:c r="D6" s="40" t="str">
        <x:v>Product owner explicitly approves the slice specification; no unresolved product decisions remain.</x:v>
      </x:c>
      <x:c r="E6" s="40" t="str">
        <x:v>Pending</x:v>
      </x:c>
      <x:c r="F6" s="40" t="str">
        <x:v>Product Owner</x:v>
      </x:c>
    </x:row>
    <x:row r="7">
      <x:c r="A7" s="40" t="str">
        <x:v>G-03</x:v>
      </x:c>
      <x:c r="B7" s="40" t="str">
        <x:v>Implementation Ready</x:v>
      </x:c>
      <x:c r="C7" s="40" t="str">
        <x:v>Approved slice</x:v>
      </x:c>
      <x:c r="D7" s="40" t="str">
        <x:v>Technical task breakdown may begin; implementation must preserve approved contracts and source IDs.</x:v>
      </x:c>
      <x:c r="E7" s="40" t="str">
        <x:v>Blocked by G-02</x:v>
      </x:c>
      <x:c r="F7" s="40" t="str">
        <x:v>Technical Lead</x:v>
      </x:c>
    </x:row>
    <x:row r="8">
      <x:c r="A8" s="40" t="str">
        <x:v>G-04</x:v>
      </x:c>
      <x:c r="B8" s="40" t="str">
        <x:v>Verification Complete</x:v>
      </x:c>
      <x:c r="C8" s="40" t="str">
        <x:v>Implemented slice</x:v>
      </x:c>
      <x:c r="D8" s="40" t="str">
        <x:v>All release-blocking ACs pass at required verification levels; no data-loss, privacy, RLS, or offline regression.</x:v>
      </x:c>
      <x:c r="E8" s="40" t="str">
        <x:v>Not Started</x:v>
      </x:c>
      <x:c r="F8" s="40" t="str">
        <x:v>QA / Product Owner</x:v>
      </x:c>
    </x:row>
    <x:row r="9">
      <x:c r="A9" s="40" t="str">
        <x:v>G-05</x:v>
      </x:c>
      <x:c r="B9" s="40" t="str">
        <x:v>Release Candidate</x:v>
      </x:c>
      <x:c r="C9" s="40" t="str">
        <x:v>V1 aggregate</x:v>
      </x:c>
      <x:c r="D9" s="40" t="str">
        <x:v>All V1 slices complete; deferred behavior remains absent; backup/restore, privacy, sync, and diagnostics gates pass.</x:v>
      </x:c>
      <x:c r="E9" s="40" t="str">
        <x:v>Not Started</x:v>
      </x:c>
      <x:c r="F9" s="40" t="str">
        <x:v>Product Owner</x:v>
      </x:c>
    </x:row>
  </x:sheetData>
  <x:mergeCells>
    <x:mergeCell ref="A1:F1"/>
  </x:mergeCells>
  <x:conditionalFormatting sqref="E4:E9">
    <x:cfRule type="expression" dxfId="30" priority="1">
      <x:formula>E4="Complete"</x:formula>
    </x:cfRule>
    <x:cfRule type="expression" dxfId="31" priority="2">
      <x:formula>LEFT(E4,7)="Blocked"</x:formula>
    </x:cfRule>
  </x:conditionalFormatting>
  <x:pageMargins left="0.7" right="0.7" top="0.75" bottom="0.75" header="0.3" footer="0.3"/>
  <x:tableParts count="1">
    <x:tablePart xmlns:r="http://schemas.openxmlformats.org/officeDocument/2006/relationships" r:id="R9c04d968de774f70"/>
  </x:tableParts>
</x:worksheet>
</file>